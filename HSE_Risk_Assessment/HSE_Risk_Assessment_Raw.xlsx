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7.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Mustafa\Desktop\New folder\Projects\"/>
    </mc:Choice>
  </mc:AlternateContent>
  <bookViews>
    <workbookView xWindow="0" yWindow="0" windowWidth="20490" windowHeight="7620" firstSheet="7" activeTab="7"/>
  </bookViews>
  <sheets>
    <sheet name="Risk Assessments" sheetId="1" r:id="rId1"/>
    <sheet name="Risk_Analysis" sheetId="6" r:id="rId2"/>
    <sheet name="Initial&amp;Residual" sheetId="8" r:id="rId3"/>
    <sheet name="Reduced Risks" sheetId="13" r:id="rId4"/>
    <sheet name="Not Reduced Risks" sheetId="14" r:id="rId5"/>
    <sheet name="Resid. Risks Analysis" sheetId="15" r:id="rId6"/>
    <sheet name="Resid. Risks Dept." sheetId="16" r:id="rId7"/>
    <sheet name="Controls Implementation" sheetId="18" r:id="rId8"/>
    <sheet name="Risk Matrix" sheetId="2" r:id="rId9"/>
    <sheet name="Consequence Scale" sheetId="4" r:id="rId10"/>
    <sheet name="Likelihood Scale" sheetId="3" r:id="rId11"/>
    <sheet name="Hazard Controls" sheetId="5" r:id="rId12"/>
  </sheets>
  <definedNames>
    <definedName name="_xlnm._FilterDatabase" localSheetId="9" hidden="1">'Consequence Scale'!$A$1:$B$6</definedName>
    <definedName name="_xlnm._FilterDatabase" localSheetId="11" hidden="1">'Hazard Controls'!$A$1:$D$20</definedName>
    <definedName name="_xlnm._FilterDatabase" localSheetId="10" hidden="1">'Likelihood Scale'!$A$1:$B$6</definedName>
    <definedName name="_xlnm._FilterDatabase" localSheetId="0" hidden="1">'Risk Assessments'!$A$1:$V$501</definedName>
    <definedName name="_xlnm._FilterDatabase" localSheetId="8" hidden="1">'Risk Matrix'!$A$1:$D$26</definedName>
    <definedName name="NativeTimeline_Review_Date">#N/A</definedName>
    <definedName name="Slicer_Control_Implementation_Status">#N/A</definedName>
    <definedName name="Slicer_Residual_Risk_Level">#N/A</definedName>
    <definedName name="Slicer_Years">#N/A</definedName>
    <definedName name="Slicer_Years2">#N/A</definedName>
  </definedNames>
  <calcPr calcId="162913"/>
  <pivotCaches>
    <pivotCache cacheId="37" r:id="rId13"/>
    <pivotCache cacheId="44" r:id="rId14"/>
    <pivotCache cacheId="61" r:id="rId15"/>
  </pivotCaches>
  <fileRecoveryPr repairLoad="1"/>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Lst>
</workbook>
</file>

<file path=xl/calcChain.xml><?xml version="1.0" encoding="utf-8"?>
<calcChain xmlns="http://schemas.openxmlformats.org/spreadsheetml/2006/main">
  <c r="R501" i="1" l="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alcChain>
</file>

<file path=xl/sharedStrings.xml><?xml version="1.0" encoding="utf-8"?>
<sst xmlns="http://schemas.openxmlformats.org/spreadsheetml/2006/main" count="13812" uniqueCount="671">
  <si>
    <t>Risk ID</t>
  </si>
  <si>
    <t>Assessment Date</t>
  </si>
  <si>
    <t>Department</t>
  </si>
  <si>
    <t>Location</t>
  </si>
  <si>
    <t>Activity</t>
  </si>
  <si>
    <t>Hazard</t>
  </si>
  <si>
    <t>Hazard Category</t>
  </si>
  <si>
    <t>Potential Consequence</t>
  </si>
  <si>
    <t>Initial Likelihood</t>
  </si>
  <si>
    <t>Initial Consequence</t>
  </si>
  <si>
    <t>Initial Risk Score</t>
  </si>
  <si>
    <t>Initial Risk Level</t>
  </si>
  <si>
    <t>Existing Controls</t>
  </si>
  <si>
    <t>Additional Controls</t>
  </si>
  <si>
    <t>Residual Likelihood</t>
  </si>
  <si>
    <t>Residual Consequence</t>
  </si>
  <si>
    <t>Residual Risk Score</t>
  </si>
  <si>
    <t>Residual Risk Level</t>
  </si>
  <si>
    <t>Control Implementation Status</t>
  </si>
  <si>
    <t>Responsible Person</t>
  </si>
  <si>
    <t>Review Date</t>
  </si>
  <si>
    <t>RA0001</t>
  </si>
  <si>
    <t>Production</t>
  </si>
  <si>
    <t>Utilities Area</t>
  </si>
  <si>
    <t>Kiln Operation</t>
  </si>
  <si>
    <t>Hot surfaces and high temperature</t>
  </si>
  <si>
    <t>Thermal</t>
  </si>
  <si>
    <t>Serious burn</t>
  </si>
  <si>
    <t>Medium</t>
  </si>
  <si>
    <t>PPE provided and mandatory</t>
  </si>
  <si>
    <t>Conduct emergency drill</t>
  </si>
  <si>
    <t>Low</t>
  </si>
  <si>
    <t>Partially Implemented</t>
  </si>
  <si>
    <t>HSE Officer</t>
  </si>
  <si>
    <t>RA0002</t>
  </si>
  <si>
    <t>Mechanical</t>
  </si>
  <si>
    <t>Welding and Cutting</t>
  </si>
  <si>
    <t>Fire, fumes and hot work</t>
  </si>
  <si>
    <t>Fire / Chemical</t>
  </si>
  <si>
    <t>Respiratory irritation</t>
  </si>
  <si>
    <t>High</t>
  </si>
  <si>
    <t>Preventive maintenance program</t>
  </si>
  <si>
    <t>Conduct refresher training</t>
  </si>
  <si>
    <t>Implemented</t>
  </si>
  <si>
    <t>RA0003</t>
  </si>
  <si>
    <t>Quality</t>
  </si>
  <si>
    <t>Laboratory Testing</t>
  </si>
  <si>
    <t>Chemical exposure</t>
  </si>
  <si>
    <t>Chemical</t>
  </si>
  <si>
    <t>Eye injury</t>
  </si>
  <si>
    <t>Trained and authorized personnel only</t>
  </si>
  <si>
    <t>Install warning signs and barriers</t>
  </si>
  <si>
    <t>Department Supervisor</t>
  </si>
  <si>
    <t>RA0004</t>
  </si>
  <si>
    <t>Administration</t>
  </si>
  <si>
    <t>Plant Area B</t>
  </si>
  <si>
    <t>Office Work</t>
  </si>
  <si>
    <t>Ergonomic hazards and slips/trips</t>
  </si>
  <si>
    <t>Ergonomic</t>
  </si>
  <si>
    <t>Musculoskeletal strain</t>
  </si>
  <si>
    <t>Increase inspection frequency</t>
  </si>
  <si>
    <t>Pending</t>
  </si>
  <si>
    <t>Maintenance Supervisor</t>
  </si>
  <si>
    <t>RA0005</t>
  </si>
  <si>
    <t>Maintenance</t>
  </si>
  <si>
    <t>Office</t>
  </si>
  <si>
    <t>Mechanical Maintenance</t>
  </si>
  <si>
    <t>Unexpected equipment movement</t>
  </si>
  <si>
    <t>Serious injury</t>
  </si>
  <si>
    <t>Emergency response equipment available</t>
  </si>
  <si>
    <t>Improve supervision and monitoring</t>
  </si>
  <si>
    <t>Production Supervisor</t>
  </si>
  <si>
    <t>RA0006</t>
  </si>
  <si>
    <t>Electrical</t>
  </si>
  <si>
    <t>Plant Area A</t>
  </si>
  <si>
    <t>Electrical Panel Maintenance</t>
  </si>
  <si>
    <t>Electric shock and arc flash</t>
  </si>
  <si>
    <t>Electric shock</t>
  </si>
  <si>
    <t>Safety signage and restricted access</t>
  </si>
  <si>
    <t>RA0007</t>
  </si>
  <si>
    <t>Laboratory</t>
  </si>
  <si>
    <t>Work at Height</t>
  </si>
  <si>
    <t>Fall from height</t>
  </si>
  <si>
    <t>Machine guarding and routine inspection</t>
  </si>
  <si>
    <t>RA0008</t>
  </si>
  <si>
    <t>Utilities</t>
  </si>
  <si>
    <t>Chemical Handling</t>
  </si>
  <si>
    <t>Chemical exposure and spills</t>
  </si>
  <si>
    <t>Skin irritation</t>
  </si>
  <si>
    <t>Implement engineering control</t>
  </si>
  <si>
    <t>RA0009</t>
  </si>
  <si>
    <t>Grinding Maintenance</t>
  </si>
  <si>
    <t>Stored energy and moving parts</t>
  </si>
  <si>
    <t>Crush injury</t>
  </si>
  <si>
    <t>Critical</t>
  </si>
  <si>
    <t>Standard operating procedure and supervision</t>
  </si>
  <si>
    <t>HSE Engineer</t>
  </si>
  <si>
    <t>RA0010</t>
  </si>
  <si>
    <t>Workshop</t>
  </si>
  <si>
    <t>Raw Material Handling</t>
  </si>
  <si>
    <t>Moving equipment / conveyor</t>
  </si>
  <si>
    <t>Toolbox talk before work</t>
  </si>
  <si>
    <t>Install additional physical guard</t>
  </si>
  <si>
    <t>RA0011</t>
  </si>
  <si>
    <t>Cable Installation</t>
  </si>
  <si>
    <t>Electric shock and trip hazards</t>
  </si>
  <si>
    <t>Provide specialized PPE</t>
  </si>
  <si>
    <t>RA0012</t>
  </si>
  <si>
    <t>Warehouse</t>
  </si>
  <si>
    <t>Excavation Work</t>
  </si>
  <si>
    <t>Collapse and underground services</t>
  </si>
  <si>
    <t>Excavation</t>
  </si>
  <si>
    <t>RA0013</t>
  </si>
  <si>
    <t>Fire-related injury</t>
  </si>
  <si>
    <t>RA0014</t>
  </si>
  <si>
    <t>RA0015</t>
  </si>
  <si>
    <t>Burn</t>
  </si>
  <si>
    <t>RA0016</t>
  </si>
  <si>
    <t>RA0017</t>
  </si>
  <si>
    <t>RA0018</t>
  </si>
  <si>
    <t>Pump Maintenance</t>
  </si>
  <si>
    <t>Stored pressure and rotating parts</t>
  </si>
  <si>
    <t>Amputation</t>
  </si>
  <si>
    <t>RA0019</t>
  </si>
  <si>
    <t>Verify PTW and isolation before work</t>
  </si>
  <si>
    <t>RA0020</t>
  </si>
  <si>
    <t>RA0021</t>
  </si>
  <si>
    <t>Fall injury</t>
  </si>
  <si>
    <t>Update risk assessment and procedure</t>
  </si>
  <si>
    <t>RA0022</t>
  </si>
  <si>
    <t>RA0023</t>
  </si>
  <si>
    <t>RA0024</t>
  </si>
  <si>
    <t>RA0025</t>
  </si>
  <si>
    <t>RA0026</t>
  </si>
  <si>
    <t>RA0027</t>
  </si>
  <si>
    <t>Packing Operation</t>
  </si>
  <si>
    <t>Moving machinery and dust</t>
  </si>
  <si>
    <t>Cuts</t>
  </si>
  <si>
    <t>RA0028</t>
  </si>
  <si>
    <t>RA0029</t>
  </si>
  <si>
    <t>Compressed Air System</t>
  </si>
  <si>
    <t>High pressure release</t>
  </si>
  <si>
    <t>Pressure</t>
  </si>
  <si>
    <t>Fatal injury</t>
  </si>
  <si>
    <t>RA0030</t>
  </si>
  <si>
    <t>RA0031</t>
  </si>
  <si>
    <t>RA0032</t>
  </si>
  <si>
    <t>RA0033</t>
  </si>
  <si>
    <t>RA0034</t>
  </si>
  <si>
    <t>Forklift Operation</t>
  </si>
  <si>
    <t>Vehicle-pedestrian interaction</t>
  </si>
  <si>
    <t>Vehicle / Traffic</t>
  </si>
  <si>
    <t>RA0035</t>
  </si>
  <si>
    <t>Impact injury</t>
  </si>
  <si>
    <t>RA0036</t>
  </si>
  <si>
    <t>RA0037</t>
  </si>
  <si>
    <t>RA0038</t>
  </si>
  <si>
    <t>RA0039</t>
  </si>
  <si>
    <t>RA0040</t>
  </si>
  <si>
    <t>RA0041</t>
  </si>
  <si>
    <t>RA0042</t>
  </si>
  <si>
    <t>RA0043</t>
  </si>
  <si>
    <t>Material Stacking</t>
  </si>
  <si>
    <t>Falling objects</t>
  </si>
  <si>
    <t>Physical</t>
  </si>
  <si>
    <t>RA0044</t>
  </si>
  <si>
    <t>RA0045</t>
  </si>
  <si>
    <t>RA0046</t>
  </si>
  <si>
    <t>RA0047</t>
  </si>
  <si>
    <t>RA0048</t>
  </si>
  <si>
    <t>RA0049</t>
  </si>
  <si>
    <t>RA0050</t>
  </si>
  <si>
    <t>RA0051</t>
  </si>
  <si>
    <t>RA0052</t>
  </si>
  <si>
    <t>Confined Space Entry</t>
  </si>
  <si>
    <t>Oxygen deficiency / toxic atmosphere</t>
  </si>
  <si>
    <t>Confined Space</t>
  </si>
  <si>
    <t>Toxic exposure</t>
  </si>
  <si>
    <t>RA0053</t>
  </si>
  <si>
    <t>RA0054</t>
  </si>
  <si>
    <t>RA0055</t>
  </si>
  <si>
    <t>RA0056</t>
  </si>
  <si>
    <t>RA0057</t>
  </si>
  <si>
    <t>RA0058</t>
  </si>
  <si>
    <t>RA0059</t>
  </si>
  <si>
    <t>RA0060</t>
  </si>
  <si>
    <t>RA0061</t>
  </si>
  <si>
    <t>RA0062</t>
  </si>
  <si>
    <t>RA0063</t>
  </si>
  <si>
    <t>RA0064</t>
  </si>
  <si>
    <t>RA0065</t>
  </si>
  <si>
    <t>RA0066</t>
  </si>
  <si>
    <t>RA0067</t>
  </si>
  <si>
    <t>RA0068</t>
  </si>
  <si>
    <t>RA0069</t>
  </si>
  <si>
    <t>RA0070</t>
  </si>
  <si>
    <t>RA0071</t>
  </si>
  <si>
    <t>Collapse injury</t>
  </si>
  <si>
    <t>RA0072</t>
  </si>
  <si>
    <t>RA0073</t>
  </si>
  <si>
    <t>RA0074</t>
  </si>
  <si>
    <t>Asphyxiation risk</t>
  </si>
  <si>
    <t>RA0075</t>
  </si>
  <si>
    <t>RA0076</t>
  </si>
  <si>
    <t>RA0077</t>
  </si>
  <si>
    <t>RA0078</t>
  </si>
  <si>
    <t>RA0079</t>
  </si>
  <si>
    <t>RA0080</t>
  </si>
  <si>
    <t>RA0081</t>
  </si>
  <si>
    <t>Slip/trip injury</t>
  </si>
  <si>
    <t>RA0082</t>
  </si>
  <si>
    <t>RA0083</t>
  </si>
  <si>
    <t>RA0084</t>
  </si>
  <si>
    <t>RA0085</t>
  </si>
  <si>
    <t>RA0086</t>
  </si>
  <si>
    <t>RA0087</t>
  </si>
  <si>
    <t>RA0088</t>
  </si>
  <si>
    <t>RA0089</t>
  </si>
  <si>
    <t>RA0090</t>
  </si>
  <si>
    <t>Head injury</t>
  </si>
  <si>
    <t>RA0091</t>
  </si>
  <si>
    <t>RA0092</t>
  </si>
  <si>
    <t>RA0093</t>
  </si>
  <si>
    <t>Heat stress</t>
  </si>
  <si>
    <t>RA0094</t>
  </si>
  <si>
    <t>Collision</t>
  </si>
  <si>
    <t>RA0095</t>
  </si>
  <si>
    <t>RA0096</t>
  </si>
  <si>
    <t>RA0097</t>
  </si>
  <si>
    <t>RA0098</t>
  </si>
  <si>
    <t>Boiler Operation</t>
  </si>
  <si>
    <t>High pressure and hot surfaces</t>
  </si>
  <si>
    <t>Pressure / Thermal</t>
  </si>
  <si>
    <t>Pressure-related injury</t>
  </si>
  <si>
    <t>RA0099</t>
  </si>
  <si>
    <t>RA0100</t>
  </si>
  <si>
    <t>RA0101</t>
  </si>
  <si>
    <t>RA0102</t>
  </si>
  <si>
    <t>RA0103</t>
  </si>
  <si>
    <t>RA0104</t>
  </si>
  <si>
    <t>RA0105</t>
  </si>
  <si>
    <t>RA0106</t>
  </si>
  <si>
    <t>RA0107</t>
  </si>
  <si>
    <t>RA0108</t>
  </si>
  <si>
    <t>RA0109</t>
  </si>
  <si>
    <t>RA0110</t>
  </si>
  <si>
    <t>RA0111</t>
  </si>
  <si>
    <t>RA0112</t>
  </si>
  <si>
    <t>RA0113</t>
  </si>
  <si>
    <t>RA0114</t>
  </si>
  <si>
    <t>RA0115</t>
  </si>
  <si>
    <t>RA0116</t>
  </si>
  <si>
    <t>RA0117</t>
  </si>
  <si>
    <t>RA0118</t>
  </si>
  <si>
    <t>RA0119</t>
  </si>
  <si>
    <t>RA0120</t>
  </si>
  <si>
    <t>RA0121</t>
  </si>
  <si>
    <t>RA0122</t>
  </si>
  <si>
    <t>RA0123</t>
  </si>
  <si>
    <t>RA0124</t>
  </si>
  <si>
    <t>RA0125</t>
  </si>
  <si>
    <t>RA0126</t>
  </si>
  <si>
    <t>RA0127</t>
  </si>
  <si>
    <t>RA0128</t>
  </si>
  <si>
    <t>RA0129</t>
  </si>
  <si>
    <t>RA0130</t>
  </si>
  <si>
    <t>RA0131</t>
  </si>
  <si>
    <t>RA0132</t>
  </si>
  <si>
    <t>RA0133</t>
  </si>
  <si>
    <t>RA0134</t>
  </si>
  <si>
    <t>RA0135</t>
  </si>
  <si>
    <t>RA0136</t>
  </si>
  <si>
    <t>RA0137</t>
  </si>
  <si>
    <t>RA0138</t>
  </si>
  <si>
    <t>RA0139</t>
  </si>
  <si>
    <t>RA0140</t>
  </si>
  <si>
    <t>RA0141</t>
  </si>
  <si>
    <t>RA0142</t>
  </si>
  <si>
    <t>RA0143</t>
  </si>
  <si>
    <t>RA0144</t>
  </si>
  <si>
    <t>RA0145</t>
  </si>
  <si>
    <t>RA0146</t>
  </si>
  <si>
    <t>RA0147</t>
  </si>
  <si>
    <t>RA0148</t>
  </si>
  <si>
    <t>RA0149</t>
  </si>
  <si>
    <t>RA0150</t>
  </si>
  <si>
    <t>RA0151</t>
  </si>
  <si>
    <t>RA0152</t>
  </si>
  <si>
    <t>RA0153</t>
  </si>
  <si>
    <t>RA0154</t>
  </si>
  <si>
    <t>RA0155</t>
  </si>
  <si>
    <t>RA0156</t>
  </si>
  <si>
    <t>RA0157</t>
  </si>
  <si>
    <t>RA0158</t>
  </si>
  <si>
    <t>RA0159</t>
  </si>
  <si>
    <t>RA0160</t>
  </si>
  <si>
    <t>RA0161</t>
  </si>
  <si>
    <t>RA0162</t>
  </si>
  <si>
    <t>RA0163</t>
  </si>
  <si>
    <t>RA0164</t>
  </si>
  <si>
    <t>RA0165</t>
  </si>
  <si>
    <t>RA0166</t>
  </si>
  <si>
    <t>RA0167</t>
  </si>
  <si>
    <t>RA0168</t>
  </si>
  <si>
    <t>RA0169</t>
  </si>
  <si>
    <t>RA0170</t>
  </si>
  <si>
    <t>RA0171</t>
  </si>
  <si>
    <t>RA0172</t>
  </si>
  <si>
    <t>RA0173</t>
  </si>
  <si>
    <t>RA0174</t>
  </si>
  <si>
    <t>RA0175</t>
  </si>
  <si>
    <t>RA0176</t>
  </si>
  <si>
    <t>RA0177</t>
  </si>
  <si>
    <t>RA0178</t>
  </si>
  <si>
    <t>RA0179</t>
  </si>
  <si>
    <t>RA0180</t>
  </si>
  <si>
    <t>RA0181</t>
  </si>
  <si>
    <t>RA0182</t>
  </si>
  <si>
    <t>RA0183</t>
  </si>
  <si>
    <t>RA0184</t>
  </si>
  <si>
    <t>RA0185</t>
  </si>
  <si>
    <t>RA0186</t>
  </si>
  <si>
    <t>RA0187</t>
  </si>
  <si>
    <t>RA0188</t>
  </si>
  <si>
    <t>RA0189</t>
  </si>
  <si>
    <t>RA0190</t>
  </si>
  <si>
    <t>RA0191</t>
  </si>
  <si>
    <t>RA0192</t>
  </si>
  <si>
    <t>RA0193</t>
  </si>
  <si>
    <t>RA0194</t>
  </si>
  <si>
    <t>RA0195</t>
  </si>
  <si>
    <t>RA0196</t>
  </si>
  <si>
    <t>RA0197</t>
  </si>
  <si>
    <t>RA0198</t>
  </si>
  <si>
    <t>RA0199</t>
  </si>
  <si>
    <t>RA0200</t>
  </si>
  <si>
    <t>RA0201</t>
  </si>
  <si>
    <t>RA0202</t>
  </si>
  <si>
    <t>RA0203</t>
  </si>
  <si>
    <t>RA0204</t>
  </si>
  <si>
    <t>RA0205</t>
  </si>
  <si>
    <t>RA0206</t>
  </si>
  <si>
    <t>RA0207</t>
  </si>
  <si>
    <t>RA0208</t>
  </si>
  <si>
    <t>RA0209</t>
  </si>
  <si>
    <t>RA0210</t>
  </si>
  <si>
    <t>RA0211</t>
  </si>
  <si>
    <t>RA0212</t>
  </si>
  <si>
    <t>RA0213</t>
  </si>
  <si>
    <t>RA0214</t>
  </si>
  <si>
    <t>RA0215</t>
  </si>
  <si>
    <t>RA0216</t>
  </si>
  <si>
    <t>RA0217</t>
  </si>
  <si>
    <t>RA0218</t>
  </si>
  <si>
    <t>RA0219</t>
  </si>
  <si>
    <t>RA0220</t>
  </si>
  <si>
    <t>RA0221</t>
  </si>
  <si>
    <t>RA0222</t>
  </si>
  <si>
    <t>RA0223</t>
  </si>
  <si>
    <t>RA0224</t>
  </si>
  <si>
    <t>RA0225</t>
  </si>
  <si>
    <t>RA0226</t>
  </si>
  <si>
    <t>RA0227</t>
  </si>
  <si>
    <t>RA0228</t>
  </si>
  <si>
    <t>RA0229</t>
  </si>
  <si>
    <t>RA0230</t>
  </si>
  <si>
    <t>RA0231</t>
  </si>
  <si>
    <t>RA0232</t>
  </si>
  <si>
    <t>RA0233</t>
  </si>
  <si>
    <t>RA0234</t>
  </si>
  <si>
    <t>RA0235</t>
  </si>
  <si>
    <t>RA0236</t>
  </si>
  <si>
    <t>RA0237</t>
  </si>
  <si>
    <t>RA0238</t>
  </si>
  <si>
    <t>RA0239</t>
  </si>
  <si>
    <t>RA0240</t>
  </si>
  <si>
    <t>RA0241</t>
  </si>
  <si>
    <t>RA0242</t>
  </si>
  <si>
    <t>RA0243</t>
  </si>
  <si>
    <t>RA0244</t>
  </si>
  <si>
    <t>RA0245</t>
  </si>
  <si>
    <t>RA0246</t>
  </si>
  <si>
    <t>RA0247</t>
  </si>
  <si>
    <t>RA0248</t>
  </si>
  <si>
    <t>RA0249</t>
  </si>
  <si>
    <t>RA0250</t>
  </si>
  <si>
    <t>RA0251</t>
  </si>
  <si>
    <t>RA0252</t>
  </si>
  <si>
    <t>RA0253</t>
  </si>
  <si>
    <t>RA0254</t>
  </si>
  <si>
    <t>RA0255</t>
  </si>
  <si>
    <t>RA0256</t>
  </si>
  <si>
    <t>RA0257</t>
  </si>
  <si>
    <t>RA0258</t>
  </si>
  <si>
    <t>RA0259</t>
  </si>
  <si>
    <t>RA0260</t>
  </si>
  <si>
    <t>RA0261</t>
  </si>
  <si>
    <t>RA0262</t>
  </si>
  <si>
    <t>RA0263</t>
  </si>
  <si>
    <t>RA0264</t>
  </si>
  <si>
    <t>RA0265</t>
  </si>
  <si>
    <t>RA0266</t>
  </si>
  <si>
    <t>RA0267</t>
  </si>
  <si>
    <t>RA0268</t>
  </si>
  <si>
    <t>RA0269</t>
  </si>
  <si>
    <t>RA0270</t>
  </si>
  <si>
    <t>RA0271</t>
  </si>
  <si>
    <t>RA0272</t>
  </si>
  <si>
    <t>RA0273</t>
  </si>
  <si>
    <t>RA0274</t>
  </si>
  <si>
    <t>RA0275</t>
  </si>
  <si>
    <t>RA0276</t>
  </si>
  <si>
    <t>RA0277</t>
  </si>
  <si>
    <t>RA0278</t>
  </si>
  <si>
    <t>RA0279</t>
  </si>
  <si>
    <t>RA0280</t>
  </si>
  <si>
    <t>RA0281</t>
  </si>
  <si>
    <t>RA0282</t>
  </si>
  <si>
    <t>RA0283</t>
  </si>
  <si>
    <t>RA0284</t>
  </si>
  <si>
    <t>RA0285</t>
  </si>
  <si>
    <t>RA0286</t>
  </si>
  <si>
    <t>RA0287</t>
  </si>
  <si>
    <t>RA0288</t>
  </si>
  <si>
    <t>RA0289</t>
  </si>
  <si>
    <t>RA0290</t>
  </si>
  <si>
    <t>RA0291</t>
  </si>
  <si>
    <t>RA0292</t>
  </si>
  <si>
    <t>RA0293</t>
  </si>
  <si>
    <t>RA0294</t>
  </si>
  <si>
    <t>RA0295</t>
  </si>
  <si>
    <t>RA0296</t>
  </si>
  <si>
    <t>RA0297</t>
  </si>
  <si>
    <t>RA0298</t>
  </si>
  <si>
    <t>RA0299</t>
  </si>
  <si>
    <t>RA0300</t>
  </si>
  <si>
    <t>RA0301</t>
  </si>
  <si>
    <t>RA0302</t>
  </si>
  <si>
    <t>RA0303</t>
  </si>
  <si>
    <t>RA0304</t>
  </si>
  <si>
    <t>RA0305</t>
  </si>
  <si>
    <t>RA0306</t>
  </si>
  <si>
    <t>RA0307</t>
  </si>
  <si>
    <t>RA0308</t>
  </si>
  <si>
    <t>RA0309</t>
  </si>
  <si>
    <t>RA0310</t>
  </si>
  <si>
    <t>RA0311</t>
  </si>
  <si>
    <t>RA0312</t>
  </si>
  <si>
    <t>RA0313</t>
  </si>
  <si>
    <t>RA0314</t>
  </si>
  <si>
    <t>RA0315</t>
  </si>
  <si>
    <t>RA0316</t>
  </si>
  <si>
    <t>RA0317</t>
  </si>
  <si>
    <t>RA0318</t>
  </si>
  <si>
    <t>RA0319</t>
  </si>
  <si>
    <t>RA0320</t>
  </si>
  <si>
    <t>RA0321</t>
  </si>
  <si>
    <t>RA0322</t>
  </si>
  <si>
    <t>RA0323</t>
  </si>
  <si>
    <t>RA0324</t>
  </si>
  <si>
    <t>RA0325</t>
  </si>
  <si>
    <t>RA0326</t>
  </si>
  <si>
    <t>RA0327</t>
  </si>
  <si>
    <t>RA0328</t>
  </si>
  <si>
    <t>RA0329</t>
  </si>
  <si>
    <t>RA0330</t>
  </si>
  <si>
    <t>RA0331</t>
  </si>
  <si>
    <t>RA0332</t>
  </si>
  <si>
    <t>RA0333</t>
  </si>
  <si>
    <t>RA0334</t>
  </si>
  <si>
    <t>RA0335</t>
  </si>
  <si>
    <t>RA0336</t>
  </si>
  <si>
    <t>RA0337</t>
  </si>
  <si>
    <t>RA0338</t>
  </si>
  <si>
    <t>RA0339</t>
  </si>
  <si>
    <t>RA0340</t>
  </si>
  <si>
    <t>RA0341</t>
  </si>
  <si>
    <t>RA0342</t>
  </si>
  <si>
    <t>RA0343</t>
  </si>
  <si>
    <t>RA0344</t>
  </si>
  <si>
    <t>RA0345</t>
  </si>
  <si>
    <t>RA0346</t>
  </si>
  <si>
    <t>RA0347</t>
  </si>
  <si>
    <t>RA0348</t>
  </si>
  <si>
    <t>RA0349</t>
  </si>
  <si>
    <t>RA0350</t>
  </si>
  <si>
    <t>RA0351</t>
  </si>
  <si>
    <t>RA0352</t>
  </si>
  <si>
    <t>RA0353</t>
  </si>
  <si>
    <t>RA0354</t>
  </si>
  <si>
    <t>RA0355</t>
  </si>
  <si>
    <t>RA0356</t>
  </si>
  <si>
    <t>RA0357</t>
  </si>
  <si>
    <t>RA0358</t>
  </si>
  <si>
    <t>RA0359</t>
  </si>
  <si>
    <t>RA0360</t>
  </si>
  <si>
    <t>RA0361</t>
  </si>
  <si>
    <t>RA0362</t>
  </si>
  <si>
    <t>RA0363</t>
  </si>
  <si>
    <t>RA0364</t>
  </si>
  <si>
    <t>RA0365</t>
  </si>
  <si>
    <t>RA0366</t>
  </si>
  <si>
    <t>RA0367</t>
  </si>
  <si>
    <t>RA0368</t>
  </si>
  <si>
    <t>RA0369</t>
  </si>
  <si>
    <t>RA0370</t>
  </si>
  <si>
    <t>RA0371</t>
  </si>
  <si>
    <t>RA0372</t>
  </si>
  <si>
    <t>RA0373</t>
  </si>
  <si>
    <t>RA0374</t>
  </si>
  <si>
    <t>RA0375</t>
  </si>
  <si>
    <t>RA0376</t>
  </si>
  <si>
    <t>RA0377</t>
  </si>
  <si>
    <t>RA0378</t>
  </si>
  <si>
    <t>RA0379</t>
  </si>
  <si>
    <t>RA0380</t>
  </si>
  <si>
    <t>RA0381</t>
  </si>
  <si>
    <t>RA0382</t>
  </si>
  <si>
    <t>RA0383</t>
  </si>
  <si>
    <t>RA0384</t>
  </si>
  <si>
    <t>RA0385</t>
  </si>
  <si>
    <t>RA0386</t>
  </si>
  <si>
    <t>RA0387</t>
  </si>
  <si>
    <t>RA0388</t>
  </si>
  <si>
    <t>RA0389</t>
  </si>
  <si>
    <t>RA0390</t>
  </si>
  <si>
    <t>RA0391</t>
  </si>
  <si>
    <t>RA0392</t>
  </si>
  <si>
    <t>RA0393</t>
  </si>
  <si>
    <t>RA0394</t>
  </si>
  <si>
    <t>RA0395</t>
  </si>
  <si>
    <t>RA0396</t>
  </si>
  <si>
    <t>RA0397</t>
  </si>
  <si>
    <t>RA0398</t>
  </si>
  <si>
    <t>RA0399</t>
  </si>
  <si>
    <t>RA0400</t>
  </si>
  <si>
    <t>RA0401</t>
  </si>
  <si>
    <t>RA0402</t>
  </si>
  <si>
    <t>RA0403</t>
  </si>
  <si>
    <t>RA0404</t>
  </si>
  <si>
    <t>RA0405</t>
  </si>
  <si>
    <t>RA0406</t>
  </si>
  <si>
    <t>RA0407</t>
  </si>
  <si>
    <t>RA0408</t>
  </si>
  <si>
    <t>RA0409</t>
  </si>
  <si>
    <t>RA0410</t>
  </si>
  <si>
    <t>RA0411</t>
  </si>
  <si>
    <t>RA0412</t>
  </si>
  <si>
    <t>RA0413</t>
  </si>
  <si>
    <t>RA0414</t>
  </si>
  <si>
    <t>RA0415</t>
  </si>
  <si>
    <t>RA0416</t>
  </si>
  <si>
    <t>RA0417</t>
  </si>
  <si>
    <t>RA0418</t>
  </si>
  <si>
    <t>RA0419</t>
  </si>
  <si>
    <t>RA0420</t>
  </si>
  <si>
    <t>RA0421</t>
  </si>
  <si>
    <t>RA0422</t>
  </si>
  <si>
    <t>RA0423</t>
  </si>
  <si>
    <t>RA0424</t>
  </si>
  <si>
    <t>RA0425</t>
  </si>
  <si>
    <t>RA0426</t>
  </si>
  <si>
    <t>RA0427</t>
  </si>
  <si>
    <t>RA0428</t>
  </si>
  <si>
    <t>RA0429</t>
  </si>
  <si>
    <t>RA0430</t>
  </si>
  <si>
    <t>RA0431</t>
  </si>
  <si>
    <t>RA0432</t>
  </si>
  <si>
    <t>RA0433</t>
  </si>
  <si>
    <t>RA0434</t>
  </si>
  <si>
    <t>RA0435</t>
  </si>
  <si>
    <t>RA0436</t>
  </si>
  <si>
    <t>RA0437</t>
  </si>
  <si>
    <t>RA0438</t>
  </si>
  <si>
    <t>RA0439</t>
  </si>
  <si>
    <t>RA0440</t>
  </si>
  <si>
    <t>RA0441</t>
  </si>
  <si>
    <t>RA0442</t>
  </si>
  <si>
    <t>RA0443</t>
  </si>
  <si>
    <t>RA0444</t>
  </si>
  <si>
    <t>RA0445</t>
  </si>
  <si>
    <t>RA0446</t>
  </si>
  <si>
    <t>RA0447</t>
  </si>
  <si>
    <t>RA0448</t>
  </si>
  <si>
    <t>RA0449</t>
  </si>
  <si>
    <t>RA0450</t>
  </si>
  <si>
    <t>RA0451</t>
  </si>
  <si>
    <t>RA0452</t>
  </si>
  <si>
    <t>RA0453</t>
  </si>
  <si>
    <t>RA0454</t>
  </si>
  <si>
    <t>RA0455</t>
  </si>
  <si>
    <t>RA0456</t>
  </si>
  <si>
    <t>RA0457</t>
  </si>
  <si>
    <t>RA0458</t>
  </si>
  <si>
    <t>RA0459</t>
  </si>
  <si>
    <t>RA0460</t>
  </si>
  <si>
    <t>RA0461</t>
  </si>
  <si>
    <t>RA0462</t>
  </si>
  <si>
    <t>RA0463</t>
  </si>
  <si>
    <t>RA0464</t>
  </si>
  <si>
    <t>RA0465</t>
  </si>
  <si>
    <t>RA0466</t>
  </si>
  <si>
    <t>RA0467</t>
  </si>
  <si>
    <t>RA0468</t>
  </si>
  <si>
    <t>RA0469</t>
  </si>
  <si>
    <t>RA0470</t>
  </si>
  <si>
    <t>RA0471</t>
  </si>
  <si>
    <t>RA0472</t>
  </si>
  <si>
    <t>RA0473</t>
  </si>
  <si>
    <t>RA0474</t>
  </si>
  <si>
    <t>RA0475</t>
  </si>
  <si>
    <t>RA0476</t>
  </si>
  <si>
    <t>RA0477</t>
  </si>
  <si>
    <t>RA0478</t>
  </si>
  <si>
    <t>RA0479</t>
  </si>
  <si>
    <t>RA0480</t>
  </si>
  <si>
    <t>RA0481</t>
  </si>
  <si>
    <t>RA0482</t>
  </si>
  <si>
    <t>RA0483</t>
  </si>
  <si>
    <t>RA0484</t>
  </si>
  <si>
    <t>RA0485</t>
  </si>
  <si>
    <t>RA0486</t>
  </si>
  <si>
    <t>RA0487</t>
  </si>
  <si>
    <t>RA0488</t>
  </si>
  <si>
    <t>RA0489</t>
  </si>
  <si>
    <t>RA0490</t>
  </si>
  <si>
    <t>RA0491</t>
  </si>
  <si>
    <t>RA0492</t>
  </si>
  <si>
    <t>RA0493</t>
  </si>
  <si>
    <t>RA0494</t>
  </si>
  <si>
    <t>RA0495</t>
  </si>
  <si>
    <t>RA0496</t>
  </si>
  <si>
    <t>RA0497</t>
  </si>
  <si>
    <t>RA0498</t>
  </si>
  <si>
    <t>RA0499</t>
  </si>
  <si>
    <t>RA0500</t>
  </si>
  <si>
    <t>Likelihood</t>
  </si>
  <si>
    <t>Consequence</t>
  </si>
  <si>
    <t>Risk Score</t>
  </si>
  <si>
    <t>Risk Level</t>
  </si>
  <si>
    <t>Likelihood Score</t>
  </si>
  <si>
    <t>Description</t>
  </si>
  <si>
    <t>Rare</t>
  </si>
  <si>
    <t>Unlikely</t>
  </si>
  <si>
    <t>Possible</t>
  </si>
  <si>
    <t>Likely</t>
  </si>
  <si>
    <t>Almost Certain</t>
  </si>
  <si>
    <t>Consequence Score</t>
  </si>
  <si>
    <t>Insignificant</t>
  </si>
  <si>
    <t>Minor</t>
  </si>
  <si>
    <t>Moderate</t>
  </si>
  <si>
    <t>Major</t>
  </si>
  <si>
    <t>Catastrophic</t>
  </si>
  <si>
    <t>Example Existing Control</t>
  </si>
  <si>
    <t>Example Additional Control</t>
  </si>
  <si>
    <t>Grand Total</t>
  </si>
  <si>
    <t>Risk Assessments</t>
  </si>
  <si>
    <t>Risk Assessments Per Department &amp; Activity</t>
  </si>
  <si>
    <t>Intitial Risk Score VS Residual Risk Score</t>
  </si>
  <si>
    <t>Initial  Risks</t>
  </si>
  <si>
    <t>Residual Risks</t>
  </si>
  <si>
    <t>Risk Reduction</t>
  </si>
  <si>
    <t>No Reduction</t>
  </si>
  <si>
    <t>Reduced</t>
  </si>
  <si>
    <t>Reduction Status</t>
  </si>
  <si>
    <t>Risks</t>
  </si>
  <si>
    <t>Count of Risks</t>
  </si>
  <si>
    <t>Department/Activity</t>
  </si>
  <si>
    <t>(blank)</t>
  </si>
  <si>
    <t>Number of Risks</t>
  </si>
  <si>
    <t>Existing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</si>
</sst>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6" x14ac:knownFonts="1">
    <font>
      <sz val="11"/>
      <color theme="1"/>
      <name val="Calibri"/>
      <family val="2"/>
      <scheme val="minor"/>
    </font>
    <font>
      <b/>
      <sz val="11"/>
      <name val="Calibri"/>
    </font>
    <font>
      <b/>
      <sz val="16"/>
      <color theme="1"/>
      <name val="Calibri"/>
      <family val="2"/>
      <scheme val="minor"/>
    </font>
    <font>
      <b/>
      <sz val="11"/>
      <name val="Calibri"/>
      <family val="2"/>
    </font>
    <font>
      <sz val="28"/>
      <color rgb="FFFF0000"/>
      <name val="Calibri"/>
      <family val="2"/>
      <scheme val="minor"/>
    </font>
    <font>
      <sz val="14"/>
      <color theme="1"/>
      <name val="Calibri"/>
      <family val="2"/>
      <scheme val="minor"/>
    </font>
  </fonts>
  <fills count="5">
    <fill>
      <patternFill patternType="none"/>
    </fill>
    <fill>
      <patternFill patternType="gray125"/>
    </fill>
    <fill>
      <patternFill patternType="solid">
        <fgColor rgb="FFD9EAD3"/>
      </patternFill>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Fill="1"/>
    <xf numFmtId="0" fontId="0" fillId="0" borderId="0" xfId="0" applyFill="1" applyAlignment="1">
      <alignment horizontal="left"/>
    </xf>
    <xf numFmtId="0" fontId="0" fillId="0" borderId="0" xfId="0" applyNumberFormat="1" applyFill="1"/>
    <xf numFmtId="0" fontId="0" fillId="0" borderId="0" xfId="0" applyFill="1" applyAlignment="1">
      <alignment horizontal="center"/>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left" indent="1"/>
    </xf>
    <xf numFmtId="14" fontId="0" fillId="0" borderId="0" xfId="0" applyNumberFormat="1"/>
    <xf numFmtId="0" fontId="1" fillId="2" borderId="2" xfId="0" applyFont="1" applyFill="1" applyBorder="1" applyAlignment="1">
      <alignment horizontal="center" vertical="center"/>
    </xf>
    <xf numFmtId="0" fontId="3" fillId="2" borderId="2" xfId="0" applyFont="1" applyFill="1" applyBorder="1" applyAlignment="1">
      <alignment horizontal="left" vertical="center"/>
    </xf>
    <xf numFmtId="0" fontId="0" fillId="0" borderId="0" xfId="0" applyAlignment="1">
      <alignment horizontal="center" vertical="center" wrapText="1"/>
    </xf>
    <xf numFmtId="0" fontId="0" fillId="0" borderId="0" xfId="0" pivotButton="1" applyAlignment="1">
      <alignment horizontal="left" indent="1"/>
    </xf>
    <xf numFmtId="0" fontId="2" fillId="3" borderId="0" xfId="0" applyFont="1" applyFill="1" applyAlignment="1">
      <alignment horizontal="center" vertical="center"/>
    </xf>
    <xf numFmtId="0" fontId="0" fillId="4" borderId="0" xfId="0" applyNumberFormat="1" applyFill="1"/>
    <xf numFmtId="0" fontId="0" fillId="4" borderId="0" xfId="0" applyFill="1"/>
    <xf numFmtId="0" fontId="5" fillId="4" borderId="0" xfId="0" applyFont="1" applyFill="1"/>
    <xf numFmtId="0" fontId="4" fillId="4" borderId="0" xfId="0" applyNumberFormat="1" applyFont="1" applyFill="1" applyAlignment="1">
      <alignment horizontal="center" wrapText="1"/>
    </xf>
    <xf numFmtId="0" fontId="0" fillId="3" borderId="0" xfId="0" applyFill="1"/>
    <xf numFmtId="0" fontId="0" fillId="3" borderId="0" xfId="0" applyFill="1" applyAlignment="1">
      <alignment horizontal="left"/>
    </xf>
    <xf numFmtId="0" fontId="0" fillId="3" borderId="0" xfId="0" applyNumberFormat="1" applyFill="1"/>
    <xf numFmtId="10" fontId="0" fillId="3" borderId="0" xfId="0" applyNumberFormat="1" applyFill="1"/>
  </cellXfs>
  <cellStyles count="1">
    <cellStyle name="Normal" xfId="0" builtinId="0"/>
  </cellStyles>
  <dxfs count="2495">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theme="0" tint="-0.249977111117893"/>
        </patternFill>
      </fill>
    </dxf>
    <dxf>
      <font>
        <color rgb="FFFF0000"/>
      </font>
    </dxf>
    <dxf>
      <alignment wrapText="1" readingOrder="0"/>
    </dxf>
    <dxf>
      <alignment horizontal="center" readingOrder="0"/>
    </dxf>
    <dxf>
      <font>
        <sz val="12"/>
      </font>
    </dxf>
    <dxf>
      <font>
        <sz val="14"/>
      </font>
    </dxf>
    <dxf>
      <font>
        <sz val="16"/>
      </font>
    </dxf>
    <dxf>
      <font>
        <sz val="18"/>
      </font>
    </dxf>
    <dxf>
      <font>
        <sz val="20"/>
      </font>
    </dxf>
    <dxf>
      <font>
        <sz val="22"/>
      </font>
    </dxf>
    <dxf>
      <font>
        <sz val="24"/>
      </font>
    </dxf>
    <dxf>
      <font>
        <sz val="26"/>
      </font>
    </dxf>
    <dxf>
      <font>
        <sz val="28"/>
      </font>
    </dxf>
    <dxf>
      <font>
        <sz val="36"/>
      </font>
    </dxf>
    <dxf>
      <font>
        <sz val="48"/>
      </font>
    </dxf>
    <dxf>
      <font>
        <sz val="72"/>
      </font>
    </dxf>
    <dxf>
      <font>
        <sz val="48"/>
      </font>
    </dxf>
    <dxf>
      <font>
        <sz val="36"/>
      </font>
    </dxf>
    <dxf>
      <font>
        <sz val="28"/>
      </font>
    </dxf>
    <dxf>
      <font>
        <sz val="26"/>
      </font>
    </dxf>
    <dxf>
      <font>
        <sz val="10"/>
      </font>
    </dxf>
    <dxf>
      <font>
        <sz val="10"/>
      </font>
    </dxf>
    <dxf>
      <font>
        <sz val="10"/>
      </font>
    </dxf>
    <dxf>
      <font>
        <sz val="10"/>
      </font>
    </dxf>
    <dxf>
      <font>
        <sz val="11"/>
      </font>
    </dxf>
    <dxf>
      <font>
        <sz val="11"/>
      </font>
    </dxf>
    <dxf>
      <font>
        <sz val="11"/>
      </font>
    </dxf>
    <dxf>
      <font>
        <sz val="11"/>
      </font>
    </dxf>
    <dxf>
      <font>
        <sz val="12"/>
      </font>
    </dxf>
    <dxf>
      <font>
        <sz val="12"/>
      </font>
    </dxf>
    <dxf>
      <font>
        <sz val="12"/>
      </font>
    </dxf>
    <dxf>
      <font>
        <sz val="12"/>
      </font>
    </dxf>
    <dxf>
      <font>
        <sz val="14"/>
      </font>
    </dxf>
    <dxf>
      <font>
        <sz val="14"/>
      </font>
    </dxf>
    <dxf>
      <font>
        <sz val="14"/>
      </font>
    </dxf>
    <dxf>
      <font>
        <sz val="14"/>
      </font>
    </dxf>
    <dxf>
      <font>
        <sz val="16"/>
      </font>
    </dxf>
    <dxf>
      <font>
        <sz val="18"/>
      </font>
    </dxf>
    <dxf>
      <font>
        <sz val="20"/>
      </font>
    </dxf>
    <dxf>
      <font>
        <sz val="22"/>
      </font>
    </dxf>
    <dxf>
      <font>
        <sz val="24"/>
      </font>
    </dxf>
    <dxf>
      <font>
        <sz val="26"/>
      </font>
    </dxf>
    <dxf>
      <font>
        <sz val="28"/>
      </font>
    </dxf>
    <dxf>
      <font>
        <sz val="36"/>
      </font>
    </dxf>
    <dxf>
      <font>
        <sz val="28"/>
      </font>
    </dxf>
    <dxf>
      <fill>
        <patternFill>
          <bgColor theme="0"/>
        </patternFill>
      </fill>
    </dxf>
    <dxf>
      <fill>
        <patternFill>
          <bgColor theme="0"/>
        </patternFill>
      </fill>
    </dxf>
    <dxf>
      <fill>
        <patternFill>
          <bgColor theme="0"/>
        </patternFill>
      </fill>
    </dxf>
    <dxf>
      <fill>
        <patternFill>
          <bgColor theme="0"/>
        </patternFill>
      </fill>
    </dxf>
    <dxf>
      <font>
        <sz val="36"/>
      </font>
    </dxf>
    <dxf>
      <font>
        <sz val="28"/>
      </font>
    </dxf>
    <dxf>
      <font>
        <sz val="36"/>
      </font>
    </dxf>
    <dxf>
      <font>
        <sz val="28"/>
      </font>
    </dxf>
    <dxf>
      <font>
        <sz val="26"/>
      </font>
    </dxf>
    <dxf>
      <font>
        <sz val="2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ont>
        <sz val="28"/>
      </font>
    </dxf>
    <dxf>
      <font>
        <sz val="26"/>
      </font>
    </dxf>
    <dxf>
      <font>
        <sz val="28"/>
      </font>
    </dxf>
    <dxf>
      <font>
        <sz val="36"/>
      </font>
    </dxf>
    <dxf>
      <font>
        <sz val="28"/>
      </font>
    </dxf>
    <dxf>
      <font>
        <sz val="3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28"/>
      </font>
    </dxf>
    <dxf>
      <font>
        <sz val="36"/>
      </font>
    </dxf>
    <dxf>
      <font>
        <sz val="28"/>
      </font>
    </dxf>
    <dxf>
      <font>
        <sz val="26"/>
      </font>
    </dxf>
    <dxf>
      <font>
        <sz val="24"/>
      </font>
    </dxf>
    <dxf>
      <font>
        <sz val="22"/>
      </font>
    </dxf>
    <dxf>
      <font>
        <sz val="20"/>
      </font>
    </dxf>
    <dxf>
      <font>
        <sz val="18"/>
      </font>
    </dxf>
    <dxf>
      <font>
        <sz val="16"/>
      </font>
    </dxf>
    <dxf>
      <font>
        <sz val="14"/>
      </font>
    </dxf>
    <dxf>
      <font>
        <sz val="14"/>
      </font>
    </dxf>
    <dxf>
      <font>
        <sz val="14"/>
      </font>
    </dxf>
    <dxf>
      <font>
        <sz val="14"/>
      </font>
    </dxf>
    <dxf>
      <font>
        <sz val="12"/>
      </font>
    </dxf>
    <dxf>
      <font>
        <sz val="12"/>
      </font>
    </dxf>
    <dxf>
      <font>
        <sz val="12"/>
      </font>
    </dxf>
    <dxf>
      <font>
        <sz val="12"/>
      </font>
    </dxf>
    <dxf>
      <font>
        <sz val="11"/>
      </font>
    </dxf>
    <dxf>
      <font>
        <sz val="11"/>
      </font>
    </dxf>
    <dxf>
      <font>
        <sz val="11"/>
      </font>
    </dxf>
    <dxf>
      <font>
        <sz val="11"/>
      </font>
    </dxf>
    <dxf>
      <font>
        <sz val="10"/>
      </font>
    </dxf>
    <dxf>
      <font>
        <sz val="10"/>
      </font>
    </dxf>
    <dxf>
      <font>
        <sz val="10"/>
      </font>
    </dxf>
    <dxf>
      <font>
        <sz val="10"/>
      </font>
    </dxf>
    <dxf>
      <font>
        <sz val="26"/>
      </font>
    </dxf>
    <dxf>
      <font>
        <sz val="28"/>
      </font>
    </dxf>
    <dxf>
      <font>
        <sz val="36"/>
      </font>
    </dxf>
    <dxf>
      <font>
        <sz val="48"/>
      </font>
    </dxf>
    <dxf>
      <font>
        <sz val="72"/>
      </font>
    </dxf>
    <dxf>
      <font>
        <sz val="48"/>
      </font>
    </dxf>
    <dxf>
      <font>
        <sz val="36"/>
      </font>
    </dxf>
    <dxf>
      <font>
        <sz val="28"/>
      </font>
    </dxf>
    <dxf>
      <font>
        <sz val="26"/>
      </font>
    </dxf>
    <dxf>
      <font>
        <sz val="24"/>
      </font>
    </dxf>
    <dxf>
      <font>
        <sz val="22"/>
      </font>
    </dxf>
    <dxf>
      <font>
        <sz val="20"/>
      </font>
    </dxf>
    <dxf>
      <font>
        <sz val="18"/>
      </font>
    </dxf>
    <dxf>
      <font>
        <sz val="16"/>
      </font>
    </dxf>
    <dxf>
      <font>
        <sz val="14"/>
      </font>
    </dxf>
    <dxf>
      <font>
        <sz val="12"/>
      </font>
    </dxf>
    <dxf>
      <alignment horizontal="center" readingOrder="0"/>
    </dxf>
    <dxf>
      <alignment wrapText="1" readingOrder="0"/>
    </dxf>
    <dxf>
      <font>
        <color rgb="FFFF0000"/>
      </font>
    </dxf>
    <dxf>
      <fill>
        <patternFill>
          <bgColor theme="0" tint="-0.249977111117893"/>
        </patternFill>
      </fill>
    </dxf>
    <dxf>
      <fill>
        <patternFill patternType="solid">
          <bgColor rgb="FFFFFF00"/>
        </patternFill>
      </fill>
    </dxf>
    <dxf>
      <alignment horizontal="left" relativeIndent="1" readingOrder="0"/>
    </dxf>
    <dxf>
      <alignment horizontal="left" relativeIndent="1"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vertical="bottom" readingOrder="0"/>
    </dxf>
    <dxf>
      <alignment vertical="bottom" readingOrder="0"/>
    </dxf>
    <dxf>
      <alignment vertical="center" readingOrder="0"/>
    </dxf>
    <dxf>
      <alignment vertical="center" readingOrder="0"/>
    </dxf>
    <dxf>
      <alignment horizontal="left" readingOrder="0"/>
    </dxf>
    <dxf>
      <alignment horizontal="left" readingOrder="0"/>
    </dxf>
    <dxf>
      <alignment horizontal="right" readingOrder="0"/>
    </dxf>
    <dxf>
      <alignment horizontal="right" readingOrder="0"/>
    </dxf>
    <dxf>
      <alignment wrapText="0" readingOrder="0"/>
    </dxf>
    <dxf>
      <alignment wrapText="0" readingOrder="0"/>
    </dxf>
    <dxf>
      <alignment wrapText="1" readingOrder="0"/>
    </dxf>
    <dxf>
      <alignment wrapText="1" readingOrder="0"/>
    </dxf>
    <dxf>
      <numFmt numFmtId="19" formatCode="m/d/yyyy"/>
    </dxf>
    <dxf>
      <numFmt numFmtId="19" formatCode="m/d/yyyy"/>
    </dxf>
    <dxf>
      <numFmt numFmtId="19" formatCode="m/d/yyyy"/>
    </dxf>
    <dxf>
      <numFmt numFmtId="19" formatCode="m/d/yyyy"/>
    </dxf>
    <dxf>
      <alignment horizontal="center" readingOrder="0"/>
    </dxf>
    <dxf>
      <alignment horizontal="center"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4" formatCode="yyyy\-mm\-dd\ hh:mm:ss"/>
    </dxf>
    <dxf>
      <numFmt numFmtId="0" formatCode="General"/>
      <alignment horizontal="left" vertical="bottom" textRotation="0" wrapText="0" indent="0" justifyLastLine="0" shrinkToFit="0" readingOrder="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D3"/>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1"/>
  </tableStyles>
  <extLst>
    <ext xmlns:x14="http://schemas.microsoft.com/office/spreadsheetml/2009/9/main" uri="{46F421CA-312F-682f-3DD2-61675219B42D}">
      <x14:dxfs count="1">
        <dxf>
          <font>
            <color theme="4"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 (Recovered).xlsx]Risk_Analysis!PivotTable2</c:name>
    <c:fmtId val="0"/>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Risk Assess. Per Depart.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Risk_Analysis!$B$5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Risk_Analysis!$A$6:$A$13</c:f>
              <c:strCache>
                <c:ptCount val="8"/>
                <c:pt idx="0">
                  <c:v>Administration</c:v>
                </c:pt>
                <c:pt idx="1">
                  <c:v>Quality</c:v>
                </c:pt>
                <c:pt idx="2">
                  <c:v>Warehouse</c:v>
                </c:pt>
                <c:pt idx="3">
                  <c:v>Electrical</c:v>
                </c:pt>
                <c:pt idx="4">
                  <c:v>Mechanical</c:v>
                </c:pt>
                <c:pt idx="5">
                  <c:v>Utilities</c:v>
                </c:pt>
                <c:pt idx="6">
                  <c:v>Maintenance</c:v>
                </c:pt>
                <c:pt idx="7">
                  <c:v>Production</c:v>
                </c:pt>
              </c:strCache>
            </c:strRef>
          </c:cat>
          <c:val>
            <c:numRef>
              <c:f>Risk_Analysis!$B$6:$B$13</c:f>
              <c:numCache>
                <c:formatCode>General</c:formatCode>
                <c:ptCount val="8"/>
                <c:pt idx="0">
                  <c:v>25</c:v>
                </c:pt>
                <c:pt idx="1">
                  <c:v>25</c:v>
                </c:pt>
                <c:pt idx="2">
                  <c:v>50</c:v>
                </c:pt>
                <c:pt idx="3">
                  <c:v>52</c:v>
                </c:pt>
                <c:pt idx="4">
                  <c:v>61</c:v>
                </c:pt>
                <c:pt idx="5">
                  <c:v>78</c:v>
                </c:pt>
                <c:pt idx="6">
                  <c:v>83</c:v>
                </c:pt>
                <c:pt idx="7">
                  <c:v>126</c:v>
                </c:pt>
              </c:numCache>
            </c:numRef>
          </c:val>
          <c:extLst>
            <c:ext xmlns:c16="http://schemas.microsoft.com/office/drawing/2014/chart" uri="{C3380CC4-5D6E-409C-BE32-E72D297353CC}">
              <c16:uniqueId val="{00000000-5357-42F7-87D3-5473BFF07F7B}"/>
            </c:ext>
          </c:extLst>
        </c:ser>
        <c:dLbls>
          <c:dLblPos val="outEnd"/>
          <c:showLegendKey val="0"/>
          <c:showVal val="1"/>
          <c:showCatName val="0"/>
          <c:showSerName val="0"/>
          <c:showPercent val="0"/>
          <c:showBubbleSize val="0"/>
        </c:dLbls>
        <c:gapWidth val="65"/>
        <c:axId val="380679936"/>
        <c:axId val="380681904"/>
      </c:barChart>
      <c:catAx>
        <c:axId val="380679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380681904"/>
        <c:crosses val="autoZero"/>
        <c:auto val="1"/>
        <c:lblAlgn val="ctr"/>
        <c:lblOffset val="100"/>
        <c:noMultiLvlLbl val="0"/>
      </c:catAx>
      <c:valAx>
        <c:axId val="3806819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8067993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 (Recovered).xlsx]Risk_Analysis!PivotTable3</c:name>
    <c:fmtId val="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Risk Assess. Per Activity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Risk_Analysis!$B$15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Risk_Analysis!$A$16:$A$34</c:f>
              <c:strCache>
                <c:ptCount val="19"/>
                <c:pt idx="0">
                  <c:v>Kiln Operation</c:v>
                </c:pt>
                <c:pt idx="1">
                  <c:v>Forklift Operation</c:v>
                </c:pt>
                <c:pt idx="2">
                  <c:v>Boiler Operation</c:v>
                </c:pt>
                <c:pt idx="3">
                  <c:v>Confined Space Entry</c:v>
                </c:pt>
                <c:pt idx="4">
                  <c:v>Excavation Work</c:v>
                </c:pt>
                <c:pt idx="5">
                  <c:v>Work at Height</c:v>
                </c:pt>
                <c:pt idx="6">
                  <c:v>Pump Maintenance</c:v>
                </c:pt>
                <c:pt idx="7">
                  <c:v>Laboratory Testing</c:v>
                </c:pt>
                <c:pt idx="8">
                  <c:v>Office Work</c:v>
                </c:pt>
                <c:pt idx="9">
                  <c:v>Electrical Panel Maintenance</c:v>
                </c:pt>
                <c:pt idx="10">
                  <c:v>Cable Installation</c:v>
                </c:pt>
                <c:pt idx="11">
                  <c:v>Compressed Air System</c:v>
                </c:pt>
                <c:pt idx="12">
                  <c:v>Raw Material Handling</c:v>
                </c:pt>
                <c:pt idx="13">
                  <c:v>Material Stacking</c:v>
                </c:pt>
                <c:pt idx="14">
                  <c:v>Chemical Handling</c:v>
                </c:pt>
                <c:pt idx="15">
                  <c:v>Grinding Maintenance</c:v>
                </c:pt>
                <c:pt idx="16">
                  <c:v>Mechanical Maintenance</c:v>
                </c:pt>
                <c:pt idx="17">
                  <c:v>Packing Operation</c:v>
                </c:pt>
                <c:pt idx="18">
                  <c:v>Welding and Cutting</c:v>
                </c:pt>
              </c:strCache>
            </c:strRef>
          </c:cat>
          <c:val>
            <c:numRef>
              <c:f>Risk_Analysis!$B$16:$B$34</c:f>
              <c:numCache>
                <c:formatCode>General</c:formatCode>
                <c:ptCount val="19"/>
                <c:pt idx="0">
                  <c:v>21</c:v>
                </c:pt>
                <c:pt idx="1">
                  <c:v>22</c:v>
                </c:pt>
                <c:pt idx="2">
                  <c:v>23</c:v>
                </c:pt>
                <c:pt idx="3">
                  <c:v>23</c:v>
                </c:pt>
                <c:pt idx="4">
                  <c:v>23</c:v>
                </c:pt>
                <c:pt idx="5">
                  <c:v>23</c:v>
                </c:pt>
                <c:pt idx="6">
                  <c:v>24</c:v>
                </c:pt>
                <c:pt idx="7">
                  <c:v>25</c:v>
                </c:pt>
                <c:pt idx="8">
                  <c:v>25</c:v>
                </c:pt>
                <c:pt idx="9">
                  <c:v>26</c:v>
                </c:pt>
                <c:pt idx="10">
                  <c:v>26</c:v>
                </c:pt>
                <c:pt idx="11">
                  <c:v>27</c:v>
                </c:pt>
                <c:pt idx="12">
                  <c:v>27</c:v>
                </c:pt>
                <c:pt idx="13">
                  <c:v>28</c:v>
                </c:pt>
                <c:pt idx="14">
                  <c:v>28</c:v>
                </c:pt>
                <c:pt idx="15">
                  <c:v>29</c:v>
                </c:pt>
                <c:pt idx="16">
                  <c:v>31</c:v>
                </c:pt>
                <c:pt idx="17">
                  <c:v>32</c:v>
                </c:pt>
                <c:pt idx="18">
                  <c:v>37</c:v>
                </c:pt>
              </c:numCache>
            </c:numRef>
          </c:val>
          <c:extLst>
            <c:ext xmlns:c16="http://schemas.microsoft.com/office/drawing/2014/chart" uri="{C3380CC4-5D6E-409C-BE32-E72D297353CC}">
              <c16:uniqueId val="{00000000-9DD5-4FE4-9A70-7A3BA3A5B945}"/>
            </c:ext>
          </c:extLst>
        </c:ser>
        <c:dLbls>
          <c:dLblPos val="outEnd"/>
          <c:showLegendKey val="0"/>
          <c:showVal val="1"/>
          <c:showCatName val="0"/>
          <c:showSerName val="0"/>
          <c:showPercent val="0"/>
          <c:showBubbleSize val="0"/>
        </c:dLbls>
        <c:gapWidth val="100"/>
        <c:axId val="305192648"/>
        <c:axId val="305193304"/>
      </c:barChart>
      <c:catAx>
        <c:axId val="3051926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05193304"/>
        <c:crosses val="autoZero"/>
        <c:auto val="1"/>
        <c:lblAlgn val="ctr"/>
        <c:lblOffset val="100"/>
        <c:noMultiLvlLbl val="0"/>
      </c:catAx>
      <c:valAx>
        <c:axId val="30519330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05192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 (Recovered).xlsx]Risk_Analysis!PivotTable4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Risks Level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Risk_Analysis!$B$36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F1-4430-A05D-3F02E2BE01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ED3-4D5B-B5EA-72F708B472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F1-4430-A05D-3F02E2BE01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F1-4430-A05D-3F02E2BE011A}"/>
              </c:ext>
            </c:extLst>
          </c:dPt>
          <c:dPt>
            <c:idx val="4"/>
            <c:bubble3D val="0"/>
            <c:spPr>
              <a:solidFill>
                <a:schemeClr val="accent5"/>
              </a:solidFill>
              <a:ln w="19050">
                <a:solidFill>
                  <a:schemeClr val="lt1"/>
                </a:solidFill>
              </a:ln>
              <a:effectLst/>
            </c:spPr>
          </c:dPt>
          <c:dLbls>
            <c:delete val="1"/>
          </c:dLbls>
          <c:cat>
            <c:strRef>
              <c:f>Risk_Analysis!$A$37:$A$41</c:f>
              <c:strCache>
                <c:ptCount val="5"/>
                <c:pt idx="0">
                  <c:v>Critical</c:v>
                </c:pt>
                <c:pt idx="1">
                  <c:v>High</c:v>
                </c:pt>
                <c:pt idx="2">
                  <c:v>Low</c:v>
                </c:pt>
                <c:pt idx="3">
                  <c:v>Medium</c:v>
                </c:pt>
                <c:pt idx="4">
                  <c:v>(blank)</c:v>
                </c:pt>
              </c:strCache>
            </c:strRef>
          </c:cat>
          <c:val>
            <c:numRef>
              <c:f>Risk_Analysis!$B$37:$B$41</c:f>
              <c:numCache>
                <c:formatCode>General</c:formatCode>
                <c:ptCount val="5"/>
                <c:pt idx="0">
                  <c:v>100</c:v>
                </c:pt>
                <c:pt idx="1">
                  <c:v>232</c:v>
                </c:pt>
                <c:pt idx="2">
                  <c:v>29</c:v>
                </c:pt>
                <c:pt idx="3">
                  <c:v>139</c:v>
                </c:pt>
              </c:numCache>
            </c:numRef>
          </c:val>
          <c:extLst>
            <c:ext xmlns:c16="http://schemas.microsoft.com/office/drawing/2014/chart" uri="{C3380CC4-5D6E-409C-BE32-E72D297353CC}">
              <c16:uniqueId val="{00000000-5ED3-4D5B-B5EA-72F708B472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 (Recovered).xlsx]Initial&amp;Residual!PivotTable5</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Intitial Risk Score</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'Initial&amp;Residual'!$B$4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49-4D6C-9067-43D7E58F55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49-4D6C-9067-43D7E58F55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49-4D6C-9067-43D7E58F55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49-4D6C-9067-43D7E58F55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F49-4D6C-9067-43D7E58F55D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F49-4D6C-9067-43D7E58F55D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F49-4D6C-9067-43D7E58F55D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F49-4D6C-9067-43D7E58F55D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F49-4D6C-9067-43D7E58F55D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F49-4D6C-9067-43D7E58F55D1}"/>
              </c:ext>
            </c:extLst>
          </c:dPt>
          <c:cat>
            <c:strRef>
              <c:f>'Initial&amp;Residual'!$A$5:$A$15</c:f>
              <c:strCache>
                <c:ptCount val="10"/>
                <c:pt idx="0">
                  <c:v>25</c:v>
                </c:pt>
                <c:pt idx="1">
                  <c:v>20</c:v>
                </c:pt>
                <c:pt idx="2">
                  <c:v>16</c:v>
                </c:pt>
                <c:pt idx="3">
                  <c:v>15</c:v>
                </c:pt>
                <c:pt idx="4">
                  <c:v>12</c:v>
                </c:pt>
                <c:pt idx="5">
                  <c:v>10</c:v>
                </c:pt>
                <c:pt idx="6">
                  <c:v>9</c:v>
                </c:pt>
                <c:pt idx="7">
                  <c:v>8</c:v>
                </c:pt>
                <c:pt idx="8">
                  <c:v>6</c:v>
                </c:pt>
                <c:pt idx="9">
                  <c:v>4</c:v>
                </c:pt>
              </c:strCache>
            </c:strRef>
          </c:cat>
          <c:val>
            <c:numRef>
              <c:f>'Initial&amp;Residual'!$B$5:$B$15</c:f>
              <c:numCache>
                <c:formatCode>General</c:formatCode>
                <c:ptCount val="10"/>
                <c:pt idx="0">
                  <c:v>37</c:v>
                </c:pt>
                <c:pt idx="1">
                  <c:v>63</c:v>
                </c:pt>
                <c:pt idx="2">
                  <c:v>32</c:v>
                </c:pt>
                <c:pt idx="3">
                  <c:v>63</c:v>
                </c:pt>
                <c:pt idx="4">
                  <c:v>74</c:v>
                </c:pt>
                <c:pt idx="5">
                  <c:v>63</c:v>
                </c:pt>
                <c:pt idx="6">
                  <c:v>16</c:v>
                </c:pt>
                <c:pt idx="7">
                  <c:v>50</c:v>
                </c:pt>
                <c:pt idx="8">
                  <c:v>73</c:v>
                </c:pt>
                <c:pt idx="9">
                  <c:v>29</c:v>
                </c:pt>
              </c:numCache>
            </c:numRef>
          </c:val>
          <c:extLst>
            <c:ext xmlns:c16="http://schemas.microsoft.com/office/drawing/2014/chart" uri="{C3380CC4-5D6E-409C-BE32-E72D297353CC}">
              <c16:uniqueId val="{00000000-4D82-4A85-8B89-346EBBBED8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 (Recovered).xlsx]Initial&amp;Residual!PivotTable6</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Residual Risk Score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doughnutChart>
        <c:varyColors val="1"/>
        <c:ser>
          <c:idx val="0"/>
          <c:order val="0"/>
          <c:tx>
            <c:strRef>
              <c:f>'Initial&amp;Residual'!$E$4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C1-4F3A-A2F5-57F58D707A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1-4F3A-A2F5-57F58D707A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C1-4F3A-A2F5-57F58D707A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C1-4F3A-A2F5-57F58D707A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C1-4F3A-A2F5-57F58D707A9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BC1-4F3A-A2F5-57F58D707A9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C1-4F3A-A2F5-57F58D707A9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BC1-4F3A-A2F5-57F58D707A9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BC1-4F3A-A2F5-57F58D707A9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BC1-4F3A-A2F5-57F58D707A9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BC1-4F3A-A2F5-57F58D707A9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BC1-4F3A-A2F5-57F58D707A9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40D-4BD0-A9B1-43A7FFC3254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40D-4BD0-A9B1-43A7FFC32547}"/>
              </c:ext>
            </c:extLst>
          </c:dPt>
          <c:cat>
            <c:strRef>
              <c:f>'Initial&amp;Residual'!$D$5:$D$19</c:f>
              <c:strCache>
                <c:ptCount val="14"/>
                <c:pt idx="0">
                  <c:v>25</c:v>
                </c:pt>
                <c:pt idx="1">
                  <c:v>20</c:v>
                </c:pt>
                <c:pt idx="2">
                  <c:v>16</c:v>
                </c:pt>
                <c:pt idx="3">
                  <c:v>15</c:v>
                </c:pt>
                <c:pt idx="4">
                  <c:v>12</c:v>
                </c:pt>
                <c:pt idx="5">
                  <c:v>10</c:v>
                </c:pt>
                <c:pt idx="6">
                  <c:v>9</c:v>
                </c:pt>
                <c:pt idx="7">
                  <c:v>8</c:v>
                </c:pt>
                <c:pt idx="8">
                  <c:v>6</c:v>
                </c:pt>
                <c:pt idx="9">
                  <c:v>5</c:v>
                </c:pt>
                <c:pt idx="10">
                  <c:v>4</c:v>
                </c:pt>
                <c:pt idx="11">
                  <c:v>3</c:v>
                </c:pt>
                <c:pt idx="12">
                  <c:v>2</c:v>
                </c:pt>
                <c:pt idx="13">
                  <c:v>1</c:v>
                </c:pt>
              </c:strCache>
            </c:strRef>
          </c:cat>
          <c:val>
            <c:numRef>
              <c:f>'Initial&amp;Residual'!$E$5:$E$19</c:f>
              <c:numCache>
                <c:formatCode>General</c:formatCode>
                <c:ptCount val="14"/>
                <c:pt idx="0">
                  <c:v>4</c:v>
                </c:pt>
                <c:pt idx="1">
                  <c:v>23</c:v>
                </c:pt>
                <c:pt idx="2">
                  <c:v>26</c:v>
                </c:pt>
                <c:pt idx="3">
                  <c:v>24</c:v>
                </c:pt>
                <c:pt idx="4">
                  <c:v>61</c:v>
                </c:pt>
                <c:pt idx="5">
                  <c:v>14</c:v>
                </c:pt>
                <c:pt idx="6">
                  <c:v>38</c:v>
                </c:pt>
                <c:pt idx="7">
                  <c:v>55</c:v>
                </c:pt>
                <c:pt idx="8">
                  <c:v>53</c:v>
                </c:pt>
                <c:pt idx="9">
                  <c:v>24</c:v>
                </c:pt>
                <c:pt idx="10">
                  <c:v>74</c:v>
                </c:pt>
                <c:pt idx="11">
                  <c:v>36</c:v>
                </c:pt>
                <c:pt idx="12">
                  <c:v>56</c:v>
                </c:pt>
                <c:pt idx="13">
                  <c:v>12</c:v>
                </c:pt>
              </c:numCache>
            </c:numRef>
          </c:val>
          <c:extLst>
            <c:ext xmlns:c16="http://schemas.microsoft.com/office/drawing/2014/chart" uri="{C3380CC4-5D6E-409C-BE32-E72D297353CC}">
              <c16:uniqueId val="{00000000-73C6-4103-BB1C-D69F659716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 (Recovered).xlsx]Initial&amp;Residual!PivotTable2</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Risk Score Reduction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18592297476759628"/>
          <c:y val="0.35069845435987168"/>
          <c:w val="0.50246049921050706"/>
          <c:h val="0.43790828229804607"/>
        </c:manualLayout>
      </c:layout>
      <c:pieChart>
        <c:varyColors val="1"/>
        <c:ser>
          <c:idx val="0"/>
          <c:order val="0"/>
          <c:tx>
            <c:strRef>
              <c:f>'Initial&amp;Residual'!$K$4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69C-455A-953A-E0D143C9EBF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69C-455A-953A-E0D143C9EBF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'Initial&amp;Residual'!$J$5:$J$7</c:f>
              <c:strCache>
                <c:ptCount val="2"/>
                <c:pt idx="0">
                  <c:v>Reduced</c:v>
                </c:pt>
                <c:pt idx="1">
                  <c:v>No Reduction</c:v>
                </c:pt>
              </c:strCache>
            </c:strRef>
          </c:cat>
          <c:val>
            <c:numRef>
              <c:f>'Initial&amp;Residual'!$K$5:$K$7</c:f>
              <c:numCache>
                <c:formatCode>General</c:formatCode>
                <c:ptCount val="2"/>
                <c:pt idx="0">
                  <c:v>475</c:v>
                </c:pt>
                <c:pt idx="1">
                  <c:v>25</c:v>
                </c:pt>
              </c:numCache>
            </c:numRef>
          </c:val>
          <c:extLst>
            <c:ext xmlns:c16="http://schemas.microsoft.com/office/drawing/2014/chart" uri="{C3380CC4-5D6E-409C-BE32-E72D297353CC}">
              <c16:uniqueId val="{00000000-A31C-4DA2-AFDB-A64C9C6CEA93}"/>
            </c:ext>
          </c:extLst>
        </c:ser>
        <c:dLbls>
          <c:dLblPos val="bestFit"/>
          <c:showLegendKey val="0"/>
          <c:showVal val="0"/>
          <c:showCatName val="0"/>
          <c:showSerName val="0"/>
          <c:showPercent val="0"/>
          <c:showBubbleSize val="0"/>
          <c:showLeaderLines val="1"/>
        </c:dLbls>
        <c:firstSliceAng val="0"/>
      </c:pieChart>
      <c:spPr>
        <a:noFill/>
        <a:ln>
          <a:solidFill>
            <a:schemeClr val="bg2">
              <a:lumMod val="10000"/>
            </a:schemeClr>
          </a:solidFill>
        </a:ln>
        <a:effectLst/>
      </c:spPr>
    </c:plotArea>
    <c:legend>
      <c:legendPos val="r"/>
      <c:layout>
        <c:manualLayout>
          <c:xMode val="edge"/>
          <c:yMode val="edge"/>
          <c:x val="0.60339011408434506"/>
          <c:y val="0.19986038203557888"/>
          <c:w val="0.2937888636403671"/>
          <c:h val="0.182187509962064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 (Recovered).xlsx]Resid. Risks Analysis!PivotTable3</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Residual Risks Level</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'Resid. Risks Analysis'!$B$7:$B$8</c:f>
              <c:strCache>
                <c:ptCount val="1"/>
                <c:pt idx="0">
                  <c:v>Critical</c:v>
                </c:pt>
              </c:strCache>
            </c:strRef>
          </c:tx>
          <c:spPr>
            <a:solidFill>
              <a:schemeClr val="accent1"/>
            </a:solidFill>
            <a:ln>
              <a:noFill/>
            </a:ln>
            <a:effectLst/>
          </c:spPr>
          <c:invertIfNegative val="0"/>
          <c:cat>
            <c:strRef>
              <c:f>'Resid. Risks Analysis'!$A$9:$A$17</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'Resid. Risks Analysis'!$B$9:$B$17</c:f>
              <c:numCache>
                <c:formatCode>General</c:formatCode>
                <c:ptCount val="8"/>
                <c:pt idx="0">
                  <c:v>2</c:v>
                </c:pt>
                <c:pt idx="1">
                  <c:v>3</c:v>
                </c:pt>
                <c:pt idx="2">
                  <c:v>4</c:v>
                </c:pt>
                <c:pt idx="3">
                  <c:v>1</c:v>
                </c:pt>
                <c:pt idx="4">
                  <c:v>7</c:v>
                </c:pt>
                <c:pt idx="5">
                  <c:v>1</c:v>
                </c:pt>
                <c:pt idx="6">
                  <c:v>3</c:v>
                </c:pt>
                <c:pt idx="7">
                  <c:v>6</c:v>
                </c:pt>
              </c:numCache>
            </c:numRef>
          </c:val>
          <c:extLst>
            <c:ext xmlns:c16="http://schemas.microsoft.com/office/drawing/2014/chart" uri="{C3380CC4-5D6E-409C-BE32-E72D297353CC}">
              <c16:uniqueId val="{0000000C-4A3B-4A9E-B53D-28F16CB616D7}"/>
            </c:ext>
          </c:extLst>
        </c:ser>
        <c:ser>
          <c:idx val="1"/>
          <c:order val="1"/>
          <c:tx>
            <c:strRef>
              <c:f>'Resid. Risks Analysis'!$C$7:$C$8</c:f>
              <c:strCache>
                <c:ptCount val="1"/>
                <c:pt idx="0">
                  <c:v>High</c:v>
                </c:pt>
              </c:strCache>
            </c:strRef>
          </c:tx>
          <c:spPr>
            <a:solidFill>
              <a:schemeClr val="accent2"/>
            </a:solidFill>
            <a:ln>
              <a:noFill/>
            </a:ln>
            <a:effectLst/>
          </c:spPr>
          <c:invertIfNegative val="0"/>
          <c:cat>
            <c:strRef>
              <c:f>'Resid. Risks Analysis'!$A$9:$A$17</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'Resid. Risks Analysis'!$C$9:$C$17</c:f>
              <c:numCache>
                <c:formatCode>General</c:formatCode>
                <c:ptCount val="8"/>
                <c:pt idx="0">
                  <c:v>6</c:v>
                </c:pt>
                <c:pt idx="1">
                  <c:v>14</c:v>
                </c:pt>
                <c:pt idx="2">
                  <c:v>29</c:v>
                </c:pt>
                <c:pt idx="3">
                  <c:v>23</c:v>
                </c:pt>
                <c:pt idx="4">
                  <c:v>23</c:v>
                </c:pt>
                <c:pt idx="5">
                  <c:v>6</c:v>
                </c:pt>
                <c:pt idx="6">
                  <c:v>16</c:v>
                </c:pt>
                <c:pt idx="7">
                  <c:v>8</c:v>
                </c:pt>
              </c:numCache>
            </c:numRef>
          </c:val>
          <c:extLst>
            <c:ext xmlns:c16="http://schemas.microsoft.com/office/drawing/2014/chart" uri="{C3380CC4-5D6E-409C-BE32-E72D297353CC}">
              <c16:uniqueId val="{0000000D-4A3B-4A9E-B53D-28F16CB616D7}"/>
            </c:ext>
          </c:extLst>
        </c:ser>
        <c:ser>
          <c:idx val="2"/>
          <c:order val="2"/>
          <c:tx>
            <c:strRef>
              <c:f>'Resid. Risks Analysis'!$D$7:$D$8</c:f>
              <c:strCache>
                <c:ptCount val="1"/>
                <c:pt idx="0">
                  <c:v>Low</c:v>
                </c:pt>
              </c:strCache>
            </c:strRef>
          </c:tx>
          <c:spPr>
            <a:solidFill>
              <a:schemeClr val="accent3"/>
            </a:solidFill>
            <a:ln>
              <a:noFill/>
            </a:ln>
            <a:effectLst/>
          </c:spPr>
          <c:invertIfNegative val="0"/>
          <c:cat>
            <c:strRef>
              <c:f>'Resid. Risks Analysis'!$A$9:$A$17</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'Resid. Risks Analysis'!$D$9:$D$17</c:f>
              <c:numCache>
                <c:formatCode>General</c:formatCode>
                <c:ptCount val="8"/>
                <c:pt idx="0">
                  <c:v>8</c:v>
                </c:pt>
                <c:pt idx="1">
                  <c:v>21</c:v>
                </c:pt>
                <c:pt idx="2">
                  <c:v>24</c:v>
                </c:pt>
                <c:pt idx="3">
                  <c:v>17</c:v>
                </c:pt>
                <c:pt idx="4">
                  <c:v>49</c:v>
                </c:pt>
                <c:pt idx="5">
                  <c:v>9</c:v>
                </c:pt>
                <c:pt idx="6">
                  <c:v>32</c:v>
                </c:pt>
                <c:pt idx="7">
                  <c:v>18</c:v>
                </c:pt>
              </c:numCache>
            </c:numRef>
          </c:val>
          <c:extLst>
            <c:ext xmlns:c16="http://schemas.microsoft.com/office/drawing/2014/chart" uri="{C3380CC4-5D6E-409C-BE32-E72D297353CC}">
              <c16:uniqueId val="{0000000E-4A3B-4A9E-B53D-28F16CB616D7}"/>
            </c:ext>
          </c:extLst>
        </c:ser>
        <c:ser>
          <c:idx val="3"/>
          <c:order val="3"/>
          <c:tx>
            <c:strRef>
              <c:f>'Resid. Risks Analysis'!$E$7:$E$8</c:f>
              <c:strCache>
                <c:ptCount val="1"/>
                <c:pt idx="0">
                  <c:v>Medium</c:v>
                </c:pt>
              </c:strCache>
            </c:strRef>
          </c:tx>
          <c:spPr>
            <a:solidFill>
              <a:schemeClr val="accent4"/>
            </a:solidFill>
            <a:ln>
              <a:noFill/>
            </a:ln>
            <a:effectLst/>
          </c:spPr>
          <c:invertIfNegative val="0"/>
          <c:cat>
            <c:strRef>
              <c:f>'Resid. Risks Analysis'!$A$9:$A$17</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'Resid. Risks Analysis'!$E$9:$E$17</c:f>
              <c:numCache>
                <c:formatCode>General</c:formatCode>
                <c:ptCount val="8"/>
                <c:pt idx="0">
                  <c:v>9</c:v>
                </c:pt>
                <c:pt idx="1">
                  <c:v>14</c:v>
                </c:pt>
                <c:pt idx="2">
                  <c:v>26</c:v>
                </c:pt>
                <c:pt idx="3">
                  <c:v>20</c:v>
                </c:pt>
                <c:pt idx="4">
                  <c:v>47</c:v>
                </c:pt>
                <c:pt idx="5">
                  <c:v>9</c:v>
                </c:pt>
                <c:pt idx="6">
                  <c:v>27</c:v>
                </c:pt>
                <c:pt idx="7">
                  <c:v>18</c:v>
                </c:pt>
              </c:numCache>
            </c:numRef>
          </c:val>
          <c:extLst>
            <c:ext xmlns:c16="http://schemas.microsoft.com/office/drawing/2014/chart" uri="{C3380CC4-5D6E-409C-BE32-E72D297353CC}">
              <c16:uniqueId val="{0000000F-4A3B-4A9E-B53D-28F16CB616D7}"/>
            </c:ext>
          </c:extLst>
        </c:ser>
        <c:dLbls>
          <c:showLegendKey val="0"/>
          <c:showVal val="0"/>
          <c:showCatName val="0"/>
          <c:showSerName val="0"/>
          <c:showPercent val="0"/>
          <c:showBubbleSize val="0"/>
        </c:dLbls>
        <c:gapWidth val="219"/>
        <c:overlap val="-27"/>
        <c:axId val="414259560"/>
        <c:axId val="414259888"/>
      </c:barChart>
      <c:catAx>
        <c:axId val="414259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14259888"/>
        <c:crosses val="autoZero"/>
        <c:auto val="1"/>
        <c:lblAlgn val="ctr"/>
        <c:lblOffset val="100"/>
        <c:noMultiLvlLbl val="0"/>
      </c:catAx>
      <c:valAx>
        <c:axId val="41425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14259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 (Recovered).xlsx]Resid. Risks Dept.!PivotTable4</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Residual Risks Per Department</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'Resid. Risks Dept.'!$B$4</c:f>
              <c:strCache>
                <c:ptCount val="1"/>
                <c:pt idx="0">
                  <c:v>Total</c:v>
                </c:pt>
              </c:strCache>
            </c:strRef>
          </c:tx>
          <c:spPr>
            <a:solidFill>
              <a:schemeClr val="accent1"/>
            </a:solidFill>
            <a:ln>
              <a:noFill/>
            </a:ln>
            <a:effectLst/>
          </c:spPr>
          <c:invertIfNegative val="0"/>
          <c:dLbls>
            <c:delete val="1"/>
          </c:dLbls>
          <c:cat>
            <c:strRef>
              <c:f>'Resid. Risks Dept.'!$A$5:$A$13</c:f>
              <c:strCache>
                <c:ptCount val="8"/>
                <c:pt idx="0">
                  <c:v>Production</c:v>
                </c:pt>
                <c:pt idx="1">
                  <c:v>Maintenance</c:v>
                </c:pt>
                <c:pt idx="2">
                  <c:v>Utilities</c:v>
                </c:pt>
                <c:pt idx="3">
                  <c:v>Mechanical</c:v>
                </c:pt>
                <c:pt idx="4">
                  <c:v>Electrical</c:v>
                </c:pt>
                <c:pt idx="5">
                  <c:v>Warehouse</c:v>
                </c:pt>
                <c:pt idx="6">
                  <c:v>Administration</c:v>
                </c:pt>
                <c:pt idx="7">
                  <c:v>Quality</c:v>
                </c:pt>
              </c:strCache>
            </c:strRef>
          </c:cat>
          <c:val>
            <c:numRef>
              <c:f>'Resid. Risks Dept.'!$B$5:$B$13</c:f>
              <c:numCache>
                <c:formatCode>General</c:formatCode>
                <c:ptCount val="8"/>
                <c:pt idx="0">
                  <c:v>126</c:v>
                </c:pt>
                <c:pt idx="1">
                  <c:v>83</c:v>
                </c:pt>
                <c:pt idx="2">
                  <c:v>78</c:v>
                </c:pt>
                <c:pt idx="3">
                  <c:v>61</c:v>
                </c:pt>
                <c:pt idx="4">
                  <c:v>52</c:v>
                </c:pt>
                <c:pt idx="5">
                  <c:v>50</c:v>
                </c:pt>
                <c:pt idx="6">
                  <c:v>25</c:v>
                </c:pt>
                <c:pt idx="7">
                  <c:v>25</c:v>
                </c:pt>
              </c:numCache>
            </c:numRef>
          </c:val>
          <c:extLst>
            <c:ext xmlns:c16="http://schemas.microsoft.com/office/drawing/2014/chart" uri="{C3380CC4-5D6E-409C-BE32-E72D297353CC}">
              <c16:uniqueId val="{00000000-D1D1-4B3E-B88E-0C2647201A3A}"/>
            </c:ext>
          </c:extLst>
        </c:ser>
        <c:dLbls>
          <c:dLblPos val="outEnd"/>
          <c:showLegendKey val="0"/>
          <c:showVal val="1"/>
          <c:showCatName val="0"/>
          <c:showSerName val="0"/>
          <c:showPercent val="0"/>
          <c:showBubbleSize val="0"/>
        </c:dLbls>
        <c:gapWidth val="219"/>
        <c:overlap val="-27"/>
        <c:axId val="414273992"/>
        <c:axId val="414273008"/>
      </c:barChart>
      <c:catAx>
        <c:axId val="41427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0" i="0" u="none" strike="noStrike" kern="1200" cap="none" spc="0" baseline="0">
                <a:ln w="0"/>
                <a:solidFill>
                  <a:schemeClr val="tx1">
                    <a:lumMod val="85000"/>
                    <a:lumOff val="1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414273008"/>
        <c:crosses val="autoZero"/>
        <c:auto val="1"/>
        <c:lblAlgn val="ctr"/>
        <c:lblOffset val="100"/>
        <c:noMultiLvlLbl val="1"/>
      </c:catAx>
      <c:valAx>
        <c:axId val="41427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14273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23812</xdr:colOff>
      <xdr:row>4</xdr:row>
      <xdr:rowOff>9524</xdr:rowOff>
    </xdr:from>
    <xdr:to>
      <xdr:col>6</xdr:col>
      <xdr:colOff>28575</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38099</xdr:colOff>
      <xdr:row>4</xdr:row>
      <xdr:rowOff>11204</xdr:rowOff>
    </xdr:from>
    <xdr:to>
      <xdr:col>11</xdr:col>
      <xdr:colOff>628649</xdr:colOff>
      <xdr:row>20</xdr:row>
      <xdr:rowOff>72164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xdr:colOff>
      <xdr:row>0</xdr:row>
      <xdr:rowOff>9525</xdr:rowOff>
    </xdr:from>
    <xdr:to>
      <xdr:col>2</xdr:col>
      <xdr:colOff>279026</xdr:colOff>
      <xdr:row>2</xdr:row>
      <xdr:rowOff>177165</xdr:rowOff>
    </xdr:to>
    <mc:AlternateContent xmlns:mc="http://schemas.openxmlformats.org/markup-compatibility/2006" xmlns:a14="http://schemas.microsoft.com/office/drawing/2010/main">
      <mc:Choice Requires="a14">
        <xdr:graphicFrame macro="">
          <xdr:nvGraphicFramePr>
            <xdr:cNvPr id="5"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 y="9525"/>
              <a:ext cx="2385730"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14286</xdr:colOff>
      <xdr:row>20</xdr:row>
      <xdr:rowOff>85725</xdr:rowOff>
    </xdr:from>
    <xdr:to>
      <xdr:col>6</xdr:col>
      <xdr:colOff>28575</xdr:colOff>
      <xdr:row>36</xdr:row>
      <xdr:rowOff>146685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28574</xdr:colOff>
      <xdr:row>3</xdr:row>
      <xdr:rowOff>9525</xdr:rowOff>
    </xdr:from>
    <xdr:to>
      <xdr:col>2</xdr:col>
      <xdr:colOff>2257425</xdr:colOff>
      <xdr:row>14</xdr:row>
      <xdr:rowOff>190499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14287</xdr:colOff>
      <xdr:row>3</xdr:row>
      <xdr:rowOff>0</xdr:rowOff>
    </xdr:from>
    <xdr:to>
      <xdr:col>7</xdr:col>
      <xdr:colOff>600075</xdr:colOff>
      <xdr:row>17</xdr:row>
      <xdr:rowOff>9525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xdr:col>
      <xdr:colOff>2705099</xdr:colOff>
      <xdr:row>3</xdr:row>
      <xdr:rowOff>9525</xdr:rowOff>
    </xdr:to>
    <mc:AlternateContent xmlns:mc="http://schemas.openxmlformats.org/markup-compatibility/2006" xmlns:a14="http://schemas.microsoft.com/office/drawing/2010/main">
      <mc:Choice Requires="a14">
        <xdr:graphicFrame macro="">
          <xdr:nvGraphicFramePr>
            <xdr:cNvPr id="14" name="Years2"/>
            <xdr:cNvGraphicFramePr/>
          </xdr:nvGraphicFramePr>
          <xdr:xfrm>
            <a:off x="0" y="0"/>
            <a:ext cx="0" cy="0"/>
          </xdr:xfrm>
          <a:graphic>
            <a:graphicData uri="http://schemas.microsoft.com/office/drawing/2010/slicer">
              <sle:slicer xmlns:sle="http://schemas.microsoft.com/office/drawing/2010/slicer" name="Years2"/>
            </a:graphicData>
          </a:graphic>
        </xdr:graphicFrame>
      </mc:Choice>
      <mc:Fallback xmlns="">
        <xdr:sp macro="" textlink="">
          <xdr:nvSpPr>
            <xdr:cNvPr id="0" name=""/>
            <xdr:cNvSpPr>
              <a:spLocks noTextEdit="1"/>
            </xdr:cNvSpPr>
          </xdr:nvSpPr>
          <xdr:spPr>
            <a:xfrm>
              <a:off x="0" y="0"/>
              <a:ext cx="4429124" cy="58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514350</xdr:colOff>
      <xdr:row>7</xdr:row>
      <xdr:rowOff>38100</xdr:rowOff>
    </xdr:from>
    <xdr:to>
      <xdr:col>13</xdr:col>
      <xdr:colOff>161925</xdr:colOff>
      <xdr:row>19</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295275</xdr:colOff>
      <xdr:row>17</xdr:row>
      <xdr:rowOff>9524</xdr:rowOff>
    </xdr:from>
    <xdr:to>
      <xdr:col>2</xdr:col>
      <xdr:colOff>2276475</xdr:colOff>
      <xdr:row>21</xdr:row>
      <xdr:rowOff>190499</xdr:rowOff>
    </xdr:to>
    <xdr:sp macro="" textlink="">
      <xdr:nvSpPr>
        <xdr:cNvPr id="3" name="TextBox 2"/>
        <xdr:cNvSpPr txBox="1"/>
      </xdr:nvSpPr>
      <xdr:spPr>
        <a:xfrm>
          <a:off x="295275" y="3248024"/>
          <a:ext cx="3705225" cy="942975"/>
        </a:xfrm>
        <a:prstGeom prst="rect">
          <a:avLst/>
        </a:prstGeom>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b="1"/>
            <a:t>95%</a:t>
          </a:r>
          <a:r>
            <a:rPr lang="en-US" sz="1100" b="1" baseline="0"/>
            <a:t> of the risk assessments showed a reduction from the initial to residual risk score, while 5% showed no reduction.</a:t>
          </a:r>
        </a:p>
        <a:p>
          <a:r>
            <a:rPr lang="en-US" sz="1100" b="1" baseline="0"/>
            <a:t>The avg. risk score decreased from 12.5 to 9.7 , representing 22.4% reduction.</a:t>
          </a:r>
        </a:p>
        <a:p>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504825</xdr:colOff>
      <xdr:row>0</xdr:row>
      <xdr:rowOff>19049</xdr:rowOff>
    </xdr:from>
    <xdr:to>
      <xdr:col>16</xdr:col>
      <xdr:colOff>314325</xdr:colOff>
      <xdr:row>6</xdr:row>
      <xdr:rowOff>9524</xdr:rowOff>
    </xdr:to>
    <xdr:sp macro="" textlink="">
      <xdr:nvSpPr>
        <xdr:cNvPr id="2" name="TextBox 1"/>
        <xdr:cNvSpPr txBox="1"/>
      </xdr:nvSpPr>
      <xdr:spPr>
        <a:xfrm>
          <a:off x="5848350" y="19049"/>
          <a:ext cx="4972050" cy="1133475"/>
        </a:xfrm>
        <a:prstGeom prst="rect">
          <a:avLst/>
        </a:prstGeom>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200" b="1"/>
            <a:t>After controls</a:t>
          </a:r>
          <a:r>
            <a:rPr lang="en-US" sz="1200" b="1" baseline="0"/>
            <a:t>, 152 assessments remain High or Critical(30.40%). That means the controls reduced many risks, but a significant portion still requires management attention.</a:t>
          </a:r>
        </a:p>
        <a:p>
          <a:r>
            <a:rPr lang="en-US" sz="1200" b="1" baseline="0"/>
            <a:t>The highest Critical and High residual risks are concentrated in different departments.</a:t>
          </a:r>
          <a:endParaRPr lang="en-US" sz="1200" b="1"/>
        </a:p>
      </xdr:txBody>
    </xdr:sp>
    <xdr:clientData/>
  </xdr:twoCellAnchor>
  <xdr:twoCellAnchor>
    <xdr:from>
      <xdr:col>5</xdr:col>
      <xdr:colOff>19050</xdr:colOff>
      <xdr:row>6</xdr:row>
      <xdr:rowOff>0</xdr:rowOff>
    </xdr:from>
    <xdr:to>
      <xdr:col>16</xdr:col>
      <xdr:colOff>323850</xdr:colOff>
      <xdr:row>19</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9525</xdr:rowOff>
    </xdr:from>
    <xdr:to>
      <xdr:col>8</xdr:col>
      <xdr:colOff>485775</xdr:colOff>
      <xdr:row>5</xdr:row>
      <xdr:rowOff>152400</xdr:rowOff>
    </xdr:to>
    <mc:AlternateContent xmlns:mc="http://schemas.openxmlformats.org/markup-compatibility/2006" xmlns:tsle="http://schemas.microsoft.com/office/drawing/2012/timeslicer">
      <mc:Choice Requires="tsle">
        <xdr:graphicFrame macro="">
          <xdr:nvGraphicFramePr>
            <xdr:cNvPr id="4" name="Review Date"/>
            <xdr:cNvGraphicFramePr/>
          </xdr:nvGraphicFramePr>
          <xdr:xfrm>
            <a:off x="0" y="0"/>
            <a:ext cx="0" cy="0"/>
          </xdr:xfrm>
          <a:graphic>
            <a:graphicData uri="http://schemas.microsoft.com/office/drawing/2012/timeslicer">
              <tsle:timeslicer name="Review Date"/>
            </a:graphicData>
          </a:graphic>
        </xdr:graphicFrame>
      </mc:Choice>
      <mc:Fallback xmlns="">
        <xdr:sp macro="" textlink="">
          <xdr:nvSpPr>
            <xdr:cNvPr id="0" name=""/>
            <xdr:cNvSpPr>
              <a:spLocks noTextEdit="1"/>
            </xdr:cNvSpPr>
          </xdr:nvSpPr>
          <xdr:spPr>
            <a:xfrm>
              <a:off x="0" y="9525"/>
              <a:ext cx="5829300" cy="1095375"/>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4</xdr:col>
      <xdr:colOff>733425</xdr:colOff>
      <xdr:row>3</xdr:row>
      <xdr:rowOff>19050</xdr:rowOff>
    </xdr:to>
    <mc:AlternateContent xmlns:mc="http://schemas.openxmlformats.org/markup-compatibility/2006" xmlns:a14="http://schemas.microsoft.com/office/drawing/2010/main">
      <mc:Choice Requires="a14">
        <xdr:graphicFrame macro="">
          <xdr:nvGraphicFramePr>
            <xdr:cNvPr id="2" name="Residual Risk Level"/>
            <xdr:cNvGraphicFramePr/>
          </xdr:nvGraphicFramePr>
          <xdr:xfrm>
            <a:off x="0" y="0"/>
            <a:ext cx="0" cy="0"/>
          </xdr:xfrm>
          <a:graphic>
            <a:graphicData uri="http://schemas.microsoft.com/office/drawing/2010/slicer">
              <sle:slicer xmlns:sle="http://schemas.microsoft.com/office/drawing/2010/slicer" name="Residual Risk Level"/>
            </a:graphicData>
          </a:graphic>
        </xdr:graphicFrame>
      </mc:Choice>
      <mc:Fallback xmlns="">
        <xdr:sp macro="" textlink="">
          <xdr:nvSpPr>
            <xdr:cNvPr id="0" name=""/>
            <xdr:cNvSpPr>
              <a:spLocks noTextEdit="1"/>
            </xdr:cNvSpPr>
          </xdr:nvSpPr>
          <xdr:spPr>
            <a:xfrm>
              <a:off x="9525" y="0"/>
              <a:ext cx="45339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9524</xdr:colOff>
      <xdr:row>0</xdr:row>
      <xdr:rowOff>19049</xdr:rowOff>
    </xdr:from>
    <xdr:to>
      <xdr:col>13</xdr:col>
      <xdr:colOff>9525</xdr:colOff>
      <xdr:row>18</xdr:row>
      <xdr:rowOff>180975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13</xdr:row>
      <xdr:rowOff>180975</xdr:rowOff>
    </xdr:from>
    <xdr:to>
      <xdr:col>4</xdr:col>
      <xdr:colOff>19050</xdr:colOff>
      <xdr:row>20</xdr:row>
      <xdr:rowOff>85725</xdr:rowOff>
    </xdr:to>
    <xdr:sp macro="" textlink="">
      <xdr:nvSpPr>
        <xdr:cNvPr id="3" name="TextBox 2"/>
        <xdr:cNvSpPr txBox="1"/>
      </xdr:nvSpPr>
      <xdr:spPr>
        <a:xfrm>
          <a:off x="19050" y="2657475"/>
          <a:ext cx="3810000" cy="1238250"/>
        </a:xfrm>
        <a:prstGeom prst="rect">
          <a:avLst/>
        </a:prstGeom>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lang="en-US" sz="1200" b="0" cap="none" spc="0">
              <a:ln w="0"/>
              <a:solidFill>
                <a:schemeClr val="tx1"/>
              </a:solidFill>
              <a:effectLst>
                <a:outerShdw blurRad="38100" dist="19050" dir="2700000" algn="tl" rotWithShape="0">
                  <a:schemeClr val="dk1">
                    <a:alpha val="40000"/>
                  </a:schemeClr>
                </a:outerShdw>
              </a:effectLst>
            </a:rPr>
            <a:t>The</a:t>
          </a:r>
          <a:r>
            <a:rPr lang="en-US" sz="1200" b="0" cap="none" spc="0" baseline="0">
              <a:ln w="0"/>
              <a:solidFill>
                <a:schemeClr val="tx1"/>
              </a:solidFill>
              <a:effectLst>
                <a:outerShdw blurRad="38100" dist="19050" dir="2700000" algn="tl" rotWithShape="0">
                  <a:schemeClr val="dk1">
                    <a:alpha val="40000"/>
                  </a:schemeClr>
                </a:outerShdw>
              </a:effectLst>
            </a:rPr>
            <a:t> production department has the highest number of residual risks associated with its activities as a whole, but in terms of activities assessment, the Mechanical department has activities with the highest number of residual risks. Review PTW compliance, JSA/JHA and provide suitable PPE.</a:t>
          </a: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10583</xdr:colOff>
      <xdr:row>2</xdr:row>
      <xdr:rowOff>10583</xdr:rowOff>
    </xdr:to>
    <mc:AlternateContent xmlns:mc="http://schemas.openxmlformats.org/markup-compatibility/2006">
      <mc:Choice xmlns:a14="http://schemas.microsoft.com/office/drawing/2010/main" Requires="a14">
        <xdr:graphicFrame macro="">
          <xdr:nvGraphicFramePr>
            <xdr:cNvPr id="2" name="Control Implementation Status"/>
            <xdr:cNvGraphicFramePr/>
          </xdr:nvGraphicFramePr>
          <xdr:xfrm>
            <a:off x="0" y="0"/>
            <a:ext cx="0" cy="0"/>
          </xdr:xfrm>
          <a:graphic>
            <a:graphicData uri="http://schemas.microsoft.com/office/drawing/2010/slicer">
              <sle:slicer xmlns:sle="http://schemas.microsoft.com/office/drawing/2010/slicer" name="Control Implementation Status"/>
            </a:graphicData>
          </a:graphic>
        </xdr:graphicFrame>
      </mc:Choice>
      <mc:Fallback>
        <xdr:sp macro="" textlink="">
          <xdr:nvSpPr>
            <xdr:cNvPr id="0" name=""/>
            <xdr:cNvSpPr>
              <a:spLocks noTextEdit="1"/>
            </xdr:cNvSpPr>
          </xdr:nvSpPr>
          <xdr:spPr>
            <a:xfrm>
              <a:off x="9525" y="9525"/>
              <a:ext cx="4287308" cy="699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10583</xdr:colOff>
      <xdr:row>3</xdr:row>
      <xdr:rowOff>84667</xdr:rowOff>
    </xdr:from>
    <xdr:to>
      <xdr:col>9</xdr:col>
      <xdr:colOff>0</xdr:colOff>
      <xdr:row>8</xdr:row>
      <xdr:rowOff>0</xdr:rowOff>
    </xdr:to>
    <xdr:sp macro="" textlink="">
      <xdr:nvSpPr>
        <xdr:cNvPr id="4" name="TextBox 3"/>
        <xdr:cNvSpPr txBox="1"/>
      </xdr:nvSpPr>
      <xdr:spPr>
        <a:xfrm>
          <a:off x="8551333" y="973667"/>
          <a:ext cx="3947584" cy="867833"/>
        </a:xfrm>
        <a:prstGeom prst="rect">
          <a:avLst/>
        </a:prstGeom>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lang="en-US" sz="1200" b="0" cap="none" spc="0">
              <a:ln w="0"/>
              <a:solidFill>
                <a:schemeClr val="tx1"/>
              </a:solidFill>
              <a:effectLst>
                <a:outerShdw blurRad="38100" dist="19050" dir="2700000" algn="tl" rotWithShape="0">
                  <a:schemeClr val="dk1">
                    <a:alpha val="40000"/>
                  </a:schemeClr>
                </a:outerShdw>
              </a:effectLst>
            </a:rPr>
            <a:t>More</a:t>
          </a:r>
          <a:r>
            <a:rPr lang="en-US" sz="1200" b="0" cap="none" spc="0" baseline="0">
              <a:ln w="0"/>
              <a:solidFill>
                <a:schemeClr val="tx1"/>
              </a:solidFill>
              <a:effectLst>
                <a:outerShdw blurRad="38100" dist="19050" dir="2700000" algn="tl" rotWithShape="0">
                  <a:schemeClr val="dk1">
                    <a:alpha val="40000"/>
                  </a:schemeClr>
                </a:outerShdw>
              </a:effectLst>
            </a:rPr>
            <a:t> focus should be on implementing conrols for Hot Work and Moving Parts Hazards as they represent high fraction of other hazards being controlled, about 24 % of the total risks.</a:t>
          </a:r>
        </a:p>
        <a:p>
          <a:pPr algn="l"/>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Mustafa" refreshedDate="46289.975606828702" createdVersion="6" refreshedVersion="6" minRefreshableVersion="3" recordCount="501">
  <cacheSource type="worksheet">
    <worksheetSource ref="A1:V1048576" sheet="Risk Assessments"/>
  </cacheSource>
  <cacheFields count="24">
    <cacheField name="Risk ID" numFmtId="0">
      <sharedItems containsBlank="1"/>
    </cacheField>
    <cacheField name="Assessment Date" numFmtId="0">
      <sharedItems containsNonDate="0" containsDate="1" containsString="0" containsBlank="1" minDate="2025-01-02T00:00:00" maxDate="2027-01-01T00:00:00"/>
    </cacheField>
    <cacheField name="Department" numFmtId="0">
      <sharedItems containsBlank="1" count="9">
        <s v="Production"/>
        <s v="Mechanical"/>
        <s v="Quality"/>
        <s v="Administration"/>
        <s v="Maintenance"/>
        <s v="Electrical"/>
        <s v="Utilities"/>
        <s v="Warehouse"/>
        <m/>
      </sharedItems>
    </cacheField>
    <cacheField name="Location" numFmtId="0">
      <sharedItems containsBlank="1"/>
    </cacheField>
    <cacheField name="Activity" numFmtId="0">
      <sharedItems containsBlank="1" count="20">
        <s v="Kiln Operation"/>
        <s v="Welding and Cutting"/>
        <s v="Laboratory Testing"/>
        <s v="Office Work"/>
        <s v="Mechanical Maintenance"/>
        <s v="Electrical Panel Maintenance"/>
        <s v="Work at Height"/>
        <s v="Chemical Handling"/>
        <s v="Grinding Maintenance"/>
        <s v="Raw Material Handling"/>
        <s v="Cable Installation"/>
        <s v="Excavation Work"/>
        <s v="Pump Maintenance"/>
        <s v="Packing Operation"/>
        <s v="Compressed Air System"/>
        <s v="Forklift Operation"/>
        <s v="Material Stacking"/>
        <s v="Confined Space Entry"/>
        <s v="Boiler Operation"/>
        <m/>
      </sharedItems>
    </cacheField>
    <cacheField name="Hazard" numFmtId="0">
      <sharedItems containsBlank="1"/>
    </cacheField>
    <cacheField name="Hazard Category" numFmtId="0">
      <sharedItems containsBlank="1"/>
    </cacheField>
    <cacheField name="Potential Consequence" numFmtId="0">
      <sharedItems containsBlank="1"/>
    </cacheField>
    <cacheField name="Initial Likelihood" numFmtId="0">
      <sharedItems containsString="0" containsBlank="1" containsNumber="1" containsInteger="1" minValue="2" maxValue="5"/>
    </cacheField>
    <cacheField name="Initial Consequence" numFmtId="0">
      <sharedItems containsString="0" containsBlank="1" containsNumber="1" containsInteger="1" minValue="2" maxValue="5"/>
    </cacheField>
    <cacheField name="Initial Risk Score" numFmtId="0">
      <sharedItems containsString="0" containsBlank="1" containsNumber="1" containsInteger="1" minValue="4" maxValue="25"/>
    </cacheField>
    <cacheField name="Initial Risk Level" numFmtId="0">
      <sharedItems containsBlank="1" count="5">
        <s v="Medium"/>
        <s v="High"/>
        <s v="Critical"/>
        <s v="Low"/>
        <m/>
      </sharedItems>
    </cacheField>
    <cacheField name="Existing Controls" numFmtId="0">
      <sharedItems containsBlank="1"/>
    </cacheField>
    <cacheField name="Additional Controls" numFmtId="0">
      <sharedItems containsBlank="1"/>
    </cacheField>
    <cacheField name="Residual Likelihood" numFmtId="0">
      <sharedItems containsString="0" containsBlank="1" containsNumber="1" containsInteger="1" minValue="1" maxValue="5"/>
    </cacheField>
    <cacheField name="Residual Consequence" numFmtId="0">
      <sharedItems containsString="0" containsBlank="1" containsNumber="1" containsInteger="1" minValue="1" maxValue="5"/>
    </cacheField>
    <cacheField name="Residual Risk Score" numFmtId="0">
      <sharedItems containsString="0" containsBlank="1" containsNumber="1" containsInteger="1" minValue="1" maxValue="25"/>
    </cacheField>
    <cacheField name="Risk Reduction" numFmtId="0">
      <sharedItems containsBlank="1"/>
    </cacheField>
    <cacheField name="Residual Risk Level" numFmtId="0">
      <sharedItems containsBlank="1"/>
    </cacheField>
    <cacheField name="Control Implementation Status" numFmtId="0">
      <sharedItems containsBlank="1"/>
    </cacheField>
    <cacheField name="Responsible Person" numFmtId="0">
      <sharedItems containsBlank="1"/>
    </cacheField>
    <cacheField name="Review Date" numFmtId="0">
      <sharedItems containsNonDate="0" containsDate="1" containsString="0" containsBlank="1" minDate="2025-07-01T00:00:00" maxDate="2028-12-17T00:00:00" count="388">
        <d v="2027-06-26T00:00:00"/>
        <d v="2026-05-14T00:00:00"/>
        <d v="2025-07-17T00:00:00"/>
        <d v="2027-08-01T00:00:00"/>
        <d v="2028-06-16T00:00:00"/>
        <d v="2028-01-21T00:00:00"/>
        <d v="2026-11-05T00:00:00"/>
        <d v="2027-05-03T00:00:00"/>
        <d v="2027-07-27T00:00:00"/>
        <d v="2026-09-17T00:00:00"/>
        <d v="2027-05-30T00:00:00"/>
        <d v="2025-12-05T00:00:00"/>
        <d v="2027-01-14T00:00:00"/>
        <d v="2027-03-24T00:00:00"/>
        <d v="2027-06-19T00:00:00"/>
        <d v="2026-03-08T00:00:00"/>
        <d v="2028-07-14T00:00:00"/>
        <d v="2028-07-22T00:00:00"/>
        <d v="2027-06-18T00:00:00"/>
        <d v="2027-04-16T00:00:00"/>
        <d v="2026-09-22T00:00:00"/>
        <d v="2026-09-06T00:00:00"/>
        <d v="2025-12-31T00:00:00"/>
        <d v="2027-04-06T00:00:00"/>
        <d v="2027-10-06T00:00:00"/>
        <d v="2026-07-09T00:00:00"/>
        <d v="2028-06-26T00:00:00"/>
        <d v="2027-10-09T00:00:00"/>
        <d v="2028-08-05T00:00:00"/>
        <d v="2027-05-16T00:00:00"/>
        <d v="2027-02-11T00:00:00"/>
        <d v="2028-05-13T00:00:00"/>
        <d v="2026-07-31T00:00:00"/>
        <d v="2026-04-25T00:00:00"/>
        <d v="2026-03-10T00:00:00"/>
        <d v="2026-07-05T00:00:00"/>
        <d v="2026-11-20T00:00:00"/>
        <d v="2026-06-30T00:00:00"/>
        <d v="2026-01-07T00:00:00"/>
        <d v="2026-12-29T00:00:00"/>
        <d v="2026-11-04T00:00:00"/>
        <d v="2026-07-13T00:00:00"/>
        <d v="2028-02-15T00:00:00"/>
        <d v="2028-06-28T00:00:00"/>
        <d v="2027-10-02T00:00:00"/>
        <d v="2026-11-19T00:00:00"/>
        <d v="2027-07-02T00:00:00"/>
        <d v="2026-09-07T00:00:00"/>
        <d v="2027-04-14T00:00:00"/>
        <d v="2027-03-29T00:00:00"/>
        <d v="2027-02-13T00:00:00"/>
        <d v="2026-04-18T00:00:00"/>
        <d v="2026-04-26T00:00:00"/>
        <d v="2028-02-26T00:00:00"/>
        <d v="2027-01-17T00:00:00"/>
        <d v="2025-12-27T00:00:00"/>
        <d v="2027-12-08T00:00:00"/>
        <d v="2026-06-29T00:00:00"/>
        <d v="2026-11-24T00:00:00"/>
        <d v="2025-08-01T00:00:00"/>
        <d v="2026-05-17T00:00:00"/>
        <d v="2028-02-03T00:00:00"/>
        <d v="2027-03-03T00:00:00"/>
        <d v="2027-03-16T00:00:00"/>
        <d v="2027-04-04T00:00:00"/>
        <d v="2027-11-14T00:00:00"/>
        <d v="2027-07-08T00:00:00"/>
        <d v="2026-05-16T00:00:00"/>
        <d v="2026-10-19T00:00:00"/>
        <d v="2027-05-06T00:00:00"/>
        <d v="2026-07-22T00:00:00"/>
        <d v="2028-10-15T00:00:00"/>
        <d v="2027-07-19T00:00:00"/>
        <d v="2027-05-13T00:00:00"/>
        <d v="2026-04-21T00:00:00"/>
        <d v="2026-12-06T00:00:00"/>
        <d v="2027-09-02T00:00:00"/>
        <d v="2026-05-04T00:00:00"/>
        <d v="2027-04-19T00:00:00"/>
        <d v="2026-08-16T00:00:00"/>
        <d v="2028-06-22T00:00:00"/>
        <d v="2027-01-27T00:00:00"/>
        <d v="2028-04-26T00:00:00"/>
        <d v="2027-08-11T00:00:00"/>
        <d v="2028-10-02T00:00:00"/>
        <d v="2026-08-06T00:00:00"/>
        <d v="2026-05-21T00:00:00"/>
        <d v="2028-02-11T00:00:00"/>
        <d v="2027-04-30T00:00:00"/>
        <d v="2026-06-14T00:00:00"/>
        <d v="2026-07-07T00:00:00"/>
        <d v="2028-08-12T00:00:00"/>
        <d v="2027-04-25T00:00:00"/>
        <d v="2027-01-22T00:00:00"/>
        <d v="2028-04-05T00:00:00"/>
        <d v="2025-09-27T00:00:00"/>
        <d v="2027-04-13T00:00:00"/>
        <d v="2025-07-16T00:00:00"/>
        <d v="2027-11-24T00:00:00"/>
        <d v="2027-02-07T00:00:00"/>
        <d v="2026-01-13T00:00:00"/>
        <d v="2027-11-11T00:00:00"/>
        <d v="2026-08-23T00:00:00"/>
        <d v="2027-12-25T00:00:00"/>
        <d v="2027-04-01T00:00:00"/>
        <d v="2026-07-18T00:00:00"/>
        <d v="2027-06-05T00:00:00"/>
        <d v="2028-04-15T00:00:00"/>
        <d v="2028-05-26T00:00:00"/>
        <d v="2026-11-16T00:00:00"/>
        <d v="2027-01-07T00:00:00"/>
        <d v="2027-06-02T00:00:00"/>
        <d v="2026-05-01T00:00:00"/>
        <d v="2025-07-13T00:00:00"/>
        <d v="2027-02-28T00:00:00"/>
        <d v="2025-12-12T00:00:00"/>
        <d v="2027-05-21T00:00:00"/>
        <d v="2027-03-22T00:00:00"/>
        <d v="2027-09-22T00:00:00"/>
        <d v="2027-06-21T00:00:00"/>
        <d v="2027-05-10T00:00:00"/>
        <d v="2026-03-27T00:00:00"/>
        <d v="2026-05-02T00:00:00"/>
        <d v="2027-03-15T00:00:00"/>
        <d v="2025-09-11T00:00:00"/>
        <d v="2027-11-08T00:00:00"/>
        <d v="2028-03-17T00:00:00"/>
        <d v="2026-11-27T00:00:00"/>
        <d v="2027-03-07T00:00:00"/>
        <d v="2027-10-05T00:00:00"/>
        <d v="2027-03-14T00:00:00"/>
        <d v="2026-04-05T00:00:00"/>
        <d v="2026-07-17T00:00:00"/>
        <d v="2027-09-25T00:00:00"/>
        <d v="2026-09-09T00:00:00"/>
        <d v="2026-05-28T00:00:00"/>
        <d v="2027-08-18T00:00:00"/>
        <d v="2026-03-02T00:00:00"/>
        <d v="2027-03-10T00:00:00"/>
        <d v="2028-08-13T00:00:00"/>
        <d v="2026-05-23T00:00:00"/>
        <d v="2027-10-17T00:00:00"/>
        <d v="2027-08-08T00:00:00"/>
        <d v="2027-03-21T00:00:00"/>
        <d v="2027-05-28T00:00:00"/>
        <d v="2025-12-17T00:00:00"/>
        <d v="2027-11-28T00:00:00"/>
        <d v="2028-07-02T00:00:00"/>
        <d v="2027-04-08T00:00:00"/>
        <d v="2027-06-16T00:00:00"/>
        <d v="2026-10-05T00:00:00"/>
        <d v="2026-11-21T00:00:00"/>
        <d v="2028-06-23T00:00:00"/>
        <d v="2028-11-07T00:00:00"/>
        <d v="2027-06-14T00:00:00"/>
        <d v="2026-06-08T00:00:00"/>
        <d v="2027-04-02T00:00:00"/>
        <d v="2026-03-04T00:00:00"/>
        <d v="2026-09-14T00:00:00"/>
        <d v="2027-04-05T00:00:00"/>
        <d v="2026-12-14T00:00:00"/>
        <d v="2026-05-13T00:00:00"/>
        <d v="2027-05-15T00:00:00"/>
        <d v="2026-06-21T00:00:00"/>
        <d v="2027-05-18T00:00:00"/>
        <d v="2026-04-23T00:00:00"/>
        <d v="2026-10-29T00:00:00"/>
        <d v="2028-06-21T00:00:00"/>
        <d v="2027-03-20T00:00:00"/>
        <d v="2027-03-30T00:00:00"/>
        <d v="2027-02-09T00:00:00"/>
        <d v="2028-12-15T00:00:00"/>
        <d v="2027-04-20T00:00:00"/>
        <d v="2025-10-13T00:00:00"/>
        <d v="2026-06-20T00:00:00"/>
        <d v="2026-05-20T00:00:00"/>
        <d v="2026-10-09T00:00:00"/>
        <d v="2027-11-22T00:00:00"/>
        <d v="2025-10-01T00:00:00"/>
        <d v="2027-11-25T00:00:00"/>
        <d v="2028-04-01T00:00:00"/>
        <d v="2027-08-25T00:00:00"/>
        <d v="2026-03-19T00:00:00"/>
        <d v="2026-05-26T00:00:00"/>
        <d v="2027-03-04T00:00:00"/>
        <d v="2026-04-16T00:00:00"/>
        <d v="2026-01-29T00:00:00"/>
        <d v="2026-08-02T00:00:00"/>
        <d v="2028-06-09T00:00:00"/>
        <d v="2027-01-05T00:00:00"/>
        <d v="2027-04-24T00:00:00"/>
        <d v="2027-05-20T00:00:00"/>
        <d v="2026-05-29T00:00:00"/>
        <d v="2025-08-15T00:00:00"/>
        <d v="2027-08-12T00:00:00"/>
        <d v="2027-07-06T00:00:00"/>
        <d v="2027-03-11T00:00:00"/>
        <d v="2025-07-02T00:00:00"/>
        <d v="2026-10-08T00:00:00"/>
        <d v="2028-09-18T00:00:00"/>
        <d v="2026-08-04T00:00:00"/>
        <d v="2027-10-13T00:00:00"/>
        <d v="2026-01-20T00:00:00"/>
        <d v="2027-07-24T00:00:00"/>
        <d v="2027-03-12T00:00:00"/>
        <d v="2027-01-30T00:00:00"/>
        <d v="2026-09-05T00:00:00"/>
        <d v="2028-03-19T00:00:00"/>
        <d v="2026-07-26T00:00:00"/>
        <d v="2027-06-29T00:00:00"/>
        <d v="2025-07-28T00:00:00"/>
        <d v="2026-01-17T00:00:00"/>
        <d v="2026-07-12T00:00:00"/>
        <d v="2026-10-10T00:00:00"/>
        <d v="2027-01-08T00:00:00"/>
        <d v="2026-01-23T00:00:00"/>
        <d v="2027-09-12T00:00:00"/>
        <d v="2027-09-20T00:00:00"/>
        <d v="2026-07-25T00:00:00"/>
        <d v="2026-02-17T00:00:00"/>
        <d v="2026-08-26T00:00:00"/>
        <d v="2027-07-26T00:00:00"/>
        <d v="2026-01-09T00:00:00"/>
        <d v="2026-01-24T00:00:00"/>
        <d v="2026-10-14T00:00:00"/>
        <d v="2026-10-16T00:00:00"/>
        <d v="2027-01-24T00:00:00"/>
        <d v="2026-06-06T00:00:00"/>
        <d v="2025-10-03T00:00:00"/>
        <d v="2027-02-04T00:00:00"/>
        <d v="2027-02-17T00:00:00"/>
        <d v="2027-01-31T00:00:00"/>
        <d v="2027-02-08T00:00:00"/>
        <d v="2027-06-17T00:00:00"/>
        <d v="2028-10-11T00:00:00"/>
        <d v="2027-02-06T00:00:00"/>
        <d v="2026-09-24T00:00:00"/>
        <d v="2027-04-27T00:00:00"/>
        <d v="2027-02-02T00:00:00"/>
        <d v="2027-04-17T00:00:00"/>
        <d v="2027-06-10T00:00:00"/>
        <d v="2027-01-23T00:00:00"/>
        <d v="2028-08-15T00:00:00"/>
        <d v="2026-08-28T00:00:00"/>
        <d v="2026-07-06T00:00:00"/>
        <d v="2026-09-21T00:00:00"/>
        <d v="2028-02-01T00:00:00"/>
        <d v="2026-08-03T00:00:00"/>
        <d v="2026-12-17T00:00:00"/>
        <d v="2028-10-26T00:00:00"/>
        <d v="2025-08-02T00:00:00"/>
        <d v="2028-09-28T00:00:00"/>
        <d v="2027-08-22T00:00:00"/>
        <d v="2025-08-05T00:00:00"/>
        <d v="2027-06-22T00:00:00"/>
        <d v="2028-05-06T00:00:00"/>
        <d v="2026-04-24T00:00:00"/>
        <d v="2026-03-05T00:00:00"/>
        <d v="2026-08-08T00:00:00"/>
        <d v="2028-03-07T00:00:00"/>
        <d v="2026-06-25T00:00:00"/>
        <d v="2026-10-11T00:00:00"/>
        <d v="2027-01-25T00:00:00"/>
        <d v="2026-02-23T00:00:00"/>
        <d v="2026-06-24T00:00:00"/>
        <d v="2026-10-12T00:00:00"/>
        <d v="2026-03-14T00:00:00"/>
        <d v="2027-05-11T00:00:00"/>
        <d v="2025-09-18T00:00:00"/>
        <d v="2027-09-16T00:00:00"/>
        <d v="2026-11-18T00:00:00"/>
        <d v="2027-07-11T00:00:00"/>
        <d v="2027-03-01T00:00:00"/>
        <d v="2026-08-25T00:00:00"/>
        <d v="2027-08-23T00:00:00"/>
        <d v="2026-09-23T00:00:00"/>
        <d v="2027-02-05T00:00:00"/>
        <d v="2026-07-15T00:00:00"/>
        <d v="2027-12-11T00:00:00"/>
        <d v="2025-11-08T00:00:00"/>
        <d v="2026-04-12T00:00:00"/>
        <d v="2026-04-01T00:00:00"/>
        <d v="2026-01-03T00:00:00"/>
        <d v="2028-05-09T00:00:00"/>
        <d v="2026-10-06T00:00:00"/>
        <d v="2027-01-20T00:00:00"/>
        <d v="2027-02-25T00:00:00"/>
        <d v="2027-03-18T00:00:00"/>
        <d v="2027-02-16T00:00:00"/>
        <d v="2027-01-13T00:00:00"/>
        <d v="2028-07-09T00:00:00"/>
        <d v="2027-08-06T00:00:00"/>
        <d v="2027-08-05T00:00:00"/>
        <d v="2027-08-31T00:00:00"/>
        <d v="2027-09-30T00:00:00"/>
        <d v="2026-03-07T00:00:00"/>
        <d v="2025-09-21T00:00:00"/>
        <d v="2027-05-04T00:00:00"/>
        <d v="2026-07-20T00:00:00"/>
        <d v="2027-10-24T00:00:00"/>
        <d v="2026-04-08T00:00:00"/>
        <d v="2026-08-13T00:00:00"/>
        <d v="2028-02-16T00:00:00"/>
        <d v="2027-05-01T00:00:00"/>
        <d v="2026-11-09T00:00:00"/>
        <d v="2026-12-24T00:00:00"/>
        <d v="2027-07-16T00:00:00"/>
        <d v="2027-09-09T00:00:00"/>
        <d v="2027-11-30T00:00:00"/>
        <d v="2027-08-19T00:00:00"/>
        <d v="2026-09-11T00:00:00"/>
        <d v="2027-04-07T00:00:00"/>
        <d v="2027-01-02T00:00:00"/>
        <d v="2026-12-01T00:00:00"/>
        <d v="2025-11-06T00:00:00"/>
        <d v="2027-09-18T00:00:00"/>
        <d v="2027-09-10T00:00:00"/>
        <d v="2026-03-01T00:00:00"/>
        <d v="2027-01-21T00:00:00"/>
        <d v="2025-08-17T00:00:00"/>
        <d v="2026-02-04T00:00:00"/>
        <d v="2026-08-21T00:00:00"/>
        <d v="2027-10-01T00:00:00"/>
        <d v="2026-01-04T00:00:00"/>
        <d v="2027-12-10T00:00:00"/>
        <d v="2027-10-08T00:00:00"/>
        <d v="2026-02-28T00:00:00"/>
        <d v="2026-12-23T00:00:00"/>
        <d v="2026-12-02T00:00:00"/>
        <d v="2025-07-20T00:00:00"/>
        <d v="2025-12-13T00:00:00"/>
        <d v="2026-07-11T00:00:00"/>
        <d v="2027-11-27T00:00:00"/>
        <d v="2027-10-14T00:00:00"/>
        <d v="2027-09-17T00:00:00"/>
        <d v="2026-01-15T00:00:00"/>
        <d v="2028-05-17T00:00:00"/>
        <d v="2028-09-13T00:00:00"/>
        <d v="2028-12-12T00:00:00"/>
        <d v="2026-11-14T00:00:00"/>
        <d v="2027-12-31T00:00:00"/>
        <d v="2027-05-08T00:00:00"/>
        <d v="2027-03-17T00:00:00"/>
        <d v="2028-01-04T00:00:00"/>
        <d v="2026-02-07T00:00:00"/>
        <d v="2025-12-25T00:00:00"/>
        <d v="2027-04-18T00:00:00"/>
        <d v="2027-03-08T00:00:00"/>
        <d v="2026-07-08T00:00:00"/>
        <d v="2027-07-18T00:00:00"/>
        <d v="2025-07-01T00:00:00"/>
        <d v="2027-01-04T00:00:00"/>
        <d v="2027-02-23T00:00:00"/>
        <d v="2027-12-01T00:00:00"/>
        <d v="2026-06-05T00:00:00"/>
        <d v="2027-07-04T00:00:00"/>
        <d v="2026-01-18T00:00:00"/>
        <d v="2027-04-22T00:00:00"/>
        <d v="2027-12-30T00:00:00"/>
        <d v="2026-08-19T00:00:00"/>
        <d v="2027-09-14T00:00:00"/>
        <d v="2028-12-16T00:00:00"/>
        <d v="2028-10-28T00:00:00"/>
        <d v="2026-06-09T00:00:00"/>
        <d v="2026-09-13T00:00:00"/>
        <d v="2028-08-24T00:00:00"/>
        <d v="2028-09-10T00:00:00"/>
        <d v="2027-06-09T00:00:00"/>
        <d v="2026-10-15T00:00:00"/>
        <d v="2025-07-22T00:00:00"/>
        <d v="2027-09-23T00:00:00"/>
        <d v="2026-12-25T00:00:00"/>
        <d v="2028-03-06T00:00:00"/>
        <d v="2028-07-12T00:00:00"/>
        <d v="2027-08-13T00:00:00"/>
        <d v="2027-07-31T00:00:00"/>
        <d v="2028-04-06T00:00:00"/>
        <d v="2025-10-07T00:00:00"/>
        <d v="2027-06-23T00:00:00"/>
        <d v="2026-10-24T00:00:00"/>
        <d v="2026-12-27T00:00:00"/>
        <d v="2025-12-18T00:00:00"/>
        <d v="2026-09-02T00:00:00"/>
        <d v="2027-10-28T00:00:00"/>
        <d v="2026-03-18T00:00:00"/>
        <d v="2025-09-14T00:00:00"/>
        <d v="2026-06-03T00:00:00"/>
        <m/>
      </sharedItems>
      <fieldGroup par="23" base="21">
        <rangePr groupBy="months" startDate="2025-07-01T00:00:00" endDate="2028-12-17T00:00:00"/>
        <groupItems count="14">
          <s v="(blank)"/>
          <s v="Jan"/>
          <s v="Feb"/>
          <s v="Mar"/>
          <s v="Apr"/>
          <s v="May"/>
          <s v="Jun"/>
          <s v="Jul"/>
          <s v="Aug"/>
          <s v="Sep"/>
          <s v="Oct"/>
          <s v="Nov"/>
          <s v="Dec"/>
          <s v="&gt;12/17/2028"/>
        </groupItems>
      </fieldGroup>
    </cacheField>
    <cacheField name="Quarters" numFmtId="0" databaseField="0">
      <fieldGroup base="21">
        <rangePr groupBy="quarters" startDate="2025-07-01T00:00:00" endDate="2028-12-17T00:00:00"/>
        <groupItems count="6">
          <s v="&lt;7/1/2025"/>
          <s v="Qtr1"/>
          <s v="Qtr2"/>
          <s v="Qtr3"/>
          <s v="Qtr4"/>
          <s v="&gt;12/17/2028"/>
        </groupItems>
      </fieldGroup>
    </cacheField>
    <cacheField name="Years" numFmtId="0" databaseField="0">
      <fieldGroup base="21">
        <rangePr groupBy="years" startDate="2025-07-01T00:00:00" endDate="2028-12-17T00:00:00"/>
        <groupItems count="6">
          <s v="&lt;7/1/2025"/>
          <s v="2025"/>
          <s v="2026"/>
          <s v="2027"/>
          <s v="2028"/>
          <s v="&gt;12/17/2028"/>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Mustafa" refreshedDate="46289.975607523149" createdVersion="6" refreshedVersion="6" minRefreshableVersion="3" recordCount="500">
  <cacheSource type="worksheet">
    <worksheetSource ref="A1:V501" sheet="Risk Assessments"/>
  </cacheSource>
  <cacheFields count="26">
    <cacheField name="Risk ID" numFmtId="0">
      <sharedItems/>
    </cacheField>
    <cacheField name="Assessment Date" numFmtId="164">
      <sharedItems containsSemiMixedTypes="0" containsNonDate="0" containsDate="1" containsString="0" minDate="2025-01-02T00:00:00" maxDate="2027-01-01T00:00:00" count="356">
        <d v="2026-06-26T00:00:00"/>
        <d v="2025-11-15T00:00:00"/>
        <d v="2025-01-18T00:00:00"/>
        <d v="2025-08-01T00:00:00"/>
        <d v="2026-06-17T00:00:00"/>
        <d v="2026-01-21T00:00:00"/>
        <d v="2025-11-05T00:00:00"/>
        <d v="2026-11-04T00:00:00"/>
        <d v="2025-07-27T00:00:00"/>
        <d v="2025-09-17T00:00:00"/>
        <d v="2026-05-30T00:00:00"/>
        <d v="2025-06-08T00:00:00"/>
        <d v="2026-01-14T00:00:00"/>
        <d v="2026-03-24T00:00:00"/>
        <d v="2025-06-19T00:00:00"/>
        <d v="2025-09-09T00:00:00"/>
        <d v="2026-07-15T00:00:00"/>
        <d v="2026-07-23T00:00:00"/>
        <d v="2026-06-18T00:00:00"/>
        <d v="2025-04-16T00:00:00"/>
        <d v="2026-03-26T00:00:00"/>
        <d v="2026-03-10T00:00:00"/>
        <d v="2025-07-04T00:00:00"/>
        <d v="2025-04-06T00:00:00"/>
        <d v="2025-10-06T00:00:00"/>
        <d v="2025-07-09T00:00:00"/>
        <d v="2026-06-27T00:00:00"/>
        <d v="2026-10-09T00:00:00"/>
        <d v="2026-08-06T00:00:00"/>
        <d v="2025-05-16T00:00:00"/>
        <d v="2026-02-11T00:00:00"/>
        <d v="2026-05-14T00:00:00"/>
        <d v="2026-02-01T00:00:00"/>
        <d v="2025-10-27T00:00:00"/>
        <d v="2025-03-10T00:00:00"/>
        <d v="2025-07-05T00:00:00"/>
        <d v="2026-05-24T00:00:00"/>
        <d v="2025-06-30T00:00:00"/>
        <d v="2025-01-07T00:00:00"/>
        <d v="2025-12-29T00:00:00"/>
        <d v="2025-11-04T00:00:00"/>
        <d v="2026-02-15T00:00:00"/>
        <d v="2026-06-29T00:00:00"/>
        <d v="2026-10-02T00:00:00"/>
        <d v="2025-11-19T00:00:00"/>
        <d v="2025-07-02T00:00:00"/>
        <d v="2025-09-07T00:00:00"/>
        <d v="2026-04-14T00:00:00"/>
        <d v="2026-08-01T00:00:00"/>
        <d v="2025-03-29T00:00:00"/>
        <d v="2026-02-13T00:00:00"/>
        <d v="2025-04-18T00:00:00"/>
        <d v="2025-10-28T00:00:00"/>
        <d v="2026-02-26T00:00:00"/>
        <d v="2026-01-17T00:00:00"/>
        <d v="2026-10-06T00:00:00"/>
        <d v="2025-12-08T00:00:00"/>
        <d v="2025-06-29T00:00:00"/>
        <d v="2025-11-24T00:00:00"/>
        <d v="2025-02-02T00:00:00"/>
        <d v="2025-05-17T00:00:00"/>
        <d v="2026-02-03T00:00:00"/>
        <d v="2025-03-03T00:00:00"/>
        <d v="2026-09-17T00:00:00"/>
        <d v="2026-04-04T00:00:00"/>
        <d v="2026-11-14T00:00:00"/>
        <d v="2026-07-08T00:00:00"/>
        <d v="2025-10-19T00:00:00"/>
        <d v="2026-11-07T00:00:00"/>
        <d v="2026-01-23T00:00:00"/>
        <d v="2025-09-06T00:00:00"/>
        <d v="2026-10-16T00:00:00"/>
        <d v="2026-07-19T00:00:00"/>
        <d v="2025-05-13T00:00:00"/>
        <d v="2025-10-23T00:00:00"/>
        <d v="2026-06-09T00:00:00"/>
        <d v="2026-09-02T00:00:00"/>
        <d v="2026-04-22T00:00:00"/>
        <d v="2025-05-04T00:00:00"/>
        <d v="2026-04-19T00:00:00"/>
        <d v="2025-08-16T00:00:00"/>
        <d v="2026-06-23T00:00:00"/>
        <d v="2025-01-27T00:00:00"/>
        <d v="2026-04-27T00:00:00"/>
        <d v="2026-08-11T00:00:00"/>
        <d v="2026-10-03T00:00:00"/>
        <d v="2025-08-06T00:00:00"/>
        <d v="2025-05-21T00:00:00"/>
        <d v="2025-04-30T00:00:00"/>
        <d v="2025-12-16T00:00:00"/>
        <d v="2025-07-07T00:00:00"/>
        <d v="2026-08-13T00:00:00"/>
        <d v="2025-04-25T00:00:00"/>
        <d v="2026-01-22T00:00:00"/>
        <d v="2026-04-06T00:00:00"/>
        <d v="2025-03-31T00:00:00"/>
        <d v="2026-04-13T00:00:00"/>
        <d v="2025-01-17T00:00:00"/>
        <d v="2026-11-24T00:00:00"/>
        <d v="2025-10-09T00:00:00"/>
        <d v="2025-01-13T00:00:00"/>
        <d v="2026-11-11T00:00:00"/>
        <d v="2026-02-24T00:00:00"/>
        <d v="2026-12-25T00:00:00"/>
        <d v="2026-04-01T00:00:00"/>
        <d v="2025-07-18T00:00:00"/>
        <d v="2026-06-05T00:00:00"/>
        <d v="2026-04-16T00:00:00"/>
        <d v="2026-05-27T00:00:00"/>
        <d v="2026-05-20T00:00:00"/>
        <d v="2026-07-11T00:00:00"/>
        <d v="2025-06-02T00:00:00"/>
        <d v="2025-05-01T00:00:00"/>
        <d v="2025-01-14T00:00:00"/>
        <d v="2026-07-21T00:00:00"/>
        <d v="2026-02-28T00:00:00"/>
        <d v="2025-06-15T00:00:00"/>
        <d v="2026-05-21T00:00:00"/>
        <d v="2026-09-23T00:00:00"/>
        <d v="2025-09-22T00:00:00"/>
        <d v="2025-06-21T00:00:00"/>
        <d v="2026-05-10T00:00:00"/>
        <d v="2025-03-27T00:00:00"/>
        <d v="2025-11-03T00:00:00"/>
        <d v="2025-03-15T00:00:00"/>
        <d v="2026-11-08T00:00:00"/>
        <d v="2026-03-18T00:00:00"/>
        <d v="2025-11-27T00:00:00"/>
        <d v="2026-03-07T00:00:00"/>
        <d v="2025-06-05T00:00:00"/>
        <d v="2026-10-05T00:00:00"/>
        <d v="2026-03-14T00:00:00"/>
        <d v="2025-04-05T00:00:00"/>
        <d v="2026-01-18T00:00:00"/>
        <d v="2025-09-25T00:00:00"/>
        <d v="2026-03-13T00:00:00"/>
        <d v="2025-05-28T00:00:00"/>
        <d v="2026-08-18T00:00:00"/>
        <d v="2025-03-02T00:00:00"/>
        <d v="2026-08-14T00:00:00"/>
        <d v="2025-05-23T00:00:00"/>
        <d v="2025-10-17T00:00:00"/>
        <d v="2026-08-08T00:00:00"/>
        <d v="2026-03-21T00:00:00"/>
        <d v="2026-05-28T00:00:00"/>
        <d v="2025-06-20T00:00:00"/>
        <d v="2026-11-28T00:00:00"/>
        <d v="2026-07-03T00:00:00"/>
        <d v="2025-04-08T00:00:00"/>
        <d v="2026-06-16T00:00:00"/>
        <d v="2025-10-05T00:00:00"/>
        <d v="2025-11-21T00:00:00"/>
        <d v="2026-06-24T00:00:00"/>
        <d v="2026-06-14T00:00:00"/>
        <d v="2025-10-07T00:00:00"/>
        <d v="2025-04-02T00:00:00"/>
        <d v="2025-09-05T00:00:00"/>
        <d v="2025-09-14T00:00:00"/>
        <d v="2025-12-14T00:00:00"/>
        <d v="2025-05-15T00:00:00"/>
        <d v="2026-11-19T00:00:00"/>
        <d v="2025-04-23T00:00:00"/>
        <d v="2025-10-29T00:00:00"/>
        <d v="2026-06-22T00:00:00"/>
        <d v="2026-03-20T00:00:00"/>
        <d v="2025-03-30T00:00:00"/>
        <d v="2026-12-16T00:00:00"/>
        <d v="2026-04-20T00:00:00"/>
        <d v="2025-05-20T00:00:00"/>
        <d v="2026-08-15T00:00:00"/>
        <d v="2026-04-12T00:00:00"/>
        <d v="2025-11-22T00:00:00"/>
        <d v="2025-04-04T00:00:00"/>
        <d v="2026-11-25T00:00:00"/>
        <d v="2026-04-02T00:00:00"/>
        <d v="2025-08-25T00:00:00"/>
        <d v="2025-09-20T00:00:00"/>
        <d v="2025-05-26T00:00:00"/>
        <d v="2025-03-04T00:00:00"/>
        <d v="2025-08-02T00:00:00"/>
        <d v="2026-06-10T00:00:00"/>
        <d v="2026-01-05T00:00:00"/>
        <d v="2026-10-26T00:00:00"/>
        <d v="2025-11-30T00:00:00"/>
        <d v="2025-02-16T00:00:00"/>
        <d v="2026-05-08T00:00:00"/>
        <d v="2026-08-12T00:00:00"/>
        <d v="2025-07-06T00:00:00"/>
        <d v="2026-03-11T00:00:00"/>
        <d v="2025-01-03T00:00:00"/>
        <d v="2025-10-08T00:00:00"/>
        <d v="2026-09-19T00:00:00"/>
        <d v="2025-08-04T00:00:00"/>
        <d v="2025-10-13T00:00:00"/>
        <d v="2026-05-18T00:00:00"/>
        <d v="2025-10-25T00:00:00"/>
        <d v="2025-01-20T00:00:00"/>
        <d v="2025-07-24T00:00:00"/>
        <d v="2026-03-12T00:00:00"/>
        <d v="2026-01-30T00:00:00"/>
        <d v="2026-04-08T00:00:00"/>
        <d v="2025-07-26T00:00:00"/>
        <d v="2025-01-29T00:00:00"/>
        <d v="2025-07-12T00:00:00"/>
        <d v="2025-10-10T00:00:00"/>
        <d v="2026-01-08T00:00:00"/>
        <d v="2025-09-12T00:00:00"/>
        <d v="2026-09-20T00:00:00"/>
        <d v="2025-07-25T00:00:00"/>
        <d v="2025-02-17T00:00:00"/>
        <d v="2025-08-26T00:00:00"/>
        <d v="2026-07-26T00:00:00"/>
        <d v="2025-01-09T00:00:00"/>
        <d v="2025-01-24T00:00:00"/>
        <d v="2025-10-14T00:00:00"/>
        <d v="2025-10-16T00:00:00"/>
        <d v="2026-03-22T00:00:00"/>
        <d v="2026-08-21T00:00:00"/>
        <d v="2026-08-04T00:00:00"/>
        <d v="2026-01-10T00:00:00"/>
        <d v="2026-02-08T00:00:00"/>
        <d v="2026-05-15T00:00:00"/>
        <d v="2026-10-12T00:00:00"/>
        <d v="2026-02-06T00:00:00"/>
        <d v="2026-03-28T00:00:00"/>
        <d v="2026-10-29T00:00:00"/>
        <d v="2026-04-17T00:00:00"/>
        <d v="2026-06-02T00:00:00"/>
        <d v="2026-07-27T00:00:00"/>
        <d v="2026-08-16T00:00:00"/>
        <d v="2026-03-01T00:00:00"/>
        <d v="2026-03-25T00:00:00"/>
        <d v="2026-02-04T00:00:00"/>
        <d v="2025-06-18T00:00:00"/>
        <d v="2026-07-02T00:00:00"/>
        <d v="2025-12-17T00:00:00"/>
        <d v="2026-10-27T00:00:00"/>
        <d v="2025-02-03T00:00:00"/>
        <d v="2026-09-29T00:00:00"/>
        <d v="2025-08-22T00:00:00"/>
        <d v="2025-02-06T00:00:00"/>
        <d v="2026-05-07T00:00:00"/>
        <d v="2025-04-24T00:00:00"/>
        <d v="2025-03-05T00:00:00"/>
        <d v="2025-08-08T00:00:00"/>
        <d v="2026-03-08T00:00:00"/>
        <d v="2025-06-25T00:00:00"/>
        <d v="2025-10-11T00:00:00"/>
        <d v="2025-01-25T00:00:00"/>
        <d v="2026-09-22T00:00:00"/>
        <d v="2025-08-27T00:00:00"/>
        <d v="2025-06-24T00:00:00"/>
        <d v="2025-10-12T00:00:00"/>
        <d v="2025-03-14T00:00:00"/>
        <d v="2025-05-11T00:00:00"/>
        <d v="2025-03-22T00:00:00"/>
        <d v="2026-09-16T00:00:00"/>
        <d v="2025-11-18T00:00:00"/>
        <d v="2025-07-11T00:00:00"/>
        <d v="2025-03-01T00:00:00"/>
        <d v="2026-08-23T00:00:00"/>
        <d v="2025-09-23T00:00:00"/>
        <d v="2026-02-05T00:00:00"/>
        <d v="2025-07-15T00:00:00"/>
        <d v="2025-12-11T00:00:00"/>
        <d v="2025-05-12T00:00:00"/>
        <d v="2025-02-05T00:00:00"/>
        <d v="2025-04-12T00:00:00"/>
        <d v="2025-04-01T00:00:00"/>
        <d v="2026-08-29T00:00:00"/>
        <d v="2026-08-20T00:00:00"/>
        <d v="2026-07-10T00:00:00"/>
        <d v="2025-06-14T00:00:00"/>
        <d v="2026-08-05T00:00:00"/>
        <d v="2025-08-31T00:00:00"/>
        <d v="2026-08-10T00:00:00"/>
        <d v="2026-09-30T00:00:00"/>
        <d v="2025-09-08T00:00:00"/>
        <d v="2025-03-25T00:00:00"/>
        <d v="2026-05-04T00:00:00"/>
        <d v="2025-07-20T00:00:00"/>
        <d v="2026-10-24T00:00:00"/>
        <d v="2025-08-13T00:00:00"/>
        <d v="2026-02-16T00:00:00"/>
        <d v="2026-11-02T00:00:00"/>
        <d v="2026-05-13T00:00:00"/>
        <d v="2025-12-24T00:00:00"/>
        <d v="2025-07-16T00:00:00"/>
        <d v="2026-09-09T00:00:00"/>
        <d v="2026-08-19T00:00:00"/>
        <d v="2025-07-31T00:00:00"/>
        <d v="2025-09-11T00:00:00"/>
        <d v="2025-04-26T00:00:00"/>
        <d v="2025-04-07T00:00:00"/>
        <d v="2025-01-02T00:00:00"/>
        <d v="2025-12-01T00:00:00"/>
        <d v="2025-05-10T00:00:00"/>
        <d v="2025-09-18T00:00:00"/>
        <d v="2026-09-10T00:00:00"/>
        <d v="2025-09-02T00:00:00"/>
        <d v="2025-01-21T00:00:00"/>
        <d v="2026-01-20T00:00:00"/>
        <d v="2025-02-18T00:00:00"/>
        <d v="2025-02-04T00:00:00"/>
        <d v="2025-08-21T00:00:00"/>
        <d v="2025-10-01T00:00:00"/>
        <d v="2025-01-04T00:00:00"/>
        <d v="2025-12-10T00:00:00"/>
        <d v="2026-10-15T00:00:00"/>
        <d v="2026-10-08T00:00:00"/>
        <d v="2025-02-28T00:00:00"/>
        <d v="2025-12-02T00:00:00"/>
        <d v="2025-06-16T00:00:00"/>
        <d v="2025-11-25T00:00:00"/>
        <d v="2026-11-27T00:00:00"/>
        <d v="2025-01-15T00:00:00"/>
        <d v="2026-09-14T00:00:00"/>
        <d v="2026-12-13T00:00:00"/>
        <d v="2025-11-14T00:00:00"/>
        <d v="2026-02-27T00:00:00"/>
        <d v="2026-12-31T00:00:00"/>
        <d v="2026-03-17T00:00:00"/>
        <d v="2026-01-04T00:00:00"/>
        <d v="2025-02-07T00:00:00"/>
        <d v="2025-06-28T00:00:00"/>
        <d v="2026-07-16T00:00:00"/>
        <d v="2026-04-18T00:00:00"/>
        <d v="2025-03-08T00:00:00"/>
        <d v="2025-07-08T00:00:00"/>
        <d v="2026-07-18T00:00:00"/>
        <d v="2026-08-27T00:00:00"/>
        <d v="2026-07-04T00:00:00"/>
        <d v="2025-07-22T00:00:00"/>
        <d v="2026-12-30T00:00:00"/>
        <d v="2025-08-19T00:00:00"/>
        <d v="2025-10-20T00:00:00"/>
        <d v="2026-12-17T00:00:00"/>
        <d v="2025-06-09T00:00:00"/>
        <d v="2025-09-13T00:00:00"/>
        <d v="2026-08-25T00:00:00"/>
        <d v="2026-09-11T00:00:00"/>
        <d v="2026-02-02T00:00:00"/>
        <d v="2026-12-11T00:00:00"/>
        <d v="2025-10-15T00:00:00"/>
        <d v="2025-01-23T00:00:00"/>
        <d v="2025-12-25T00:00:00"/>
        <d v="2026-07-13T00:00:00"/>
        <d v="2026-04-07T00:00:00"/>
        <d v="2025-04-10T00:00:00"/>
        <d v="2025-10-24T00:00:00"/>
        <d v="2025-12-27T00:00:00"/>
        <d v="2026-03-06T00:00:00"/>
        <d v="2026-10-28T00:00:00"/>
        <d v="2025-03-18T00:00:00"/>
        <d v="2025-08-03T00:00:00"/>
        <d v="2025-06-03T00:00:00"/>
      </sharedItems>
      <fieldGroup par="23" base="1">
        <rangePr groupBy="months" startDate="2025-01-02T00:00:00" endDate="2027-01-01T00:00:00"/>
        <groupItems count="14">
          <s v="&lt;1/2/2025"/>
          <s v="Jan"/>
          <s v="Feb"/>
          <s v="Mar"/>
          <s v="Apr"/>
          <s v="May"/>
          <s v="Jun"/>
          <s v="Jul"/>
          <s v="Aug"/>
          <s v="Sep"/>
          <s v="Oct"/>
          <s v="Nov"/>
          <s v="Dec"/>
          <s v="&gt;1/1/2027"/>
        </groupItems>
      </fieldGroup>
    </cacheField>
    <cacheField name="Department" numFmtId="0">
      <sharedItems/>
    </cacheField>
    <cacheField name="Location" numFmtId="0">
      <sharedItems/>
    </cacheField>
    <cacheField name="Activity" numFmtId="0">
      <sharedItems/>
    </cacheField>
    <cacheField name="Hazard" numFmtId="0">
      <sharedItems/>
    </cacheField>
    <cacheField name="Hazard Category" numFmtId="0">
      <sharedItems/>
    </cacheField>
    <cacheField name="Potential Consequence" numFmtId="0">
      <sharedItems/>
    </cacheField>
    <cacheField name="Initial Likelihood" numFmtId="0">
      <sharedItems containsSemiMixedTypes="0" containsString="0" containsNumber="1" containsInteger="1" minValue="2" maxValue="5"/>
    </cacheField>
    <cacheField name="Initial Consequence" numFmtId="0">
      <sharedItems containsSemiMixedTypes="0" containsString="0" containsNumber="1" containsInteger="1" minValue="2" maxValue="5"/>
    </cacheField>
    <cacheField name="Initial Risk Score" numFmtId="0">
      <sharedItems containsSemiMixedTypes="0" containsString="0" containsNumber="1" containsInteger="1" minValue="4" maxValue="25" count="10">
        <n v="6"/>
        <n v="16"/>
        <n v="10"/>
        <n v="15"/>
        <n v="12"/>
        <n v="20"/>
        <n v="8"/>
        <n v="25"/>
        <n v="4"/>
        <n v="9"/>
      </sharedItems>
    </cacheField>
    <cacheField name="Initial Risk Level" numFmtId="0">
      <sharedItems/>
    </cacheField>
    <cacheField name="Existing Controls" numFmtId="0">
      <sharedItems/>
    </cacheField>
    <cacheField name="Additional Controls" numFmtId="0">
      <sharedItems/>
    </cacheField>
    <cacheField name="Residual Likelihood" numFmtId="0">
      <sharedItems containsSemiMixedTypes="0" containsString="0" containsNumber="1" containsInteger="1" minValue="1" maxValue="5"/>
    </cacheField>
    <cacheField name="Residual Consequence" numFmtId="0">
      <sharedItems containsSemiMixedTypes="0" containsString="0" containsNumber="1" containsInteger="1" minValue="1" maxValue="5"/>
    </cacheField>
    <cacheField name="Residual Risk Score" numFmtId="0">
      <sharedItems containsSemiMixedTypes="0" containsString="0" containsNumber="1" containsInteger="1" minValue="1" maxValue="25" count="14">
        <n v="2"/>
        <n v="12"/>
        <n v="5"/>
        <n v="9"/>
        <n v="3"/>
        <n v="6"/>
        <n v="4"/>
        <n v="16"/>
        <n v="25"/>
        <n v="15"/>
        <n v="8"/>
        <n v="10"/>
        <n v="20"/>
        <n v="1"/>
      </sharedItems>
    </cacheField>
    <cacheField name="Risk Reduction" numFmtId="0">
      <sharedItems containsBlank="1" count="3">
        <s v="Reduced"/>
        <s v="No Reduction"/>
        <m u="1"/>
      </sharedItems>
    </cacheField>
    <cacheField name="Residual Risk Level" numFmtId="0">
      <sharedItems/>
    </cacheField>
    <cacheField name="Control Implementation Status" numFmtId="0">
      <sharedItems/>
    </cacheField>
    <cacheField name="Responsible Person" numFmtId="0">
      <sharedItems/>
    </cacheField>
    <cacheField name="Review Date" numFmtId="164">
      <sharedItems containsSemiMixedTypes="0" containsNonDate="0" containsDate="1" containsString="0" minDate="2025-07-01T00:00:00" maxDate="2028-12-17T00:00:00" count="387">
        <d v="2027-06-26T00:00:00"/>
        <d v="2026-05-14T00:00:00"/>
        <d v="2025-07-17T00:00:00"/>
        <d v="2027-08-01T00:00:00"/>
        <d v="2028-06-16T00:00:00"/>
        <d v="2028-01-21T00:00:00"/>
        <d v="2026-11-05T00:00:00"/>
        <d v="2027-05-03T00:00:00"/>
        <d v="2027-07-27T00:00:00"/>
        <d v="2026-09-17T00:00:00"/>
        <d v="2027-05-30T00:00:00"/>
        <d v="2025-12-05T00:00:00"/>
        <d v="2027-01-14T00:00:00"/>
        <d v="2027-03-24T00:00:00"/>
        <d v="2027-06-19T00:00:00"/>
        <d v="2026-03-08T00:00:00"/>
        <d v="2028-07-14T00:00:00"/>
        <d v="2028-07-22T00:00:00"/>
        <d v="2027-06-18T00:00:00"/>
        <d v="2027-04-16T00:00:00"/>
        <d v="2026-09-22T00:00:00"/>
        <d v="2026-09-06T00:00:00"/>
        <d v="2025-12-31T00:00:00"/>
        <d v="2027-04-06T00:00:00"/>
        <d v="2027-10-06T00:00:00"/>
        <d v="2026-07-09T00:00:00"/>
        <d v="2028-06-26T00:00:00"/>
        <d v="2027-10-09T00:00:00"/>
        <d v="2028-08-05T00:00:00"/>
        <d v="2027-05-16T00:00:00"/>
        <d v="2027-02-11T00:00:00"/>
        <d v="2028-05-13T00:00:00"/>
        <d v="2026-07-31T00:00:00"/>
        <d v="2026-04-25T00:00:00"/>
        <d v="2026-03-10T00:00:00"/>
        <d v="2026-07-05T00:00:00"/>
        <d v="2026-11-20T00:00:00"/>
        <d v="2026-06-30T00:00:00"/>
        <d v="2026-01-07T00:00:00"/>
        <d v="2026-12-29T00:00:00"/>
        <d v="2026-11-04T00:00:00"/>
        <d v="2026-07-13T00:00:00"/>
        <d v="2028-02-15T00:00:00"/>
        <d v="2028-06-28T00:00:00"/>
        <d v="2027-10-02T00:00:00"/>
        <d v="2026-11-19T00:00:00"/>
        <d v="2027-07-02T00:00:00"/>
        <d v="2026-09-07T00:00:00"/>
        <d v="2027-04-14T00:00:00"/>
        <d v="2027-03-29T00:00:00"/>
        <d v="2027-02-13T00:00:00"/>
        <d v="2026-04-18T00:00:00"/>
        <d v="2026-04-26T00:00:00"/>
        <d v="2028-02-26T00:00:00"/>
        <d v="2027-01-17T00:00:00"/>
        <d v="2025-12-27T00:00:00"/>
        <d v="2027-12-08T00:00:00"/>
        <d v="2026-06-29T00:00:00"/>
        <d v="2026-11-24T00:00:00"/>
        <d v="2025-08-01T00:00:00"/>
        <d v="2026-05-17T00:00:00"/>
        <d v="2028-02-03T00:00:00"/>
        <d v="2027-03-03T00:00:00"/>
        <d v="2027-03-16T00:00:00"/>
        <d v="2027-04-04T00:00:00"/>
        <d v="2027-11-14T00:00:00"/>
        <d v="2027-07-08T00:00:00"/>
        <d v="2026-05-16T00:00:00"/>
        <d v="2026-10-19T00:00:00"/>
        <d v="2027-05-06T00:00:00"/>
        <d v="2026-07-22T00:00:00"/>
        <d v="2028-10-15T00:00:00"/>
        <d v="2027-07-19T00:00:00"/>
        <d v="2027-05-13T00:00:00"/>
        <d v="2026-04-21T00:00:00"/>
        <d v="2026-12-06T00:00:00"/>
        <d v="2027-09-02T00:00:00"/>
        <d v="2026-05-04T00:00:00"/>
        <d v="2027-04-19T00:00:00"/>
        <d v="2026-08-16T00:00:00"/>
        <d v="2028-06-22T00:00:00"/>
        <d v="2027-01-27T00:00:00"/>
        <d v="2028-04-26T00:00:00"/>
        <d v="2027-08-11T00:00:00"/>
        <d v="2028-10-02T00:00:00"/>
        <d v="2026-08-06T00:00:00"/>
        <d v="2026-05-21T00:00:00"/>
        <d v="2028-02-11T00:00:00"/>
        <d v="2027-04-30T00:00:00"/>
        <d v="2026-06-14T00:00:00"/>
        <d v="2026-07-07T00:00:00"/>
        <d v="2028-08-12T00:00:00"/>
        <d v="2027-04-25T00:00:00"/>
        <d v="2027-01-22T00:00:00"/>
        <d v="2028-04-05T00:00:00"/>
        <d v="2025-09-27T00:00:00"/>
        <d v="2027-04-13T00:00:00"/>
        <d v="2025-07-16T00:00:00"/>
        <d v="2027-11-24T00:00:00"/>
        <d v="2027-02-07T00:00:00"/>
        <d v="2026-01-13T00:00:00"/>
        <d v="2027-11-11T00:00:00"/>
        <d v="2026-08-23T00:00:00"/>
        <d v="2027-12-25T00:00:00"/>
        <d v="2027-04-01T00:00:00"/>
        <d v="2026-07-18T00:00:00"/>
        <d v="2027-06-05T00:00:00"/>
        <d v="2028-04-15T00:00:00"/>
        <d v="2028-05-26T00:00:00"/>
        <d v="2026-11-16T00:00:00"/>
        <d v="2027-01-07T00:00:00"/>
        <d v="2027-06-02T00:00:00"/>
        <d v="2026-05-01T00:00:00"/>
        <d v="2025-07-13T00:00:00"/>
        <d v="2027-02-28T00:00:00"/>
        <d v="2025-12-12T00:00:00"/>
        <d v="2027-05-21T00:00:00"/>
        <d v="2027-03-22T00:00:00"/>
        <d v="2027-09-22T00:00:00"/>
        <d v="2027-06-21T00:00:00"/>
        <d v="2027-05-10T00:00:00"/>
        <d v="2026-03-27T00:00:00"/>
        <d v="2026-05-02T00:00:00"/>
        <d v="2027-03-15T00:00:00"/>
        <d v="2025-09-11T00:00:00"/>
        <d v="2027-11-08T00:00:00"/>
        <d v="2028-03-17T00:00:00"/>
        <d v="2026-11-27T00:00:00"/>
        <d v="2027-03-07T00:00:00"/>
        <d v="2027-10-05T00:00:00"/>
        <d v="2027-03-14T00:00:00"/>
        <d v="2026-04-05T00:00:00"/>
        <d v="2026-07-17T00:00:00"/>
        <d v="2027-09-25T00:00:00"/>
        <d v="2026-09-09T00:00:00"/>
        <d v="2026-05-28T00:00:00"/>
        <d v="2027-08-18T00:00:00"/>
        <d v="2026-03-02T00:00:00"/>
        <d v="2027-03-10T00:00:00"/>
        <d v="2028-08-13T00:00:00"/>
        <d v="2026-05-23T00:00:00"/>
        <d v="2027-10-17T00:00:00"/>
        <d v="2027-08-08T00:00:00"/>
        <d v="2027-03-21T00:00:00"/>
        <d v="2027-05-28T00:00:00"/>
        <d v="2025-12-17T00:00:00"/>
        <d v="2027-11-28T00:00:00"/>
        <d v="2028-07-02T00:00:00"/>
        <d v="2027-04-08T00:00:00"/>
        <d v="2027-06-16T00:00:00"/>
        <d v="2026-10-05T00:00:00"/>
        <d v="2026-11-21T00:00:00"/>
        <d v="2028-06-23T00:00:00"/>
        <d v="2028-11-07T00:00:00"/>
        <d v="2027-06-14T00:00:00"/>
        <d v="2026-06-08T00:00:00"/>
        <d v="2027-04-02T00:00:00"/>
        <d v="2026-03-04T00:00:00"/>
        <d v="2026-09-14T00:00:00"/>
        <d v="2027-04-05T00:00:00"/>
        <d v="2026-12-14T00:00:00"/>
        <d v="2026-05-13T00:00:00"/>
        <d v="2027-05-15T00:00:00"/>
        <d v="2026-06-21T00:00:00"/>
        <d v="2027-05-18T00:00:00"/>
        <d v="2026-04-23T00:00:00"/>
        <d v="2026-10-29T00:00:00"/>
        <d v="2028-06-21T00:00:00"/>
        <d v="2027-03-20T00:00:00"/>
        <d v="2027-03-30T00:00:00"/>
        <d v="2027-02-09T00:00:00"/>
        <d v="2028-12-15T00:00:00"/>
        <d v="2027-04-20T00:00:00"/>
        <d v="2025-10-13T00:00:00"/>
        <d v="2026-06-20T00:00:00"/>
        <d v="2026-05-20T00:00:00"/>
        <d v="2026-10-09T00:00:00"/>
        <d v="2027-11-22T00:00:00"/>
        <d v="2025-10-01T00:00:00"/>
        <d v="2027-11-25T00:00:00"/>
        <d v="2028-04-01T00:00:00"/>
        <d v="2027-08-25T00:00:00"/>
        <d v="2026-03-19T00:00:00"/>
        <d v="2026-05-26T00:00:00"/>
        <d v="2027-03-04T00:00:00"/>
        <d v="2026-04-16T00:00:00"/>
        <d v="2026-01-29T00:00:00"/>
        <d v="2026-08-02T00:00:00"/>
        <d v="2028-06-09T00:00:00"/>
        <d v="2027-01-05T00:00:00"/>
        <d v="2027-04-24T00:00:00"/>
        <d v="2027-05-20T00:00:00"/>
        <d v="2026-05-29T00:00:00"/>
        <d v="2025-08-15T00:00:00"/>
        <d v="2027-08-12T00:00:00"/>
        <d v="2027-07-06T00:00:00"/>
        <d v="2027-03-11T00:00:00"/>
        <d v="2025-07-02T00:00:00"/>
        <d v="2026-10-08T00:00:00"/>
        <d v="2028-09-18T00:00:00"/>
        <d v="2026-08-04T00:00:00"/>
        <d v="2027-10-13T00:00:00"/>
        <d v="2026-01-20T00:00:00"/>
        <d v="2027-07-24T00:00:00"/>
        <d v="2027-03-12T00:00:00"/>
        <d v="2027-01-30T00:00:00"/>
        <d v="2026-09-05T00:00:00"/>
        <d v="2028-03-19T00:00:00"/>
        <d v="2026-07-26T00:00:00"/>
        <d v="2027-06-29T00:00:00"/>
        <d v="2025-07-28T00:00:00"/>
        <d v="2026-01-17T00:00:00"/>
        <d v="2026-07-12T00:00:00"/>
        <d v="2026-10-10T00:00:00"/>
        <d v="2027-01-08T00:00:00"/>
        <d v="2026-01-23T00:00:00"/>
        <d v="2027-09-12T00:00:00"/>
        <d v="2027-09-20T00:00:00"/>
        <d v="2026-07-25T00:00:00"/>
        <d v="2026-02-17T00:00:00"/>
        <d v="2026-08-26T00:00:00"/>
        <d v="2027-07-26T00:00:00"/>
        <d v="2026-01-09T00:00:00"/>
        <d v="2026-01-24T00:00:00"/>
        <d v="2026-10-14T00:00:00"/>
        <d v="2026-10-16T00:00:00"/>
        <d v="2027-01-24T00:00:00"/>
        <d v="2026-06-06T00:00:00"/>
        <d v="2025-10-03T00:00:00"/>
        <d v="2027-02-04T00:00:00"/>
        <d v="2027-02-17T00:00:00"/>
        <d v="2027-01-31T00:00:00"/>
        <d v="2027-02-08T00:00:00"/>
        <d v="2027-06-17T00:00:00"/>
        <d v="2028-10-11T00:00:00"/>
        <d v="2027-02-06T00:00:00"/>
        <d v="2026-09-24T00:00:00"/>
        <d v="2027-04-27T00:00:00"/>
        <d v="2027-02-02T00:00:00"/>
        <d v="2027-04-17T00:00:00"/>
        <d v="2027-06-10T00:00:00"/>
        <d v="2027-01-23T00:00:00"/>
        <d v="2028-08-15T00:00:00"/>
        <d v="2026-08-28T00:00:00"/>
        <d v="2026-07-06T00:00:00"/>
        <d v="2026-09-21T00:00:00"/>
        <d v="2028-02-01T00:00:00"/>
        <d v="2026-08-03T00:00:00"/>
        <d v="2026-12-17T00:00:00"/>
        <d v="2028-10-26T00:00:00"/>
        <d v="2025-08-02T00:00:00"/>
        <d v="2028-09-28T00:00:00"/>
        <d v="2027-08-22T00:00:00"/>
        <d v="2025-08-05T00:00:00"/>
        <d v="2027-06-22T00:00:00"/>
        <d v="2028-05-06T00:00:00"/>
        <d v="2026-04-24T00:00:00"/>
        <d v="2026-03-05T00:00:00"/>
        <d v="2026-08-08T00:00:00"/>
        <d v="2028-03-07T00:00:00"/>
        <d v="2026-06-25T00:00:00"/>
        <d v="2026-10-11T00:00:00"/>
        <d v="2027-01-25T00:00:00"/>
        <d v="2026-02-23T00:00:00"/>
        <d v="2026-06-24T00:00:00"/>
        <d v="2026-10-12T00:00:00"/>
        <d v="2026-03-14T00:00:00"/>
        <d v="2027-05-11T00:00:00"/>
        <d v="2025-09-18T00:00:00"/>
        <d v="2027-09-16T00:00:00"/>
        <d v="2026-11-18T00:00:00"/>
        <d v="2027-07-11T00:00:00"/>
        <d v="2027-03-01T00:00:00"/>
        <d v="2026-08-25T00:00:00"/>
        <d v="2027-08-23T00:00:00"/>
        <d v="2026-09-23T00:00:00"/>
        <d v="2027-02-05T00:00:00"/>
        <d v="2026-07-15T00:00:00"/>
        <d v="2027-12-11T00:00:00"/>
        <d v="2025-11-08T00:00:00"/>
        <d v="2026-04-12T00:00:00"/>
        <d v="2026-04-01T00:00:00"/>
        <d v="2026-01-03T00:00:00"/>
        <d v="2028-05-09T00:00:00"/>
        <d v="2026-10-06T00:00:00"/>
        <d v="2027-01-20T00:00:00"/>
        <d v="2027-02-25T00:00:00"/>
        <d v="2027-03-18T00:00:00"/>
        <d v="2027-02-16T00:00:00"/>
        <d v="2027-01-13T00:00:00"/>
        <d v="2028-07-09T00:00:00"/>
        <d v="2027-08-06T00:00:00"/>
        <d v="2027-08-05T00:00:00"/>
        <d v="2027-08-31T00:00:00"/>
        <d v="2027-09-30T00:00:00"/>
        <d v="2026-03-07T00:00:00"/>
        <d v="2025-09-21T00:00:00"/>
        <d v="2027-05-04T00:00:00"/>
        <d v="2026-07-20T00:00:00"/>
        <d v="2027-10-24T00:00:00"/>
        <d v="2026-04-08T00:00:00"/>
        <d v="2026-08-13T00:00:00"/>
        <d v="2028-02-16T00:00:00"/>
        <d v="2027-05-01T00:00:00"/>
        <d v="2026-11-09T00:00:00"/>
        <d v="2026-12-24T00:00:00"/>
        <d v="2027-07-16T00:00:00"/>
        <d v="2027-09-09T00:00:00"/>
        <d v="2027-11-30T00:00:00"/>
        <d v="2027-08-19T00:00:00"/>
        <d v="2026-09-11T00:00:00"/>
        <d v="2027-04-07T00:00:00"/>
        <d v="2027-01-02T00:00:00"/>
        <d v="2026-12-01T00:00:00"/>
        <d v="2025-11-06T00:00:00"/>
        <d v="2027-09-18T00:00:00"/>
        <d v="2027-09-10T00:00:00"/>
        <d v="2026-03-01T00:00:00"/>
        <d v="2027-01-21T00:00:00"/>
        <d v="2025-08-17T00:00:00"/>
        <d v="2026-02-04T00:00:00"/>
        <d v="2026-08-21T00:00:00"/>
        <d v="2027-10-01T00:00:00"/>
        <d v="2026-01-04T00:00:00"/>
        <d v="2027-12-10T00:00:00"/>
        <d v="2027-10-08T00:00:00"/>
        <d v="2026-02-28T00:00:00"/>
        <d v="2026-12-23T00:00:00"/>
        <d v="2026-12-02T00:00:00"/>
        <d v="2025-07-20T00:00:00"/>
        <d v="2025-12-13T00:00:00"/>
        <d v="2026-07-11T00:00:00"/>
        <d v="2027-11-27T00:00:00"/>
        <d v="2027-10-14T00:00:00"/>
        <d v="2027-09-17T00:00:00"/>
        <d v="2026-01-15T00:00:00"/>
        <d v="2028-05-17T00:00:00"/>
        <d v="2028-09-13T00:00:00"/>
        <d v="2028-12-12T00:00:00"/>
        <d v="2026-11-14T00:00:00"/>
        <d v="2027-12-31T00:00:00"/>
        <d v="2027-05-08T00:00:00"/>
        <d v="2027-03-17T00:00:00"/>
        <d v="2028-01-04T00:00:00"/>
        <d v="2026-02-07T00:00:00"/>
        <d v="2025-12-25T00:00:00"/>
        <d v="2027-04-18T00:00:00"/>
        <d v="2027-03-08T00:00:00"/>
        <d v="2026-07-08T00:00:00"/>
        <d v="2027-07-18T00:00:00"/>
        <d v="2025-07-01T00:00:00"/>
        <d v="2027-01-04T00:00:00"/>
        <d v="2027-02-23T00:00:00"/>
        <d v="2027-12-01T00:00:00"/>
        <d v="2026-06-05T00:00:00"/>
        <d v="2027-07-04T00:00:00"/>
        <d v="2026-01-18T00:00:00"/>
        <d v="2027-04-22T00:00:00"/>
        <d v="2027-12-30T00:00:00"/>
        <d v="2026-08-19T00:00:00"/>
        <d v="2027-09-14T00:00:00"/>
        <d v="2028-12-16T00:00:00"/>
        <d v="2028-10-28T00:00:00"/>
        <d v="2026-06-09T00:00:00"/>
        <d v="2026-09-13T00:00:00"/>
        <d v="2028-08-24T00:00:00"/>
        <d v="2028-09-10T00:00:00"/>
        <d v="2027-06-09T00:00:00"/>
        <d v="2026-10-15T00:00:00"/>
        <d v="2025-07-22T00:00:00"/>
        <d v="2027-09-23T00:00:00"/>
        <d v="2026-12-25T00:00:00"/>
        <d v="2028-03-06T00:00:00"/>
        <d v="2028-07-12T00:00:00"/>
        <d v="2027-08-13T00:00:00"/>
        <d v="2027-07-31T00:00:00"/>
        <d v="2028-04-06T00:00:00"/>
        <d v="2025-10-07T00:00:00"/>
        <d v="2027-06-23T00:00:00"/>
        <d v="2026-10-24T00:00:00"/>
        <d v="2026-12-27T00:00:00"/>
        <d v="2025-12-18T00:00:00"/>
        <d v="2026-09-02T00:00:00"/>
        <d v="2027-10-28T00:00:00"/>
        <d v="2026-03-18T00:00:00"/>
        <d v="2025-09-14T00:00:00"/>
        <d v="2026-06-03T00:00:00"/>
      </sharedItems>
      <fieldGroup par="25" base="21">
        <rangePr groupBy="months" startDate="2025-07-01T00:00:00" endDate="2028-12-17T00:00:00"/>
        <groupItems count="14">
          <s v="&lt;7/1/2025"/>
          <s v="Jan"/>
          <s v="Feb"/>
          <s v="Mar"/>
          <s v="Apr"/>
          <s v="May"/>
          <s v="Jun"/>
          <s v="Jul"/>
          <s v="Aug"/>
          <s v="Sep"/>
          <s v="Oct"/>
          <s v="Nov"/>
          <s v="Dec"/>
          <s v="&gt;12/17/2028"/>
        </groupItems>
      </fieldGroup>
    </cacheField>
    <cacheField name="Quarters" numFmtId="0" databaseField="0">
      <fieldGroup base="1">
        <rangePr groupBy="quarters" startDate="2025-01-02T00:00:00" endDate="2027-01-01T00:00:00"/>
        <groupItems count="6">
          <s v="&lt;1/2/2025"/>
          <s v="Qtr1"/>
          <s v="Qtr2"/>
          <s v="Qtr3"/>
          <s v="Qtr4"/>
          <s v="&gt;1/1/2027"/>
        </groupItems>
      </fieldGroup>
    </cacheField>
    <cacheField name="Years" numFmtId="0" databaseField="0">
      <fieldGroup base="1">
        <rangePr groupBy="years" startDate="2025-01-02T00:00:00" endDate="2027-01-01T00:00:00"/>
        <groupItems count="5">
          <s v="&lt;1/2/2025"/>
          <s v="2025"/>
          <s v="2026"/>
          <s v="2027"/>
          <s v="&gt;1/1/2027"/>
        </groupItems>
      </fieldGroup>
    </cacheField>
    <cacheField name="Quarters2" numFmtId="0" databaseField="0">
      <fieldGroup base="21">
        <rangePr groupBy="quarters" startDate="2025-07-01T00:00:00" endDate="2028-12-17T00:00:00"/>
        <groupItems count="6">
          <s v="&lt;7/1/2025"/>
          <s v="Qtr1"/>
          <s v="Qtr2"/>
          <s v="Qtr3"/>
          <s v="Qtr4"/>
          <s v="&gt;12/17/2028"/>
        </groupItems>
      </fieldGroup>
    </cacheField>
    <cacheField name="Years2" numFmtId="0" databaseField="0">
      <fieldGroup base="21">
        <rangePr groupBy="years" startDate="2025-07-01T00:00:00" endDate="2028-12-17T00:00:00"/>
        <groupItems count="6">
          <s v="&lt;7/1/2025"/>
          <s v="2025"/>
          <s v="2026"/>
          <s v="2027"/>
          <s v="2028"/>
          <s v="&gt;12/17/2028"/>
        </groupItems>
      </fieldGroup>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Mustafa" refreshedDate="46289.975608449073" createdVersion="6" refreshedVersion="6" minRefreshableVersion="3" recordCount="500">
  <cacheSource type="worksheet">
    <worksheetSource name="Table5"/>
  </cacheSource>
  <cacheFields count="22">
    <cacheField name="Risk ID" numFmtId="0">
      <sharedItems count="500">
        <s v="RA0001"/>
        <s v="RA0002"/>
        <s v="RA0003"/>
        <s v="RA0004"/>
        <s v="RA0005"/>
        <s v="RA0006"/>
        <s v="RA0007"/>
        <s v="RA0008"/>
        <s v="RA0009"/>
        <s v="RA0010"/>
        <s v="RA0011"/>
        <s v="RA0012"/>
        <s v="RA0013"/>
        <s v="RA0014"/>
        <s v="RA0015"/>
        <s v="RA0016"/>
        <s v="RA0017"/>
        <s v="RA0018"/>
        <s v="RA0019"/>
        <s v="RA0020"/>
        <s v="RA0021"/>
        <s v="RA0022"/>
        <s v="RA0023"/>
        <s v="RA0024"/>
        <s v="RA0025"/>
        <s v="RA0026"/>
        <s v="RA0027"/>
        <s v="RA0028"/>
        <s v="RA0029"/>
        <s v="RA0030"/>
        <s v="RA0031"/>
        <s v="RA0032"/>
        <s v="RA0033"/>
        <s v="RA0034"/>
        <s v="RA0035"/>
        <s v="RA0036"/>
        <s v="RA0037"/>
        <s v="RA0038"/>
        <s v="RA0039"/>
        <s v="RA0040"/>
        <s v="RA0041"/>
        <s v="RA0042"/>
        <s v="RA0043"/>
        <s v="RA0044"/>
        <s v="RA0045"/>
        <s v="RA0046"/>
        <s v="RA0047"/>
        <s v="RA0048"/>
        <s v="RA0049"/>
        <s v="RA0050"/>
        <s v="RA0051"/>
        <s v="RA0052"/>
        <s v="RA0053"/>
        <s v="RA0054"/>
        <s v="RA0055"/>
        <s v="RA0056"/>
        <s v="RA0057"/>
        <s v="RA0058"/>
        <s v="RA0059"/>
        <s v="RA0060"/>
        <s v="RA0061"/>
        <s v="RA0062"/>
        <s v="RA0063"/>
        <s v="RA0064"/>
        <s v="RA0065"/>
        <s v="RA0066"/>
        <s v="RA0067"/>
        <s v="RA0068"/>
        <s v="RA0069"/>
        <s v="RA0070"/>
        <s v="RA0071"/>
        <s v="RA0072"/>
        <s v="RA0073"/>
        <s v="RA0074"/>
        <s v="RA0075"/>
        <s v="RA0076"/>
        <s v="RA0077"/>
        <s v="RA0078"/>
        <s v="RA0079"/>
        <s v="RA0080"/>
        <s v="RA0081"/>
        <s v="RA0082"/>
        <s v="RA0083"/>
        <s v="RA0084"/>
        <s v="RA0085"/>
        <s v="RA0086"/>
        <s v="RA0087"/>
        <s v="RA0088"/>
        <s v="RA0089"/>
        <s v="RA0090"/>
        <s v="RA0091"/>
        <s v="RA0092"/>
        <s v="RA0093"/>
        <s v="RA0094"/>
        <s v="RA0095"/>
        <s v="RA0096"/>
        <s v="RA0097"/>
        <s v="RA0098"/>
        <s v="RA0099"/>
        <s v="RA0100"/>
        <s v="RA0101"/>
        <s v="RA0102"/>
        <s v="RA0103"/>
        <s v="RA0104"/>
        <s v="RA0105"/>
        <s v="RA0106"/>
        <s v="RA0107"/>
        <s v="RA0108"/>
        <s v="RA0109"/>
        <s v="RA0110"/>
        <s v="RA0111"/>
        <s v="RA0112"/>
        <s v="RA0113"/>
        <s v="RA0114"/>
        <s v="RA0115"/>
        <s v="RA0116"/>
        <s v="RA0117"/>
        <s v="RA0118"/>
        <s v="RA0119"/>
        <s v="RA0120"/>
        <s v="RA0121"/>
        <s v="RA0122"/>
        <s v="RA0123"/>
        <s v="RA0124"/>
        <s v="RA0125"/>
        <s v="RA0126"/>
        <s v="RA0127"/>
        <s v="RA0128"/>
        <s v="RA0129"/>
        <s v="RA0130"/>
        <s v="RA0131"/>
        <s v="RA0132"/>
        <s v="RA0133"/>
        <s v="RA0134"/>
        <s v="RA0135"/>
        <s v="RA0136"/>
        <s v="RA0137"/>
        <s v="RA0138"/>
        <s v="RA0139"/>
        <s v="RA0140"/>
        <s v="RA0141"/>
        <s v="RA0142"/>
        <s v="RA0143"/>
        <s v="RA0144"/>
        <s v="RA0145"/>
        <s v="RA0146"/>
        <s v="RA0147"/>
        <s v="RA0148"/>
        <s v="RA0149"/>
        <s v="RA0150"/>
        <s v="RA0151"/>
        <s v="RA0152"/>
        <s v="RA0153"/>
        <s v="RA0154"/>
        <s v="RA0155"/>
        <s v="RA0156"/>
        <s v="RA0157"/>
        <s v="RA0158"/>
        <s v="RA0159"/>
        <s v="RA0160"/>
        <s v="RA0161"/>
        <s v="RA0162"/>
        <s v="RA0163"/>
        <s v="RA0164"/>
        <s v="RA0165"/>
        <s v="RA0166"/>
        <s v="RA0167"/>
        <s v="RA0168"/>
        <s v="RA0169"/>
        <s v="RA0170"/>
        <s v="RA0171"/>
        <s v="RA0172"/>
        <s v="RA0173"/>
        <s v="RA0174"/>
        <s v="RA0175"/>
        <s v="RA0176"/>
        <s v="RA0177"/>
        <s v="RA0178"/>
        <s v="RA0179"/>
        <s v="RA0180"/>
        <s v="RA0181"/>
        <s v="RA0182"/>
        <s v="RA0183"/>
        <s v="RA0184"/>
        <s v="RA0185"/>
        <s v="RA0186"/>
        <s v="RA0187"/>
        <s v="RA0188"/>
        <s v="RA0189"/>
        <s v="RA0190"/>
        <s v="RA0191"/>
        <s v="RA0192"/>
        <s v="RA0193"/>
        <s v="RA0194"/>
        <s v="RA0195"/>
        <s v="RA0196"/>
        <s v="RA0197"/>
        <s v="RA0198"/>
        <s v="RA0199"/>
        <s v="RA0200"/>
        <s v="RA0201"/>
        <s v="RA0202"/>
        <s v="RA0203"/>
        <s v="RA0204"/>
        <s v="RA0205"/>
        <s v="RA0206"/>
        <s v="RA0207"/>
        <s v="RA0208"/>
        <s v="RA0209"/>
        <s v="RA0210"/>
        <s v="RA0211"/>
        <s v="RA0212"/>
        <s v="RA0213"/>
        <s v="RA0214"/>
        <s v="RA0215"/>
        <s v="RA0216"/>
        <s v="RA0217"/>
        <s v="RA0218"/>
        <s v="RA0219"/>
        <s v="RA0220"/>
        <s v="RA0221"/>
        <s v="RA0222"/>
        <s v="RA0223"/>
        <s v="RA0224"/>
        <s v="RA0225"/>
        <s v="RA0226"/>
        <s v="RA0227"/>
        <s v="RA0228"/>
        <s v="RA0229"/>
        <s v="RA0230"/>
        <s v="RA0231"/>
        <s v="RA0232"/>
        <s v="RA0233"/>
        <s v="RA0234"/>
        <s v="RA0235"/>
        <s v="RA0236"/>
        <s v="RA0237"/>
        <s v="RA0238"/>
        <s v="RA0239"/>
        <s v="RA0240"/>
        <s v="RA0241"/>
        <s v="RA0242"/>
        <s v="RA0243"/>
        <s v="RA0244"/>
        <s v="RA0245"/>
        <s v="RA0246"/>
        <s v="RA0247"/>
        <s v="RA0248"/>
        <s v="RA0249"/>
        <s v="RA0250"/>
        <s v="RA0251"/>
        <s v="RA0252"/>
        <s v="RA0253"/>
        <s v="RA0254"/>
        <s v="RA0255"/>
        <s v="RA0256"/>
        <s v="RA0257"/>
        <s v="RA0258"/>
        <s v="RA0259"/>
        <s v="RA0260"/>
        <s v="RA0261"/>
        <s v="RA0262"/>
        <s v="RA0263"/>
        <s v="RA0264"/>
        <s v="RA0265"/>
        <s v="RA0266"/>
        <s v="RA0267"/>
        <s v="RA0268"/>
        <s v="RA0269"/>
        <s v="RA0270"/>
        <s v="RA0271"/>
        <s v="RA0272"/>
        <s v="RA0273"/>
        <s v="RA0274"/>
        <s v="RA0275"/>
        <s v="RA0276"/>
        <s v="RA0277"/>
        <s v="RA0278"/>
        <s v="RA0279"/>
        <s v="RA0280"/>
        <s v="RA0281"/>
        <s v="RA0282"/>
        <s v="RA0283"/>
        <s v="RA0284"/>
        <s v="RA0285"/>
        <s v="RA0286"/>
        <s v="RA0287"/>
        <s v="RA0288"/>
        <s v="RA0289"/>
        <s v="RA0290"/>
        <s v="RA0291"/>
        <s v="RA0292"/>
        <s v="RA0293"/>
        <s v="RA0294"/>
        <s v="RA0295"/>
        <s v="RA0296"/>
        <s v="RA0297"/>
        <s v="RA0298"/>
        <s v="RA0299"/>
        <s v="RA0300"/>
        <s v="RA0301"/>
        <s v="RA0302"/>
        <s v="RA0303"/>
        <s v="RA0304"/>
        <s v="RA0305"/>
        <s v="RA0306"/>
        <s v="RA0307"/>
        <s v="RA0308"/>
        <s v="RA0309"/>
        <s v="RA0310"/>
        <s v="RA0311"/>
        <s v="RA0312"/>
        <s v="RA0313"/>
        <s v="RA0314"/>
        <s v="RA0315"/>
        <s v="RA0316"/>
        <s v="RA0317"/>
        <s v="RA0318"/>
        <s v="RA0319"/>
        <s v="RA0320"/>
        <s v="RA0321"/>
        <s v="RA0322"/>
        <s v="RA0323"/>
        <s v="RA0324"/>
        <s v="RA0325"/>
        <s v="RA0326"/>
        <s v="RA0327"/>
        <s v="RA0328"/>
        <s v="RA0329"/>
        <s v="RA0330"/>
        <s v="RA0331"/>
        <s v="RA0332"/>
        <s v="RA0333"/>
        <s v="RA0334"/>
        <s v="RA0335"/>
        <s v="RA0336"/>
        <s v="RA0337"/>
        <s v="RA0338"/>
        <s v="RA0339"/>
        <s v="RA0340"/>
        <s v="RA0341"/>
        <s v="RA0342"/>
        <s v="RA0343"/>
        <s v="RA0344"/>
        <s v="RA0345"/>
        <s v="RA0346"/>
        <s v="RA0347"/>
        <s v="RA0348"/>
        <s v="RA0349"/>
        <s v="RA0350"/>
        <s v="RA0351"/>
        <s v="RA0352"/>
        <s v="RA0353"/>
        <s v="RA0354"/>
        <s v="RA0355"/>
        <s v="RA0356"/>
        <s v="RA0357"/>
        <s v="RA0358"/>
        <s v="RA0359"/>
        <s v="RA0360"/>
        <s v="RA0361"/>
        <s v="RA0362"/>
        <s v="RA0363"/>
        <s v="RA0364"/>
        <s v="RA0365"/>
        <s v="RA0366"/>
        <s v="RA0367"/>
        <s v="RA0368"/>
        <s v="RA0369"/>
        <s v="RA0370"/>
        <s v="RA0371"/>
        <s v="RA0372"/>
        <s v="RA0373"/>
        <s v="RA0374"/>
        <s v="RA0375"/>
        <s v="RA0376"/>
        <s v="RA0377"/>
        <s v="RA0378"/>
        <s v="RA0379"/>
        <s v="RA0380"/>
        <s v="RA0381"/>
        <s v="RA0382"/>
        <s v="RA0383"/>
        <s v="RA0384"/>
        <s v="RA0385"/>
        <s v="RA0386"/>
        <s v="RA0387"/>
        <s v="RA0388"/>
        <s v="RA0389"/>
        <s v="RA0390"/>
        <s v="RA0391"/>
        <s v="RA0392"/>
        <s v="RA0393"/>
        <s v="RA0394"/>
        <s v="RA0395"/>
        <s v="RA0396"/>
        <s v="RA0397"/>
        <s v="RA0398"/>
        <s v="RA0399"/>
        <s v="RA0400"/>
        <s v="RA0401"/>
        <s v="RA0402"/>
        <s v="RA0403"/>
        <s v="RA0404"/>
        <s v="RA0405"/>
        <s v="RA0406"/>
        <s v="RA0407"/>
        <s v="RA0408"/>
        <s v="RA0409"/>
        <s v="RA0410"/>
        <s v="RA0411"/>
        <s v="RA0412"/>
        <s v="RA0413"/>
        <s v="RA0414"/>
        <s v="RA0415"/>
        <s v="RA0416"/>
        <s v="RA0417"/>
        <s v="RA0418"/>
        <s v="RA0419"/>
        <s v="RA0420"/>
        <s v="RA0421"/>
        <s v="RA0422"/>
        <s v="RA0423"/>
        <s v="RA0424"/>
        <s v="RA0425"/>
        <s v="RA0426"/>
        <s v="RA0427"/>
        <s v="RA0428"/>
        <s v="RA0429"/>
        <s v="RA0430"/>
        <s v="RA0431"/>
        <s v="RA0432"/>
        <s v="RA0433"/>
        <s v="RA0434"/>
        <s v="RA0435"/>
        <s v="RA0436"/>
        <s v="RA0437"/>
        <s v="RA0438"/>
        <s v="RA0439"/>
        <s v="RA0440"/>
        <s v="RA0441"/>
        <s v="RA0442"/>
        <s v="RA0443"/>
        <s v="RA0444"/>
        <s v="RA0445"/>
        <s v="RA0446"/>
        <s v="RA0447"/>
        <s v="RA0448"/>
        <s v="RA0449"/>
        <s v="RA0450"/>
        <s v="RA0451"/>
        <s v="RA0452"/>
        <s v="RA0453"/>
        <s v="RA0454"/>
        <s v="RA0455"/>
        <s v="RA0456"/>
        <s v="RA0457"/>
        <s v="RA0458"/>
        <s v="RA0459"/>
        <s v="RA0460"/>
        <s v="RA0461"/>
        <s v="RA0462"/>
        <s v="RA0463"/>
        <s v="RA0464"/>
        <s v="RA0465"/>
        <s v="RA0466"/>
        <s v="RA0467"/>
        <s v="RA0468"/>
        <s v="RA0469"/>
        <s v="RA0470"/>
        <s v="RA0471"/>
        <s v="RA0472"/>
        <s v="RA0473"/>
        <s v="RA0474"/>
        <s v="RA0475"/>
        <s v="RA0476"/>
        <s v="RA0477"/>
        <s v="RA0478"/>
        <s v="RA0479"/>
        <s v="RA0480"/>
        <s v="RA0481"/>
        <s v="RA0482"/>
        <s v="RA0483"/>
        <s v="RA0484"/>
        <s v="RA0485"/>
        <s v="RA0486"/>
        <s v="RA0487"/>
        <s v="RA0488"/>
        <s v="RA0489"/>
        <s v="RA0490"/>
        <s v="RA0491"/>
        <s v="RA0492"/>
        <s v="RA0493"/>
        <s v="RA0494"/>
        <s v="RA0495"/>
        <s v="RA0496"/>
        <s v="RA0497"/>
        <s v="RA0498"/>
        <s v="RA0499"/>
        <s v="RA0500"/>
      </sharedItems>
    </cacheField>
    <cacheField name="Assessment Date" numFmtId="164">
      <sharedItems containsSemiMixedTypes="0" containsNonDate="0" containsDate="1" containsString="0" minDate="2025-01-02T00:00:00" maxDate="2027-01-01T00:00:00"/>
    </cacheField>
    <cacheField name="Department" numFmtId="0">
      <sharedItems count="8">
        <s v="Production"/>
        <s v="Mechanical"/>
        <s v="Quality"/>
        <s v="Administration"/>
        <s v="Maintenance"/>
        <s v="Electrical"/>
        <s v="Utilities"/>
        <s v="Warehouse"/>
      </sharedItems>
    </cacheField>
    <cacheField name="Location" numFmtId="0">
      <sharedItems/>
    </cacheField>
    <cacheField name="Activity" numFmtId="0">
      <sharedItems count="19">
        <s v="Kiln Operation"/>
        <s v="Welding and Cutting"/>
        <s v="Laboratory Testing"/>
        <s v="Office Work"/>
        <s v="Mechanical Maintenance"/>
        <s v="Electrical Panel Maintenance"/>
        <s v="Work at Height"/>
        <s v="Chemical Handling"/>
        <s v="Grinding Maintenance"/>
        <s v="Raw Material Handling"/>
        <s v="Cable Installation"/>
        <s v="Excavation Work"/>
        <s v="Pump Maintenance"/>
        <s v="Packing Operation"/>
        <s v="Compressed Air System"/>
        <s v="Forklift Operation"/>
        <s v="Material Stacking"/>
        <s v="Confined Space Entry"/>
        <s v="Boiler Operation"/>
      </sharedItems>
    </cacheField>
    <cacheField name="Hazard" numFmtId="0">
      <sharedItems count="19">
        <s v="Hot surfaces and high temperature"/>
        <s v="Fire, fumes and hot work"/>
        <s v="Chemical exposure"/>
        <s v="Ergonomic hazards and slips/trips"/>
        <s v="Unexpected equipment movement"/>
        <s v="Electric shock and arc flash"/>
        <s v="Fall from height"/>
        <s v="Chemical exposure and spills"/>
        <s v="Stored energy and moving parts"/>
        <s v="Moving equipment / conveyor"/>
        <s v="Electric shock and trip hazards"/>
        <s v="Collapse and underground services"/>
        <s v="Stored pressure and rotating parts"/>
        <s v="Moving machinery and dust"/>
        <s v="High pressure release"/>
        <s v="Vehicle-pedestrian interaction"/>
        <s v="Falling objects"/>
        <s v="Oxygen deficiency / toxic atmosphere"/>
        <s v="High pressure and hot surfaces"/>
      </sharedItems>
    </cacheField>
    <cacheField name="Hazard Category" numFmtId="0">
      <sharedItems/>
    </cacheField>
    <cacheField name="Potential Consequence" numFmtId="0">
      <sharedItems count="23">
        <s v="Serious burn"/>
        <s v="Respiratory irritation"/>
        <s v="Eye injury"/>
        <s v="Musculoskeletal strain"/>
        <s v="Serious injury"/>
        <s v="Electric shock"/>
        <s v="Skin irritation"/>
        <s v="Crush injury"/>
        <s v="Fire-related injury"/>
        <s v="Burn"/>
        <s v="Amputation"/>
        <s v="Fall injury"/>
        <s v="Cuts"/>
        <s v="Fatal injury"/>
        <s v="Impact injury"/>
        <s v="Toxic exposure"/>
        <s v="Collapse injury"/>
        <s v="Asphyxiation risk"/>
        <s v="Slip/trip injury"/>
        <s v="Head injury"/>
        <s v="Heat stress"/>
        <s v="Collision"/>
        <s v="Pressure-related injury"/>
      </sharedItems>
    </cacheField>
    <cacheField name="Initial Likelihood" numFmtId="0">
      <sharedItems containsSemiMixedTypes="0" containsString="0" containsNumber="1" containsInteger="1" minValue="2" maxValue="5"/>
    </cacheField>
    <cacheField name="Initial Consequence" numFmtId="0">
      <sharedItems containsSemiMixedTypes="0" containsString="0" containsNumber="1" containsInteger="1" minValue="2" maxValue="5"/>
    </cacheField>
    <cacheField name="Initial Risk Score" numFmtId="0">
      <sharedItems containsSemiMixedTypes="0" containsString="0" containsNumber="1" containsInteger="1" minValue="4" maxValue="25"/>
    </cacheField>
    <cacheField name="Initial Risk Level" numFmtId="0">
      <sharedItems count="4">
        <s v="Medium"/>
        <s v="High"/>
        <s v="Critical"/>
        <s v="Low"/>
      </sharedItems>
    </cacheField>
    <cacheField name="Existing Controls" numFmtId="0">
      <sharedItems count="8">
        <s v="PPE provided and mandatory"/>
        <s v="Preventive maintenance program"/>
        <s v="Trained and authorized personnel only"/>
        <s v="Emergency response equipment available"/>
        <s v="Safety signage and restricted access"/>
        <s v="Machine guarding and routine inspection"/>
        <s v="Standard operating procedure and supervision"/>
        <s v="Toolbox talk before work"/>
      </sharedItems>
    </cacheField>
    <cacheField name="Additional Controls" numFmtId="0">
      <sharedItems count="10">
        <s v="Conduct emergency drill"/>
        <s v="Conduct refresher training"/>
        <s v="Install warning signs and barriers"/>
        <s v="Increase inspection frequency"/>
        <s v="Improve supervision and monitoring"/>
        <s v="Implement engineering control"/>
        <s v="Install additional physical guard"/>
        <s v="Provide specialized PPE"/>
        <s v="Verify PTW and isolation before work"/>
        <s v="Update risk assessment and procedure"/>
      </sharedItems>
    </cacheField>
    <cacheField name="Residual Likelihood" numFmtId="0">
      <sharedItems containsSemiMixedTypes="0" containsString="0" containsNumber="1" containsInteger="1" minValue="1" maxValue="5"/>
    </cacheField>
    <cacheField name="Residual Consequence" numFmtId="0">
      <sharedItems containsSemiMixedTypes="0" containsString="0" containsNumber="1" containsInteger="1" minValue="1" maxValue="5"/>
    </cacheField>
    <cacheField name="Residual Risk Score" numFmtId="0">
      <sharedItems containsSemiMixedTypes="0" containsString="0" containsNumber="1" containsInteger="1" minValue="1" maxValue="25"/>
    </cacheField>
    <cacheField name="Risk Reduction" numFmtId="0">
      <sharedItems/>
    </cacheField>
    <cacheField name="Residual Risk Level" numFmtId="0">
      <sharedItems count="4">
        <s v="Low"/>
        <s v="High"/>
        <s v="Medium"/>
        <s v="Critical"/>
      </sharedItems>
    </cacheField>
    <cacheField name="Control Implementation Status" numFmtId="0">
      <sharedItems count="3">
        <s v="Partially Implemented"/>
        <s v="Implemented"/>
        <s v="Pending"/>
      </sharedItems>
    </cacheField>
    <cacheField name="Responsible Person" numFmtId="0">
      <sharedItems/>
    </cacheField>
    <cacheField name="Review Date" numFmtId="164">
      <sharedItems containsSemiMixedTypes="0" containsNonDate="0" containsDate="1" containsString="0" minDate="2025-07-01T00:00:00" maxDate="2028-12-17T00:00:00" count="387">
        <d v="2027-06-26T00:00:00"/>
        <d v="2026-05-14T00:00:00"/>
        <d v="2025-07-17T00:00:00"/>
        <d v="2027-08-01T00:00:00"/>
        <d v="2028-06-16T00:00:00"/>
        <d v="2028-01-21T00:00:00"/>
        <d v="2026-11-05T00:00:00"/>
        <d v="2027-05-03T00:00:00"/>
        <d v="2027-07-27T00:00:00"/>
        <d v="2026-09-17T00:00:00"/>
        <d v="2027-05-30T00:00:00"/>
        <d v="2025-12-05T00:00:00"/>
        <d v="2027-01-14T00:00:00"/>
        <d v="2027-03-24T00:00:00"/>
        <d v="2027-06-19T00:00:00"/>
        <d v="2026-03-08T00:00:00"/>
        <d v="2028-07-14T00:00:00"/>
        <d v="2028-07-22T00:00:00"/>
        <d v="2027-06-18T00:00:00"/>
        <d v="2027-04-16T00:00:00"/>
        <d v="2026-09-22T00:00:00"/>
        <d v="2026-09-06T00:00:00"/>
        <d v="2025-12-31T00:00:00"/>
        <d v="2027-04-06T00:00:00"/>
        <d v="2027-10-06T00:00:00"/>
        <d v="2026-07-09T00:00:00"/>
        <d v="2028-06-26T00:00:00"/>
        <d v="2027-10-09T00:00:00"/>
        <d v="2028-08-05T00:00:00"/>
        <d v="2027-05-16T00:00:00"/>
        <d v="2027-02-11T00:00:00"/>
        <d v="2028-05-13T00:00:00"/>
        <d v="2026-07-31T00:00:00"/>
        <d v="2026-04-25T00:00:00"/>
        <d v="2026-03-10T00:00:00"/>
        <d v="2026-07-05T00:00:00"/>
        <d v="2026-11-20T00:00:00"/>
        <d v="2026-06-30T00:00:00"/>
        <d v="2026-01-07T00:00:00"/>
        <d v="2026-12-29T00:00:00"/>
        <d v="2026-11-04T00:00:00"/>
        <d v="2026-07-13T00:00:00"/>
        <d v="2028-02-15T00:00:00"/>
        <d v="2028-06-28T00:00:00"/>
        <d v="2027-10-02T00:00:00"/>
        <d v="2026-11-19T00:00:00"/>
        <d v="2027-07-02T00:00:00"/>
        <d v="2026-09-07T00:00:00"/>
        <d v="2027-04-14T00:00:00"/>
        <d v="2027-03-29T00:00:00"/>
        <d v="2027-02-13T00:00:00"/>
        <d v="2026-04-18T00:00:00"/>
        <d v="2026-04-26T00:00:00"/>
        <d v="2028-02-26T00:00:00"/>
        <d v="2027-01-17T00:00:00"/>
        <d v="2025-12-27T00:00:00"/>
        <d v="2027-12-08T00:00:00"/>
        <d v="2026-06-29T00:00:00"/>
        <d v="2026-11-24T00:00:00"/>
        <d v="2025-08-01T00:00:00"/>
        <d v="2026-05-17T00:00:00"/>
        <d v="2028-02-03T00:00:00"/>
        <d v="2027-03-03T00:00:00"/>
        <d v="2027-03-16T00:00:00"/>
        <d v="2027-04-04T00:00:00"/>
        <d v="2027-11-14T00:00:00"/>
        <d v="2027-07-08T00:00:00"/>
        <d v="2026-05-16T00:00:00"/>
        <d v="2026-10-19T00:00:00"/>
        <d v="2027-05-06T00:00:00"/>
        <d v="2026-07-22T00:00:00"/>
        <d v="2028-10-15T00:00:00"/>
        <d v="2027-07-19T00:00:00"/>
        <d v="2027-05-13T00:00:00"/>
        <d v="2026-04-21T00:00:00"/>
        <d v="2026-12-06T00:00:00"/>
        <d v="2027-09-02T00:00:00"/>
        <d v="2026-05-04T00:00:00"/>
        <d v="2027-04-19T00:00:00"/>
        <d v="2026-08-16T00:00:00"/>
        <d v="2028-06-22T00:00:00"/>
        <d v="2027-01-27T00:00:00"/>
        <d v="2028-04-26T00:00:00"/>
        <d v="2027-08-11T00:00:00"/>
        <d v="2028-10-02T00:00:00"/>
        <d v="2026-08-06T00:00:00"/>
        <d v="2026-05-21T00:00:00"/>
        <d v="2028-02-11T00:00:00"/>
        <d v="2027-04-30T00:00:00"/>
        <d v="2026-06-14T00:00:00"/>
        <d v="2026-07-07T00:00:00"/>
        <d v="2028-08-12T00:00:00"/>
        <d v="2027-04-25T00:00:00"/>
        <d v="2027-01-22T00:00:00"/>
        <d v="2028-04-05T00:00:00"/>
        <d v="2025-09-27T00:00:00"/>
        <d v="2027-04-13T00:00:00"/>
        <d v="2025-07-16T00:00:00"/>
        <d v="2027-11-24T00:00:00"/>
        <d v="2027-02-07T00:00:00"/>
        <d v="2026-01-13T00:00:00"/>
        <d v="2027-11-11T00:00:00"/>
        <d v="2026-08-23T00:00:00"/>
        <d v="2027-12-25T00:00:00"/>
        <d v="2027-04-01T00:00:00"/>
        <d v="2026-07-18T00:00:00"/>
        <d v="2027-06-05T00:00:00"/>
        <d v="2028-04-15T00:00:00"/>
        <d v="2028-05-26T00:00:00"/>
        <d v="2026-11-16T00:00:00"/>
        <d v="2027-01-07T00:00:00"/>
        <d v="2027-06-02T00:00:00"/>
        <d v="2026-05-01T00:00:00"/>
        <d v="2025-07-13T00:00:00"/>
        <d v="2027-02-28T00:00:00"/>
        <d v="2025-12-12T00:00:00"/>
        <d v="2027-05-21T00:00:00"/>
        <d v="2027-03-22T00:00:00"/>
        <d v="2027-09-22T00:00:00"/>
        <d v="2027-06-21T00:00:00"/>
        <d v="2027-05-10T00:00:00"/>
        <d v="2026-03-27T00:00:00"/>
        <d v="2026-05-02T00:00:00"/>
        <d v="2027-03-15T00:00:00"/>
        <d v="2025-09-11T00:00:00"/>
        <d v="2027-11-08T00:00:00"/>
        <d v="2028-03-17T00:00:00"/>
        <d v="2026-11-27T00:00:00"/>
        <d v="2027-03-07T00:00:00"/>
        <d v="2027-10-05T00:00:00"/>
        <d v="2027-03-14T00:00:00"/>
        <d v="2026-04-05T00:00:00"/>
        <d v="2026-07-17T00:00:00"/>
        <d v="2027-09-25T00:00:00"/>
        <d v="2026-09-09T00:00:00"/>
        <d v="2026-05-28T00:00:00"/>
        <d v="2027-08-18T00:00:00"/>
        <d v="2026-03-02T00:00:00"/>
        <d v="2027-03-10T00:00:00"/>
        <d v="2028-08-13T00:00:00"/>
        <d v="2026-05-23T00:00:00"/>
        <d v="2027-10-17T00:00:00"/>
        <d v="2027-08-08T00:00:00"/>
        <d v="2027-03-21T00:00:00"/>
        <d v="2027-05-28T00:00:00"/>
        <d v="2025-12-17T00:00:00"/>
        <d v="2027-11-28T00:00:00"/>
        <d v="2028-07-02T00:00:00"/>
        <d v="2027-04-08T00:00:00"/>
        <d v="2027-06-16T00:00:00"/>
        <d v="2026-10-05T00:00:00"/>
        <d v="2026-11-21T00:00:00"/>
        <d v="2028-06-23T00:00:00"/>
        <d v="2028-11-07T00:00:00"/>
        <d v="2027-06-14T00:00:00"/>
        <d v="2026-06-08T00:00:00"/>
        <d v="2027-04-02T00:00:00"/>
        <d v="2026-03-04T00:00:00"/>
        <d v="2026-09-14T00:00:00"/>
        <d v="2027-04-05T00:00:00"/>
        <d v="2026-12-14T00:00:00"/>
        <d v="2026-05-13T00:00:00"/>
        <d v="2027-05-15T00:00:00"/>
        <d v="2026-06-21T00:00:00"/>
        <d v="2027-05-18T00:00:00"/>
        <d v="2026-04-23T00:00:00"/>
        <d v="2026-10-29T00:00:00"/>
        <d v="2028-06-21T00:00:00"/>
        <d v="2027-03-20T00:00:00"/>
        <d v="2027-03-30T00:00:00"/>
        <d v="2027-02-09T00:00:00"/>
        <d v="2028-12-15T00:00:00"/>
        <d v="2027-04-20T00:00:00"/>
        <d v="2025-10-13T00:00:00"/>
        <d v="2026-06-20T00:00:00"/>
        <d v="2026-05-20T00:00:00"/>
        <d v="2026-10-09T00:00:00"/>
        <d v="2027-11-22T00:00:00"/>
        <d v="2025-10-01T00:00:00"/>
        <d v="2027-11-25T00:00:00"/>
        <d v="2028-04-01T00:00:00"/>
        <d v="2027-08-25T00:00:00"/>
        <d v="2026-03-19T00:00:00"/>
        <d v="2026-05-26T00:00:00"/>
        <d v="2027-03-04T00:00:00"/>
        <d v="2026-04-16T00:00:00"/>
        <d v="2026-01-29T00:00:00"/>
        <d v="2026-08-02T00:00:00"/>
        <d v="2028-06-09T00:00:00"/>
        <d v="2027-01-05T00:00:00"/>
        <d v="2027-04-24T00:00:00"/>
        <d v="2027-05-20T00:00:00"/>
        <d v="2026-05-29T00:00:00"/>
        <d v="2025-08-15T00:00:00"/>
        <d v="2027-08-12T00:00:00"/>
        <d v="2027-07-06T00:00:00"/>
        <d v="2027-03-11T00:00:00"/>
        <d v="2025-07-02T00:00:00"/>
        <d v="2026-10-08T00:00:00"/>
        <d v="2028-09-18T00:00:00"/>
        <d v="2026-08-04T00:00:00"/>
        <d v="2027-10-13T00:00:00"/>
        <d v="2026-01-20T00:00:00"/>
        <d v="2027-07-24T00:00:00"/>
        <d v="2027-03-12T00:00:00"/>
        <d v="2027-01-30T00:00:00"/>
        <d v="2026-09-05T00:00:00"/>
        <d v="2028-03-19T00:00:00"/>
        <d v="2026-07-26T00:00:00"/>
        <d v="2027-06-29T00:00:00"/>
        <d v="2025-07-28T00:00:00"/>
        <d v="2026-01-17T00:00:00"/>
        <d v="2026-07-12T00:00:00"/>
        <d v="2026-10-10T00:00:00"/>
        <d v="2027-01-08T00:00:00"/>
        <d v="2026-01-23T00:00:00"/>
        <d v="2027-09-12T00:00:00"/>
        <d v="2027-09-20T00:00:00"/>
        <d v="2026-07-25T00:00:00"/>
        <d v="2026-02-17T00:00:00"/>
        <d v="2026-08-26T00:00:00"/>
        <d v="2027-07-26T00:00:00"/>
        <d v="2026-01-09T00:00:00"/>
        <d v="2026-01-24T00:00:00"/>
        <d v="2026-10-14T00:00:00"/>
        <d v="2026-10-16T00:00:00"/>
        <d v="2027-01-24T00:00:00"/>
        <d v="2026-06-06T00:00:00"/>
        <d v="2025-10-03T00:00:00"/>
        <d v="2027-02-04T00:00:00"/>
        <d v="2027-02-17T00:00:00"/>
        <d v="2027-01-31T00:00:00"/>
        <d v="2027-02-08T00:00:00"/>
        <d v="2027-06-17T00:00:00"/>
        <d v="2028-10-11T00:00:00"/>
        <d v="2027-02-06T00:00:00"/>
        <d v="2026-09-24T00:00:00"/>
        <d v="2027-04-27T00:00:00"/>
        <d v="2027-02-02T00:00:00"/>
        <d v="2027-04-17T00:00:00"/>
        <d v="2027-06-10T00:00:00"/>
        <d v="2027-01-23T00:00:00"/>
        <d v="2028-08-15T00:00:00"/>
        <d v="2026-08-28T00:00:00"/>
        <d v="2026-07-06T00:00:00"/>
        <d v="2026-09-21T00:00:00"/>
        <d v="2028-02-01T00:00:00"/>
        <d v="2026-08-03T00:00:00"/>
        <d v="2026-12-17T00:00:00"/>
        <d v="2028-10-26T00:00:00"/>
        <d v="2025-08-02T00:00:00"/>
        <d v="2028-09-28T00:00:00"/>
        <d v="2027-08-22T00:00:00"/>
        <d v="2025-08-05T00:00:00"/>
        <d v="2027-06-22T00:00:00"/>
        <d v="2028-05-06T00:00:00"/>
        <d v="2026-04-24T00:00:00"/>
        <d v="2026-03-05T00:00:00"/>
        <d v="2026-08-08T00:00:00"/>
        <d v="2028-03-07T00:00:00"/>
        <d v="2026-06-25T00:00:00"/>
        <d v="2026-10-11T00:00:00"/>
        <d v="2027-01-25T00:00:00"/>
        <d v="2026-02-23T00:00:00"/>
        <d v="2026-06-24T00:00:00"/>
        <d v="2026-10-12T00:00:00"/>
        <d v="2026-03-14T00:00:00"/>
        <d v="2027-05-11T00:00:00"/>
        <d v="2025-09-18T00:00:00"/>
        <d v="2027-09-16T00:00:00"/>
        <d v="2026-11-18T00:00:00"/>
        <d v="2027-07-11T00:00:00"/>
        <d v="2027-03-01T00:00:00"/>
        <d v="2026-08-25T00:00:00"/>
        <d v="2027-08-23T00:00:00"/>
        <d v="2026-09-23T00:00:00"/>
        <d v="2027-02-05T00:00:00"/>
        <d v="2026-07-15T00:00:00"/>
        <d v="2027-12-11T00:00:00"/>
        <d v="2025-11-08T00:00:00"/>
        <d v="2026-04-12T00:00:00"/>
        <d v="2026-04-01T00:00:00"/>
        <d v="2026-01-03T00:00:00"/>
        <d v="2028-05-09T00:00:00"/>
        <d v="2026-10-06T00:00:00"/>
        <d v="2027-01-20T00:00:00"/>
        <d v="2027-02-25T00:00:00"/>
        <d v="2027-03-18T00:00:00"/>
        <d v="2027-02-16T00:00:00"/>
        <d v="2027-01-13T00:00:00"/>
        <d v="2028-07-09T00:00:00"/>
        <d v="2027-08-06T00:00:00"/>
        <d v="2027-08-05T00:00:00"/>
        <d v="2027-08-31T00:00:00"/>
        <d v="2027-09-30T00:00:00"/>
        <d v="2026-03-07T00:00:00"/>
        <d v="2025-09-21T00:00:00"/>
        <d v="2027-05-04T00:00:00"/>
        <d v="2026-07-20T00:00:00"/>
        <d v="2027-10-24T00:00:00"/>
        <d v="2026-04-08T00:00:00"/>
        <d v="2026-08-13T00:00:00"/>
        <d v="2028-02-16T00:00:00"/>
        <d v="2027-05-01T00:00:00"/>
        <d v="2026-11-09T00:00:00"/>
        <d v="2026-12-24T00:00:00"/>
        <d v="2027-07-16T00:00:00"/>
        <d v="2027-09-09T00:00:00"/>
        <d v="2027-11-30T00:00:00"/>
        <d v="2027-08-19T00:00:00"/>
        <d v="2026-09-11T00:00:00"/>
        <d v="2027-04-07T00:00:00"/>
        <d v="2027-01-02T00:00:00"/>
        <d v="2026-12-01T00:00:00"/>
        <d v="2025-11-06T00:00:00"/>
        <d v="2027-09-18T00:00:00"/>
        <d v="2027-09-10T00:00:00"/>
        <d v="2026-03-01T00:00:00"/>
        <d v="2027-01-21T00:00:00"/>
        <d v="2025-08-17T00:00:00"/>
        <d v="2026-02-04T00:00:00"/>
        <d v="2026-08-21T00:00:00"/>
        <d v="2027-10-01T00:00:00"/>
        <d v="2026-01-04T00:00:00"/>
        <d v="2027-12-10T00:00:00"/>
        <d v="2027-10-08T00:00:00"/>
        <d v="2026-02-28T00:00:00"/>
        <d v="2026-12-23T00:00:00"/>
        <d v="2026-12-02T00:00:00"/>
        <d v="2025-07-20T00:00:00"/>
        <d v="2025-12-13T00:00:00"/>
        <d v="2026-07-11T00:00:00"/>
        <d v="2027-11-27T00:00:00"/>
        <d v="2027-10-14T00:00:00"/>
        <d v="2027-09-17T00:00:00"/>
        <d v="2026-01-15T00:00:00"/>
        <d v="2028-05-17T00:00:00"/>
        <d v="2028-09-13T00:00:00"/>
        <d v="2028-12-12T00:00:00"/>
        <d v="2026-11-14T00:00:00"/>
        <d v="2027-12-31T00:00:00"/>
        <d v="2027-05-08T00:00:00"/>
        <d v="2027-03-17T00:00:00"/>
        <d v="2028-01-04T00:00:00"/>
        <d v="2026-02-07T00:00:00"/>
        <d v="2025-12-25T00:00:00"/>
        <d v="2027-04-18T00:00:00"/>
        <d v="2027-03-08T00:00:00"/>
        <d v="2026-07-08T00:00:00"/>
        <d v="2027-07-18T00:00:00"/>
        <d v="2025-07-01T00:00:00"/>
        <d v="2027-01-04T00:00:00"/>
        <d v="2027-02-23T00:00:00"/>
        <d v="2027-12-01T00:00:00"/>
        <d v="2026-06-05T00:00:00"/>
        <d v="2027-07-04T00:00:00"/>
        <d v="2026-01-18T00:00:00"/>
        <d v="2027-04-22T00:00:00"/>
        <d v="2027-12-30T00:00:00"/>
        <d v="2026-08-19T00:00:00"/>
        <d v="2027-09-14T00:00:00"/>
        <d v="2028-12-16T00:00:00"/>
        <d v="2028-10-28T00:00:00"/>
        <d v="2026-06-09T00:00:00"/>
        <d v="2026-09-13T00:00:00"/>
        <d v="2028-08-24T00:00:00"/>
        <d v="2028-09-10T00:00:00"/>
        <d v="2027-06-09T00:00:00"/>
        <d v="2026-10-15T00:00:00"/>
        <d v="2025-07-22T00:00:00"/>
        <d v="2027-09-23T00:00:00"/>
        <d v="2026-12-25T00:00:00"/>
        <d v="2028-03-06T00:00:00"/>
        <d v="2028-07-12T00:00:00"/>
        <d v="2027-08-13T00:00:00"/>
        <d v="2027-07-31T00:00:00"/>
        <d v="2028-04-06T00:00:00"/>
        <d v="2025-10-07T00:00:00"/>
        <d v="2027-06-23T00:00:00"/>
        <d v="2026-10-24T00:00:00"/>
        <d v="2026-12-27T00:00:00"/>
        <d v="2025-12-18T00:00:00"/>
        <d v="2026-09-02T00:00:00"/>
        <d v="2027-10-28T00:00:00"/>
        <d v="2026-03-18T00:00:00"/>
        <d v="2025-09-14T00:00:00"/>
        <d v="2026-06-03T00:00:00"/>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501">
  <r>
    <s v="RA0001"/>
    <d v="2026-06-26T00:00:00"/>
    <x v="0"/>
    <s v="Utilities Area"/>
    <x v="0"/>
    <s v="Hot surfaces and high temperature"/>
    <s v="Thermal"/>
    <s v="Serious burn"/>
    <n v="2"/>
    <n v="3"/>
    <n v="6"/>
    <x v="0"/>
    <s v="PPE provided and mandatory"/>
    <s v="Conduct emergency drill"/>
    <n v="1"/>
    <n v="2"/>
    <n v="2"/>
    <s v="Reduced"/>
    <s v="Low"/>
    <s v="Partially Implemented"/>
    <s v="HSE Officer"/>
    <x v="0"/>
  </r>
  <r>
    <s v="RA0002"/>
    <d v="2025-11-15T00:00:00"/>
    <x v="1"/>
    <s v="Utilities Area"/>
    <x v="1"/>
    <s v="Fire, fumes and hot work"/>
    <s v="Fire / Chemical"/>
    <s v="Respiratory irritation"/>
    <n v="4"/>
    <n v="4"/>
    <n v="16"/>
    <x v="1"/>
    <s v="Preventive maintenance program"/>
    <s v="Conduct refresher training"/>
    <n v="4"/>
    <n v="3"/>
    <n v="12"/>
    <s v="Reduced"/>
    <s v="High"/>
    <s v="Implemented"/>
    <s v="HSE Officer"/>
    <x v="1"/>
  </r>
  <r>
    <s v="RA0003"/>
    <d v="2025-01-18T00:00:00"/>
    <x v="2"/>
    <s v="Utilities Area"/>
    <x v="2"/>
    <s v="Chemical exposure"/>
    <s v="Chemical"/>
    <s v="Eye injury"/>
    <n v="5"/>
    <n v="2"/>
    <n v="10"/>
    <x v="1"/>
    <s v="Trained and authorized personnel only"/>
    <s v="Install warning signs and barriers"/>
    <n v="5"/>
    <n v="1"/>
    <n v="5"/>
    <s v="Reduced"/>
    <s v="Medium"/>
    <s v="Partially Implemented"/>
    <s v="Department Supervisor"/>
    <x v="2"/>
  </r>
  <r>
    <s v="RA0004"/>
    <d v="2025-08-01T00:00:00"/>
    <x v="3"/>
    <s v="Plant Area B"/>
    <x v="3"/>
    <s v="Ergonomic hazards and slips/trips"/>
    <s v="Ergonomic"/>
    <s v="Musculoskeletal strain"/>
    <n v="5"/>
    <n v="3"/>
    <n v="15"/>
    <x v="1"/>
    <s v="PPE provided and mandatory"/>
    <s v="Increase inspection frequency"/>
    <n v="3"/>
    <n v="3"/>
    <n v="9"/>
    <s v="Reduced"/>
    <s v="Medium"/>
    <s v="Pending"/>
    <s v="Maintenance Supervisor"/>
    <x v="3"/>
  </r>
  <r>
    <s v="RA0005"/>
    <d v="2026-06-17T00:00:00"/>
    <x v="4"/>
    <s v="Office"/>
    <x v="4"/>
    <s v="Unexpected equipment movement"/>
    <s v="Mechanical"/>
    <s v="Serious injury"/>
    <n v="2"/>
    <n v="5"/>
    <n v="10"/>
    <x v="1"/>
    <s v="Emergency response equipment available"/>
    <s v="Improve supervision and monitoring"/>
    <n v="1"/>
    <n v="5"/>
    <n v="5"/>
    <s v="Reduced"/>
    <s v="Medium"/>
    <s v="Partially Implemented"/>
    <s v="Production Supervisor"/>
    <x v="4"/>
  </r>
  <r>
    <s v="RA0006"/>
    <d v="2026-01-21T00:00:00"/>
    <x v="5"/>
    <s v="Plant Area A"/>
    <x v="5"/>
    <s v="Electric shock and arc flash"/>
    <s v="Electrical"/>
    <s v="Electric shock"/>
    <n v="3"/>
    <n v="2"/>
    <n v="6"/>
    <x v="0"/>
    <s v="Safety signage and restricted access"/>
    <s v="Increase inspection frequency"/>
    <n v="3"/>
    <n v="1"/>
    <n v="3"/>
    <s v="Reduced"/>
    <s v="Low"/>
    <s v="Partially Implemented"/>
    <s v="Department Supervisor"/>
    <x v="5"/>
  </r>
  <r>
    <s v="RA0007"/>
    <d v="2025-11-05T00:00:00"/>
    <x v="0"/>
    <s v="Laboratory"/>
    <x v="6"/>
    <s v="Fall from height"/>
    <s v="Work at Height"/>
    <s v="Serious injury"/>
    <n v="4"/>
    <n v="3"/>
    <n v="12"/>
    <x v="1"/>
    <s v="Machine guarding and routine inspection"/>
    <s v="Conduct refresher training"/>
    <n v="3"/>
    <n v="2"/>
    <n v="6"/>
    <s v="Reduced"/>
    <s v="Medium"/>
    <s v="Implemented"/>
    <s v="Department Supervisor"/>
    <x v="6"/>
  </r>
  <r>
    <s v="RA0008"/>
    <d v="2026-11-04T00:00:00"/>
    <x v="6"/>
    <s v="Plant Area B"/>
    <x v="7"/>
    <s v="Chemical exposure and spills"/>
    <s v="Chemical"/>
    <s v="Skin irritation"/>
    <n v="5"/>
    <n v="2"/>
    <n v="10"/>
    <x v="1"/>
    <s v="Trained and authorized personnel only"/>
    <s v="Implement engineering control"/>
    <n v="4"/>
    <n v="1"/>
    <n v="4"/>
    <s v="Reduced"/>
    <s v="Low"/>
    <s v="Implemented"/>
    <s v="HSE Officer"/>
    <x v="7"/>
  </r>
  <r>
    <s v="RA0009"/>
    <d v="2025-07-27T00:00:00"/>
    <x v="4"/>
    <s v="Laboratory"/>
    <x v="8"/>
    <s v="Stored energy and moving parts"/>
    <s v="Mechanical"/>
    <s v="Crush injury"/>
    <n v="5"/>
    <n v="4"/>
    <n v="20"/>
    <x v="2"/>
    <s v="Standard operating procedure and supervision"/>
    <s v="Install warning signs and barriers"/>
    <n v="4"/>
    <n v="4"/>
    <n v="16"/>
    <s v="Reduced"/>
    <s v="High"/>
    <s v="Pending"/>
    <s v="HSE Engineer"/>
    <x v="8"/>
  </r>
  <r>
    <s v="RA0010"/>
    <d v="2025-09-17T00:00:00"/>
    <x v="0"/>
    <s v="Workshop"/>
    <x v="9"/>
    <s v="Moving equipment / conveyor"/>
    <s v="Mechanical"/>
    <s v="Serious injury"/>
    <n v="4"/>
    <n v="2"/>
    <n v="8"/>
    <x v="0"/>
    <s v="Toolbox talk before work"/>
    <s v="Install additional physical guard"/>
    <n v="2"/>
    <n v="1"/>
    <n v="2"/>
    <s v="Reduced"/>
    <s v="Low"/>
    <s v="Implemented"/>
    <s v="Department Supervisor"/>
    <x v="9"/>
  </r>
  <r>
    <s v="RA0011"/>
    <d v="2026-05-30T00:00:00"/>
    <x v="5"/>
    <s v="Workshop"/>
    <x v="10"/>
    <s v="Electric shock and trip hazards"/>
    <s v="Electrical"/>
    <s v="Electric shock"/>
    <n v="3"/>
    <n v="4"/>
    <n v="12"/>
    <x v="1"/>
    <s v="Safety signage and restricted access"/>
    <s v="Provide specialized PPE"/>
    <n v="1"/>
    <n v="3"/>
    <n v="3"/>
    <s v="Reduced"/>
    <s v="Low"/>
    <s v="Pending"/>
    <s v="Department Supervisor"/>
    <x v="10"/>
  </r>
  <r>
    <s v="RA0012"/>
    <d v="2025-06-08T00:00:00"/>
    <x v="0"/>
    <s v="Warehouse"/>
    <x v="11"/>
    <s v="Collapse and underground services"/>
    <s v="Excavation"/>
    <s v="Serious injury"/>
    <n v="5"/>
    <n v="5"/>
    <n v="25"/>
    <x v="2"/>
    <s v="Standard operating procedure and supervision"/>
    <s v="Provide specialized PPE"/>
    <n v="5"/>
    <n v="5"/>
    <n v="25"/>
    <s v="Reduced"/>
    <s v="Critical"/>
    <s v="Pending"/>
    <s v="HSE Officer"/>
    <x v="11"/>
  </r>
  <r>
    <s v="RA0013"/>
    <d v="2026-01-14T00:00:00"/>
    <x v="1"/>
    <s v="Warehouse"/>
    <x v="1"/>
    <s v="Fire, fumes and hot work"/>
    <s v="Fire / Chemical"/>
    <s v="Fire-related injury"/>
    <n v="5"/>
    <n v="5"/>
    <n v="25"/>
    <x v="2"/>
    <s v="Toolbox talk before work"/>
    <s v="Conduct refresher training"/>
    <n v="4"/>
    <n v="4"/>
    <n v="16"/>
    <s v="Reduced"/>
    <s v="High"/>
    <s v="Pending"/>
    <s v="Production Supervisor"/>
    <x v="12"/>
  </r>
  <r>
    <s v="RA0014"/>
    <d v="2026-03-24T00:00:00"/>
    <x v="0"/>
    <s v="Warehouse"/>
    <x v="6"/>
    <s v="Fall from height"/>
    <s v="Work at Height"/>
    <s v="Serious injury"/>
    <n v="2"/>
    <n v="4"/>
    <n v="8"/>
    <x v="0"/>
    <s v="Toolbox talk before work"/>
    <s v="Install additional physical guard"/>
    <n v="2"/>
    <n v="3"/>
    <n v="6"/>
    <s v="Reduced"/>
    <s v="Medium"/>
    <s v="Partially Implemented"/>
    <s v="Department Supervisor"/>
    <x v="13"/>
  </r>
  <r>
    <s v="RA0015"/>
    <d v="2025-06-19T00:00:00"/>
    <x v="1"/>
    <s v="Laboratory"/>
    <x v="1"/>
    <s v="Fire, fumes and hot work"/>
    <s v="Fire / Chemical"/>
    <s v="Burn"/>
    <n v="3"/>
    <n v="5"/>
    <n v="15"/>
    <x v="1"/>
    <s v="Standard operating procedure and supervision"/>
    <s v="Conduct emergency drill"/>
    <n v="3"/>
    <n v="5"/>
    <n v="15"/>
    <s v="No Reduction"/>
    <s v="High"/>
    <s v="Pending"/>
    <s v="HSE Officer"/>
    <x v="14"/>
  </r>
  <r>
    <s v="RA0016"/>
    <d v="2025-09-09T00:00:00"/>
    <x v="0"/>
    <s v="Workshop"/>
    <x v="0"/>
    <s v="Hot surfaces and high temperature"/>
    <s v="Thermal"/>
    <s v="Serious burn"/>
    <n v="5"/>
    <n v="2"/>
    <n v="10"/>
    <x v="1"/>
    <s v="Preventive maintenance program"/>
    <s v="Increase inspection frequency"/>
    <n v="4"/>
    <n v="1"/>
    <n v="4"/>
    <s v="Reduced"/>
    <s v="Low"/>
    <s v="Implemented"/>
    <s v="Department Supervisor"/>
    <x v="15"/>
  </r>
  <r>
    <s v="RA0017"/>
    <d v="2026-07-15T00:00:00"/>
    <x v="4"/>
    <s v="Utilities Area"/>
    <x v="4"/>
    <s v="Unexpected equipment movement"/>
    <s v="Mechanical"/>
    <s v="Serious injury"/>
    <n v="3"/>
    <n v="2"/>
    <n v="6"/>
    <x v="0"/>
    <s v="Preventive maintenance program"/>
    <s v="Improve supervision and monitoring"/>
    <n v="2"/>
    <n v="1"/>
    <n v="2"/>
    <s v="Reduced"/>
    <s v="Low"/>
    <s v="Pending"/>
    <s v="HSE Officer"/>
    <x v="16"/>
  </r>
  <r>
    <s v="RA0018"/>
    <d v="2026-07-23T00:00:00"/>
    <x v="1"/>
    <s v="Workshop"/>
    <x v="12"/>
    <s v="Stored pressure and rotating parts"/>
    <s v="Mechanical"/>
    <s v="Amputation"/>
    <n v="3"/>
    <n v="4"/>
    <n v="12"/>
    <x v="1"/>
    <s v="Machine guarding and routine inspection"/>
    <s v="Conduct emergency drill"/>
    <n v="2"/>
    <n v="4"/>
    <n v="8"/>
    <s v="Reduced"/>
    <s v="Medium"/>
    <s v="Partially Implemented"/>
    <s v="HSE Officer"/>
    <x v="17"/>
  </r>
  <r>
    <s v="RA0019"/>
    <d v="2026-06-18T00:00:00"/>
    <x v="5"/>
    <s v="Warehouse"/>
    <x v="10"/>
    <s v="Electric shock and trip hazards"/>
    <s v="Electrical"/>
    <s v="Serious injury"/>
    <n v="2"/>
    <n v="5"/>
    <n v="10"/>
    <x v="1"/>
    <s v="Toolbox talk before work"/>
    <s v="Verify PTW and isolation before work"/>
    <n v="1"/>
    <n v="4"/>
    <n v="4"/>
    <s v="Reduced"/>
    <s v="Low"/>
    <s v="Implemented"/>
    <s v="Production Supervisor"/>
    <x v="18"/>
  </r>
  <r>
    <s v="RA0020"/>
    <d v="2025-04-16T00:00:00"/>
    <x v="6"/>
    <s v="Warehouse"/>
    <x v="7"/>
    <s v="Chemical exposure and spills"/>
    <s v="Chemical"/>
    <s v="Skin irritation"/>
    <n v="3"/>
    <n v="4"/>
    <n v="12"/>
    <x v="1"/>
    <s v="PPE provided and mandatory"/>
    <s v="Provide specialized PPE"/>
    <n v="1"/>
    <n v="4"/>
    <n v="4"/>
    <s v="Reduced"/>
    <s v="Low"/>
    <s v="Implemented"/>
    <s v="HSE Engineer"/>
    <x v="19"/>
  </r>
  <r>
    <s v="RA0021"/>
    <d v="2026-03-26T00:00:00"/>
    <x v="0"/>
    <s v="Utilities Area"/>
    <x v="6"/>
    <s v="Fall from height"/>
    <s v="Work at Height"/>
    <s v="Fall injury"/>
    <n v="5"/>
    <n v="2"/>
    <n v="10"/>
    <x v="1"/>
    <s v="Machine guarding and routine inspection"/>
    <s v="Update risk assessment and procedure"/>
    <n v="4"/>
    <n v="1"/>
    <n v="4"/>
    <s v="Reduced"/>
    <s v="Low"/>
    <s v="Implemented"/>
    <s v="Department Supervisor"/>
    <x v="20"/>
  </r>
  <r>
    <s v="RA0022"/>
    <d v="2026-03-10T00:00:00"/>
    <x v="1"/>
    <s v="Plant Area B"/>
    <x v="12"/>
    <s v="Stored pressure and rotating parts"/>
    <s v="Mechanical"/>
    <s v="Serious injury"/>
    <n v="3"/>
    <n v="5"/>
    <n v="15"/>
    <x v="1"/>
    <s v="Standard operating procedure and supervision"/>
    <s v="Increase inspection frequency"/>
    <n v="2"/>
    <n v="4"/>
    <n v="8"/>
    <s v="Reduced"/>
    <s v="Medium"/>
    <s v="Partially Implemented"/>
    <s v="HSE Officer"/>
    <x v="21"/>
  </r>
  <r>
    <s v="RA0023"/>
    <d v="2025-07-04T00:00:00"/>
    <x v="1"/>
    <s v="Utilities Area"/>
    <x v="1"/>
    <s v="Fire, fumes and hot work"/>
    <s v="Fire / Chemical"/>
    <s v="Fire-related injury"/>
    <n v="5"/>
    <n v="4"/>
    <n v="20"/>
    <x v="2"/>
    <s v="Safety signage and restricted access"/>
    <s v="Install additional physical guard"/>
    <n v="4"/>
    <n v="3"/>
    <n v="12"/>
    <s v="Reduced"/>
    <s v="High"/>
    <s v="Implemented"/>
    <s v="HSE Officer"/>
    <x v="22"/>
  </r>
  <r>
    <s v="RA0024"/>
    <d v="2025-04-06T00:00:00"/>
    <x v="0"/>
    <s v="Laboratory"/>
    <x v="0"/>
    <s v="Hot surfaces and high temperature"/>
    <s v="Thermal"/>
    <s v="Serious burn"/>
    <n v="2"/>
    <n v="5"/>
    <n v="10"/>
    <x v="1"/>
    <s v="Emergency response equipment available"/>
    <s v="Implement engineering control"/>
    <n v="2"/>
    <n v="5"/>
    <n v="10"/>
    <s v="No Reduction"/>
    <s v="High"/>
    <s v="Partially Implemented"/>
    <s v="Department Supervisor"/>
    <x v="23"/>
  </r>
  <r>
    <s v="RA0025"/>
    <d v="2025-07-04T00:00:00"/>
    <x v="1"/>
    <s v="Laboratory"/>
    <x v="1"/>
    <s v="Fire, fumes and hot work"/>
    <s v="Fire / Chemical"/>
    <s v="Burn"/>
    <n v="2"/>
    <n v="2"/>
    <n v="4"/>
    <x v="3"/>
    <s v="Toolbox talk before work"/>
    <s v="Verify PTW and isolation before work"/>
    <n v="2"/>
    <n v="1"/>
    <n v="2"/>
    <s v="Reduced"/>
    <s v="Low"/>
    <s v="Partially Implemented"/>
    <s v="Department Supervisor"/>
    <x v="22"/>
  </r>
  <r>
    <s v="RA0026"/>
    <d v="2025-10-06T00:00:00"/>
    <x v="0"/>
    <s v="Workshop"/>
    <x v="6"/>
    <s v="Fall from height"/>
    <s v="Work at Height"/>
    <s v="Fall injury"/>
    <n v="3"/>
    <n v="2"/>
    <n v="6"/>
    <x v="0"/>
    <s v="Machine guarding and routine inspection"/>
    <s v="Update risk assessment and procedure"/>
    <n v="1"/>
    <n v="2"/>
    <n v="2"/>
    <s v="Reduced"/>
    <s v="Low"/>
    <s v="Pending"/>
    <s v="Maintenance Supervisor"/>
    <x v="24"/>
  </r>
  <r>
    <s v="RA0027"/>
    <d v="2025-07-09T00:00:00"/>
    <x v="0"/>
    <s v="Laboratory"/>
    <x v="13"/>
    <s v="Moving machinery and dust"/>
    <s v="Mechanical"/>
    <s v="Cuts"/>
    <n v="5"/>
    <n v="3"/>
    <n v="15"/>
    <x v="1"/>
    <s v="Trained and authorized personnel only"/>
    <s v="Increase inspection frequency"/>
    <n v="3"/>
    <n v="3"/>
    <n v="9"/>
    <s v="Reduced"/>
    <s v="Medium"/>
    <s v="Pending"/>
    <s v="Production Supervisor"/>
    <x v="25"/>
  </r>
  <r>
    <s v="RA0028"/>
    <d v="2026-06-27T00:00:00"/>
    <x v="0"/>
    <s v="Plant Area B"/>
    <x v="13"/>
    <s v="Moving machinery and dust"/>
    <s v="Mechanical"/>
    <s v="Crush injury"/>
    <n v="4"/>
    <n v="2"/>
    <n v="8"/>
    <x v="0"/>
    <s v="Standard operating procedure and supervision"/>
    <s v="Conduct emergency drill"/>
    <n v="3"/>
    <n v="1"/>
    <n v="3"/>
    <s v="Reduced"/>
    <s v="Low"/>
    <s v="Pending"/>
    <s v="Maintenance Supervisor"/>
    <x v="26"/>
  </r>
  <r>
    <s v="RA0029"/>
    <d v="2026-10-09T00:00:00"/>
    <x v="6"/>
    <s v="Plant Area A"/>
    <x v="14"/>
    <s v="High pressure release"/>
    <s v="Pressure"/>
    <s v="Fatal injury"/>
    <n v="3"/>
    <n v="4"/>
    <n v="12"/>
    <x v="1"/>
    <s v="Machine guarding and routine inspection"/>
    <s v="Implement engineering control"/>
    <n v="1"/>
    <n v="4"/>
    <n v="4"/>
    <s v="Reduced"/>
    <s v="Low"/>
    <s v="Partially Implemented"/>
    <s v="Maintenance Supervisor"/>
    <x v="27"/>
  </r>
  <r>
    <s v="RA0030"/>
    <d v="2026-08-06T00:00:00"/>
    <x v="0"/>
    <s v="Utilities Area"/>
    <x v="6"/>
    <s v="Fall from height"/>
    <s v="Work at Height"/>
    <s v="Fall injury"/>
    <n v="2"/>
    <n v="5"/>
    <n v="10"/>
    <x v="1"/>
    <s v="Safety signage and restricted access"/>
    <s v="Provide specialized PPE"/>
    <n v="1"/>
    <n v="5"/>
    <n v="5"/>
    <s v="Reduced"/>
    <s v="Medium"/>
    <s v="Pending"/>
    <s v="Production Supervisor"/>
    <x v="28"/>
  </r>
  <r>
    <s v="RA0031"/>
    <d v="2025-05-16T00:00:00"/>
    <x v="1"/>
    <s v="Plant Area B"/>
    <x v="1"/>
    <s v="Fire, fumes and hot work"/>
    <s v="Fire / Chemical"/>
    <s v="Respiratory irritation"/>
    <n v="5"/>
    <n v="4"/>
    <n v="20"/>
    <x v="2"/>
    <s v="Machine guarding and routine inspection"/>
    <s v="Install warning signs and barriers"/>
    <n v="5"/>
    <n v="3"/>
    <n v="15"/>
    <s v="Reduced"/>
    <s v="High"/>
    <s v="Pending"/>
    <s v="HSE Engineer"/>
    <x v="29"/>
  </r>
  <r>
    <s v="RA0032"/>
    <d v="2026-02-11T00:00:00"/>
    <x v="1"/>
    <s v="Laboratory"/>
    <x v="12"/>
    <s v="Stored pressure and rotating parts"/>
    <s v="Mechanical"/>
    <s v="Cuts"/>
    <n v="2"/>
    <n v="4"/>
    <n v="8"/>
    <x v="0"/>
    <s v="Standard operating procedure and supervision"/>
    <s v="Provide specialized PPE"/>
    <n v="1"/>
    <n v="3"/>
    <n v="3"/>
    <s v="Reduced"/>
    <s v="Low"/>
    <s v="Pending"/>
    <s v="Maintenance Supervisor"/>
    <x v="30"/>
  </r>
  <r>
    <s v="RA0033"/>
    <d v="2026-05-14T00:00:00"/>
    <x v="0"/>
    <s v="Plant Area B"/>
    <x v="0"/>
    <s v="Hot surfaces and high temperature"/>
    <s v="Thermal"/>
    <s v="Burn"/>
    <n v="2"/>
    <n v="5"/>
    <n v="10"/>
    <x v="1"/>
    <s v="Safety signage and restricted access"/>
    <s v="Increase inspection frequency"/>
    <n v="1"/>
    <n v="4"/>
    <n v="4"/>
    <s v="Reduced"/>
    <s v="Low"/>
    <s v="Partially Implemented"/>
    <s v="Department Supervisor"/>
    <x v="31"/>
  </r>
  <r>
    <s v="RA0034"/>
    <d v="2026-02-01T00:00:00"/>
    <x v="7"/>
    <s v="Office"/>
    <x v="15"/>
    <s v="Vehicle-pedestrian interaction"/>
    <s v="Vehicle / Traffic"/>
    <s v="Fatal injury"/>
    <n v="5"/>
    <n v="5"/>
    <n v="25"/>
    <x v="2"/>
    <s v="Preventive maintenance program"/>
    <s v="Provide specialized PPE"/>
    <n v="4"/>
    <n v="4"/>
    <n v="16"/>
    <s v="Reduced"/>
    <s v="High"/>
    <s v="Pending"/>
    <s v="HSE Engineer"/>
    <x v="32"/>
  </r>
  <r>
    <s v="RA0035"/>
    <d v="2025-10-27T00:00:00"/>
    <x v="6"/>
    <s v="Workshop"/>
    <x v="14"/>
    <s v="High pressure release"/>
    <s v="Pressure"/>
    <s v="Impact injury"/>
    <n v="3"/>
    <n v="2"/>
    <n v="6"/>
    <x v="0"/>
    <s v="Toolbox talk before work"/>
    <s v="Verify PTW and isolation before work"/>
    <n v="2"/>
    <n v="2"/>
    <n v="4"/>
    <s v="Reduced"/>
    <s v="Low"/>
    <s v="Pending"/>
    <s v="Department Supervisor"/>
    <x v="33"/>
  </r>
  <r>
    <s v="RA0036"/>
    <d v="2025-03-10T00:00:00"/>
    <x v="2"/>
    <s v="Office"/>
    <x v="2"/>
    <s v="Chemical exposure"/>
    <s v="Chemical"/>
    <s v="Eye injury"/>
    <n v="5"/>
    <n v="5"/>
    <n v="25"/>
    <x v="2"/>
    <s v="Toolbox talk before work"/>
    <s v="Increase inspection frequency"/>
    <n v="4"/>
    <n v="5"/>
    <n v="20"/>
    <s v="Reduced"/>
    <s v="Critical"/>
    <s v="Implemented"/>
    <s v="Department Supervisor"/>
    <x v="34"/>
  </r>
  <r>
    <s v="RA0037"/>
    <d v="2025-07-05T00:00:00"/>
    <x v="4"/>
    <s v="Workshop"/>
    <x v="8"/>
    <s v="Stored energy and moving parts"/>
    <s v="Mechanical"/>
    <s v="Amputation"/>
    <n v="4"/>
    <n v="5"/>
    <n v="20"/>
    <x v="2"/>
    <s v="Machine guarding and routine inspection"/>
    <s v="Install warning signs and barriers"/>
    <n v="3"/>
    <n v="4"/>
    <n v="12"/>
    <s v="Reduced"/>
    <s v="High"/>
    <s v="Partially Implemented"/>
    <s v="Department Supervisor"/>
    <x v="35"/>
  </r>
  <r>
    <s v="RA0038"/>
    <d v="2026-05-24T00:00:00"/>
    <x v="0"/>
    <s v="Utilities Area"/>
    <x v="11"/>
    <s v="Collapse and underground services"/>
    <s v="Excavation"/>
    <s v="Fatal injury"/>
    <n v="2"/>
    <n v="5"/>
    <n v="10"/>
    <x v="1"/>
    <s v="PPE provided and mandatory"/>
    <s v="Conduct emergency drill"/>
    <n v="2"/>
    <n v="4"/>
    <n v="8"/>
    <s v="Reduced"/>
    <s v="Medium"/>
    <s v="Pending"/>
    <s v="HSE Engineer"/>
    <x v="36"/>
  </r>
  <r>
    <s v="RA0039"/>
    <d v="2025-06-30T00:00:00"/>
    <x v="6"/>
    <s v="Office"/>
    <x v="14"/>
    <s v="High pressure release"/>
    <s v="Pressure"/>
    <s v="Impact injury"/>
    <n v="5"/>
    <n v="5"/>
    <n v="25"/>
    <x v="2"/>
    <s v="Emergency response equipment available"/>
    <s v="Install additional physical guard"/>
    <n v="4"/>
    <n v="4"/>
    <n v="16"/>
    <s v="Reduced"/>
    <s v="High"/>
    <s v="Implemented"/>
    <s v="Maintenance Supervisor"/>
    <x v="37"/>
  </r>
  <r>
    <s v="RA0040"/>
    <d v="2025-01-07T00:00:00"/>
    <x v="3"/>
    <s v="Warehouse"/>
    <x v="3"/>
    <s v="Ergonomic hazards and slips/trips"/>
    <s v="Ergonomic"/>
    <s v="Musculoskeletal strain"/>
    <n v="4"/>
    <n v="4"/>
    <n v="16"/>
    <x v="1"/>
    <s v="PPE provided and mandatory"/>
    <s v="Improve supervision and monitoring"/>
    <n v="2"/>
    <n v="3"/>
    <n v="6"/>
    <s v="Reduced"/>
    <s v="Medium"/>
    <s v="Pending"/>
    <s v="HSE Engineer"/>
    <x v="38"/>
  </r>
  <r>
    <s v="RA0041"/>
    <d v="2025-12-29T00:00:00"/>
    <x v="5"/>
    <s v="Utilities Area"/>
    <x v="5"/>
    <s v="Electric shock and arc flash"/>
    <s v="Electrical"/>
    <s v="Serious injury"/>
    <n v="2"/>
    <n v="5"/>
    <n v="10"/>
    <x v="1"/>
    <s v="Safety signage and restricted access"/>
    <s v="Implement engineering control"/>
    <n v="2"/>
    <n v="4"/>
    <n v="8"/>
    <s v="Reduced"/>
    <s v="Medium"/>
    <s v="Partially Implemented"/>
    <s v="HSE Engineer"/>
    <x v="39"/>
  </r>
  <r>
    <s v="RA0042"/>
    <d v="2025-11-04T00:00:00"/>
    <x v="2"/>
    <s v="Warehouse"/>
    <x v="2"/>
    <s v="Chemical exposure"/>
    <s v="Chemical"/>
    <s v="Skin irritation"/>
    <n v="4"/>
    <n v="4"/>
    <n v="16"/>
    <x v="1"/>
    <s v="PPE provided and mandatory"/>
    <s v="Verify PTW and isolation before work"/>
    <n v="4"/>
    <n v="3"/>
    <n v="12"/>
    <s v="Reduced"/>
    <s v="High"/>
    <s v="Partially Implemented"/>
    <s v="HSE Engineer"/>
    <x v="40"/>
  </r>
  <r>
    <s v="RA0043"/>
    <d v="2026-01-14T00:00:00"/>
    <x v="7"/>
    <s v="Workshop"/>
    <x v="16"/>
    <s v="Falling objects"/>
    <s v="Physical"/>
    <s v="Serious injury"/>
    <n v="4"/>
    <n v="2"/>
    <n v="8"/>
    <x v="0"/>
    <s v="Emergency response equipment available"/>
    <s v="Conduct refresher training"/>
    <n v="2"/>
    <n v="2"/>
    <n v="4"/>
    <s v="Reduced"/>
    <s v="Low"/>
    <s v="Pending"/>
    <s v="HSE Engineer"/>
    <x v="41"/>
  </r>
  <r>
    <s v="RA0044"/>
    <d v="2026-02-15T00:00:00"/>
    <x v="0"/>
    <s v="Utilities Area"/>
    <x v="6"/>
    <s v="Fall from height"/>
    <s v="Work at Height"/>
    <s v="Serious injury"/>
    <n v="3"/>
    <n v="2"/>
    <n v="6"/>
    <x v="0"/>
    <s v="PPE provided and mandatory"/>
    <s v="Conduct refresher training"/>
    <n v="2"/>
    <n v="1"/>
    <n v="2"/>
    <s v="Reduced"/>
    <s v="Low"/>
    <s v="Implemented"/>
    <s v="Department Supervisor"/>
    <x v="42"/>
  </r>
  <r>
    <s v="RA0045"/>
    <d v="2026-06-29T00:00:00"/>
    <x v="4"/>
    <s v="Workshop"/>
    <x v="4"/>
    <s v="Unexpected equipment movement"/>
    <s v="Mechanical"/>
    <s v="Crush injury"/>
    <n v="4"/>
    <n v="3"/>
    <n v="12"/>
    <x v="1"/>
    <s v="Toolbox talk before work"/>
    <s v="Update risk assessment and procedure"/>
    <n v="3"/>
    <n v="2"/>
    <n v="6"/>
    <s v="Reduced"/>
    <s v="Medium"/>
    <s v="Pending"/>
    <s v="HSE Engineer"/>
    <x v="43"/>
  </r>
  <r>
    <s v="RA0046"/>
    <d v="2026-10-02T00:00:00"/>
    <x v="0"/>
    <s v="Office"/>
    <x v="6"/>
    <s v="Fall from height"/>
    <s v="Work at Height"/>
    <s v="Serious injury"/>
    <n v="5"/>
    <n v="2"/>
    <n v="10"/>
    <x v="1"/>
    <s v="Trained and authorized personnel only"/>
    <s v="Install warning signs and barriers"/>
    <n v="3"/>
    <n v="2"/>
    <n v="6"/>
    <s v="Reduced"/>
    <s v="Medium"/>
    <s v="Pending"/>
    <s v="HSE Officer"/>
    <x v="44"/>
  </r>
  <r>
    <s v="RA0047"/>
    <d v="2025-11-19T00:00:00"/>
    <x v="0"/>
    <s v="Laboratory"/>
    <x v="11"/>
    <s v="Collapse and underground services"/>
    <s v="Excavation"/>
    <s v="Fatal injury"/>
    <n v="2"/>
    <n v="2"/>
    <n v="4"/>
    <x v="3"/>
    <s v="Toolbox talk before work"/>
    <s v="Increase inspection frequency"/>
    <n v="1"/>
    <n v="2"/>
    <n v="2"/>
    <s v="Reduced"/>
    <s v="Low"/>
    <s v="Partially Implemented"/>
    <s v="HSE Engineer"/>
    <x v="45"/>
  </r>
  <r>
    <s v="RA0048"/>
    <d v="2025-07-02T00:00:00"/>
    <x v="5"/>
    <s v="Warehouse"/>
    <x v="10"/>
    <s v="Electric shock and trip hazards"/>
    <s v="Electrical"/>
    <s v="Serious injury"/>
    <n v="3"/>
    <n v="5"/>
    <n v="15"/>
    <x v="1"/>
    <s v="Standard operating procedure and supervision"/>
    <s v="Verify PTW and isolation before work"/>
    <n v="1"/>
    <n v="4"/>
    <n v="4"/>
    <s v="Reduced"/>
    <s v="Low"/>
    <s v="Partially Implemented"/>
    <s v="Maintenance Supervisor"/>
    <x v="46"/>
  </r>
  <r>
    <s v="RA0049"/>
    <d v="2025-09-07T00:00:00"/>
    <x v="3"/>
    <s v="Laboratory"/>
    <x v="3"/>
    <s v="Ergonomic hazards and slips/trips"/>
    <s v="Ergonomic"/>
    <s v="Musculoskeletal strain"/>
    <n v="5"/>
    <n v="2"/>
    <n v="10"/>
    <x v="1"/>
    <s v="Toolbox talk before work"/>
    <s v="Improve supervision and monitoring"/>
    <n v="5"/>
    <n v="1"/>
    <n v="5"/>
    <s v="Reduced"/>
    <s v="Medium"/>
    <s v="Partially Implemented"/>
    <s v="HSE Officer"/>
    <x v="47"/>
  </r>
  <r>
    <s v="RA0050"/>
    <d v="2026-04-14T00:00:00"/>
    <x v="0"/>
    <s v="Workshop"/>
    <x v="6"/>
    <s v="Fall from height"/>
    <s v="Work at Height"/>
    <s v="Serious injury"/>
    <n v="3"/>
    <n v="5"/>
    <n v="15"/>
    <x v="1"/>
    <s v="Standard operating procedure and supervision"/>
    <s v="Update risk assessment and procedure"/>
    <n v="1"/>
    <n v="4"/>
    <n v="4"/>
    <s v="Reduced"/>
    <s v="Low"/>
    <s v="Partially Implemented"/>
    <s v="Maintenance Supervisor"/>
    <x v="48"/>
  </r>
  <r>
    <s v="RA0051"/>
    <d v="2026-08-01T00:00:00"/>
    <x v="0"/>
    <s v="Utilities Area"/>
    <x v="11"/>
    <s v="Collapse and underground services"/>
    <s v="Excavation"/>
    <s v="Fatal injury"/>
    <n v="5"/>
    <n v="4"/>
    <n v="20"/>
    <x v="2"/>
    <s v="Standard operating procedure and supervision"/>
    <s v="Conduct emergency drill"/>
    <n v="4"/>
    <n v="3"/>
    <n v="12"/>
    <s v="Reduced"/>
    <s v="High"/>
    <s v="Partially Implemented"/>
    <s v="HSE Engineer"/>
    <x v="3"/>
  </r>
  <r>
    <s v="RA0052"/>
    <d v="2025-03-29T00:00:00"/>
    <x v="4"/>
    <s v="Warehouse"/>
    <x v="17"/>
    <s v="Oxygen deficiency / toxic atmosphere"/>
    <s v="Confined Space"/>
    <s v="Toxic exposure"/>
    <n v="2"/>
    <n v="3"/>
    <n v="6"/>
    <x v="0"/>
    <s v="Trained and authorized personnel only"/>
    <s v="Install additional physical guard"/>
    <n v="1"/>
    <n v="3"/>
    <n v="3"/>
    <s v="Reduced"/>
    <s v="Low"/>
    <s v="Partially Implemented"/>
    <s v="HSE Engineer"/>
    <x v="49"/>
  </r>
  <r>
    <s v="RA0053"/>
    <d v="2026-02-13T00:00:00"/>
    <x v="0"/>
    <s v="Utilities Area"/>
    <x v="13"/>
    <s v="Moving machinery and dust"/>
    <s v="Mechanical"/>
    <s v="Cuts"/>
    <n v="4"/>
    <n v="3"/>
    <n v="12"/>
    <x v="1"/>
    <s v="Standard operating procedure and supervision"/>
    <s v="Implement engineering control"/>
    <n v="2"/>
    <n v="2"/>
    <n v="4"/>
    <s v="Reduced"/>
    <s v="Low"/>
    <s v="Implemented"/>
    <s v="Department Supervisor"/>
    <x v="50"/>
  </r>
  <r>
    <s v="RA0054"/>
    <d v="2025-04-18T00:00:00"/>
    <x v="0"/>
    <s v="Laboratory"/>
    <x v="13"/>
    <s v="Moving machinery and dust"/>
    <s v="Mechanical"/>
    <s v="Cuts"/>
    <n v="5"/>
    <n v="4"/>
    <n v="20"/>
    <x v="2"/>
    <s v="Safety signage and restricted access"/>
    <s v="Increase inspection frequency"/>
    <n v="4"/>
    <n v="4"/>
    <n v="16"/>
    <s v="Reduced"/>
    <s v="High"/>
    <s v="Implemented"/>
    <s v="Department Supervisor"/>
    <x v="51"/>
  </r>
  <r>
    <s v="RA0055"/>
    <d v="2025-10-28T00:00:00"/>
    <x v="5"/>
    <s v="Utilities Area"/>
    <x v="10"/>
    <s v="Electric shock and trip hazards"/>
    <s v="Electrical"/>
    <s v="Burn"/>
    <n v="2"/>
    <n v="2"/>
    <n v="4"/>
    <x v="3"/>
    <s v="Emergency response equipment available"/>
    <s v="Install additional physical guard"/>
    <n v="1"/>
    <n v="1"/>
    <n v="1"/>
    <s v="Reduced"/>
    <s v="Low"/>
    <s v="Partially Implemented"/>
    <s v="HSE Officer"/>
    <x v="52"/>
  </r>
  <r>
    <s v="RA0056"/>
    <d v="2026-02-26T00:00:00"/>
    <x v="0"/>
    <s v="Laboratory"/>
    <x v="9"/>
    <s v="Moving equipment / conveyor"/>
    <s v="Mechanical"/>
    <s v="Amputation"/>
    <n v="2"/>
    <n v="3"/>
    <n v="6"/>
    <x v="0"/>
    <s v="Standard operating procedure and supervision"/>
    <s v="Install additional physical guard"/>
    <n v="1"/>
    <n v="2"/>
    <n v="2"/>
    <s v="Reduced"/>
    <s v="Low"/>
    <s v="Pending"/>
    <s v="HSE Engineer"/>
    <x v="53"/>
  </r>
  <r>
    <s v="RA0057"/>
    <d v="2026-01-17T00:00:00"/>
    <x v="0"/>
    <s v="Workshop"/>
    <x v="9"/>
    <s v="Moving equipment / conveyor"/>
    <s v="Mechanical"/>
    <s v="Crush injury"/>
    <n v="3"/>
    <n v="4"/>
    <n v="12"/>
    <x v="1"/>
    <s v="Safety signage and restricted access"/>
    <s v="Update risk assessment and procedure"/>
    <n v="2"/>
    <n v="3"/>
    <n v="6"/>
    <s v="Reduced"/>
    <s v="Medium"/>
    <s v="Implemented"/>
    <s v="Maintenance Supervisor"/>
    <x v="54"/>
  </r>
  <r>
    <s v="RA0058"/>
    <d v="2026-10-06T00:00:00"/>
    <x v="0"/>
    <s v="Warehouse"/>
    <x v="6"/>
    <s v="Fall from height"/>
    <s v="Work at Height"/>
    <s v="Serious injury"/>
    <n v="3"/>
    <n v="2"/>
    <n v="6"/>
    <x v="0"/>
    <s v="Emergency response equipment available"/>
    <s v="Conduct refresher training"/>
    <n v="2"/>
    <n v="1"/>
    <n v="2"/>
    <s v="Reduced"/>
    <s v="Low"/>
    <s v="Pending"/>
    <s v="Department Supervisor"/>
    <x v="24"/>
  </r>
  <r>
    <s v="RA0059"/>
    <d v="2025-06-30T00:00:00"/>
    <x v="0"/>
    <s v="Workshop"/>
    <x v="9"/>
    <s v="Moving equipment / conveyor"/>
    <s v="Mechanical"/>
    <s v="Serious injury"/>
    <n v="5"/>
    <n v="3"/>
    <n v="15"/>
    <x v="1"/>
    <s v="PPE provided and mandatory"/>
    <s v="Provide specialized PPE"/>
    <n v="3"/>
    <n v="2"/>
    <n v="6"/>
    <s v="Reduced"/>
    <s v="Medium"/>
    <s v="Partially Implemented"/>
    <s v="Maintenance Supervisor"/>
    <x v="55"/>
  </r>
  <r>
    <s v="RA0060"/>
    <d v="2025-12-08T00:00:00"/>
    <x v="4"/>
    <s v="Office"/>
    <x v="8"/>
    <s v="Stored energy and moving parts"/>
    <s v="Mechanical"/>
    <s v="Crush injury"/>
    <n v="3"/>
    <n v="3"/>
    <n v="9"/>
    <x v="0"/>
    <s v="Safety signage and restricted access"/>
    <s v="Implement engineering control"/>
    <n v="2"/>
    <n v="2"/>
    <n v="4"/>
    <s v="Reduced"/>
    <s v="Low"/>
    <s v="Pending"/>
    <s v="Department Supervisor"/>
    <x v="56"/>
  </r>
  <r>
    <s v="RA0061"/>
    <d v="2025-06-29T00:00:00"/>
    <x v="1"/>
    <s v="Office"/>
    <x v="12"/>
    <s v="Stored pressure and rotating parts"/>
    <s v="Mechanical"/>
    <s v="Crush injury"/>
    <n v="5"/>
    <n v="3"/>
    <n v="15"/>
    <x v="1"/>
    <s v="Toolbox talk before work"/>
    <s v="Improve supervision and monitoring"/>
    <n v="4"/>
    <n v="2"/>
    <n v="8"/>
    <s v="Reduced"/>
    <s v="Medium"/>
    <s v="Partially Implemented"/>
    <s v="Production Supervisor"/>
    <x v="57"/>
  </r>
  <r>
    <s v="RA0062"/>
    <d v="2025-11-24T00:00:00"/>
    <x v="6"/>
    <s v="Plant Area B"/>
    <x v="7"/>
    <s v="Chemical exposure and spills"/>
    <s v="Chemical"/>
    <s v="Skin irritation"/>
    <n v="2"/>
    <n v="4"/>
    <n v="8"/>
    <x v="0"/>
    <s v="Preventive maintenance program"/>
    <s v="Conduct refresher training"/>
    <n v="1"/>
    <n v="3"/>
    <n v="3"/>
    <s v="Reduced"/>
    <s v="Low"/>
    <s v="Pending"/>
    <s v="HSE Engineer"/>
    <x v="58"/>
  </r>
  <r>
    <s v="RA0063"/>
    <d v="2025-02-02T00:00:00"/>
    <x v="1"/>
    <s v="Laboratory"/>
    <x v="12"/>
    <s v="Stored pressure and rotating parts"/>
    <s v="Mechanical"/>
    <s v="Serious injury"/>
    <n v="5"/>
    <n v="3"/>
    <n v="15"/>
    <x v="1"/>
    <s v="Toolbox talk before work"/>
    <s v="Provide specialized PPE"/>
    <n v="3"/>
    <n v="2"/>
    <n v="6"/>
    <s v="Reduced"/>
    <s v="Medium"/>
    <s v="Pending"/>
    <s v="Production Supervisor"/>
    <x v="59"/>
  </r>
  <r>
    <s v="RA0064"/>
    <d v="2025-05-17T00:00:00"/>
    <x v="6"/>
    <s v="Plant Area A"/>
    <x v="14"/>
    <s v="High pressure release"/>
    <s v="Pressure"/>
    <s v="Serious injury"/>
    <n v="4"/>
    <n v="3"/>
    <n v="12"/>
    <x v="1"/>
    <s v="Emergency response equipment available"/>
    <s v="Update risk assessment and procedure"/>
    <n v="3"/>
    <n v="3"/>
    <n v="9"/>
    <s v="Reduced"/>
    <s v="Medium"/>
    <s v="Pending"/>
    <s v="Department Supervisor"/>
    <x v="60"/>
  </r>
  <r>
    <s v="RA0065"/>
    <d v="2026-02-03T00:00:00"/>
    <x v="4"/>
    <s v="Workshop"/>
    <x v="8"/>
    <s v="Stored energy and moving parts"/>
    <s v="Mechanical"/>
    <s v="Amputation"/>
    <n v="5"/>
    <n v="4"/>
    <n v="20"/>
    <x v="2"/>
    <s v="Machine guarding and routine inspection"/>
    <s v="Implement engineering control"/>
    <n v="3"/>
    <n v="4"/>
    <n v="12"/>
    <s v="Reduced"/>
    <s v="High"/>
    <s v="Pending"/>
    <s v="Production Supervisor"/>
    <x v="61"/>
  </r>
  <r>
    <s v="RA0066"/>
    <d v="2025-03-03T00:00:00"/>
    <x v="1"/>
    <s v="Utilities Area"/>
    <x v="1"/>
    <s v="Fire, fumes and hot work"/>
    <s v="Fire / Chemical"/>
    <s v="Fire-related injury"/>
    <n v="2"/>
    <n v="2"/>
    <n v="4"/>
    <x v="3"/>
    <s v="Toolbox talk before work"/>
    <s v="Install warning signs and barriers"/>
    <n v="2"/>
    <n v="2"/>
    <n v="4"/>
    <s v="No Reduction"/>
    <s v="Low"/>
    <s v="Pending"/>
    <s v="HSE Engineer"/>
    <x v="62"/>
  </r>
  <r>
    <s v="RA0067"/>
    <d v="2026-09-17T00:00:00"/>
    <x v="5"/>
    <s v="Workshop"/>
    <x v="10"/>
    <s v="Electric shock and trip hazards"/>
    <s v="Electrical"/>
    <s v="Burn"/>
    <n v="3"/>
    <n v="3"/>
    <n v="9"/>
    <x v="0"/>
    <s v="Standard operating procedure and supervision"/>
    <s v="Update risk assessment and procedure"/>
    <n v="2"/>
    <n v="2"/>
    <n v="4"/>
    <s v="Reduced"/>
    <s v="Low"/>
    <s v="Pending"/>
    <s v="HSE Officer"/>
    <x v="63"/>
  </r>
  <r>
    <s v="RA0068"/>
    <d v="2026-04-04T00:00:00"/>
    <x v="0"/>
    <s v="Warehouse"/>
    <x v="9"/>
    <s v="Moving equipment / conveyor"/>
    <s v="Mechanical"/>
    <s v="Serious injury"/>
    <n v="5"/>
    <n v="3"/>
    <n v="15"/>
    <x v="1"/>
    <s v="PPE provided and mandatory"/>
    <s v="Conduct emergency drill"/>
    <n v="4"/>
    <n v="3"/>
    <n v="12"/>
    <s v="Reduced"/>
    <s v="High"/>
    <s v="Partially Implemented"/>
    <s v="Production Supervisor"/>
    <x v="64"/>
  </r>
  <r>
    <s v="RA0069"/>
    <d v="2025-07-09T00:00:00"/>
    <x v="6"/>
    <s v="Plant Area B"/>
    <x v="14"/>
    <s v="High pressure release"/>
    <s v="Pressure"/>
    <s v="Fatal injury"/>
    <n v="3"/>
    <n v="5"/>
    <n v="15"/>
    <x v="1"/>
    <s v="Safety signage and restricted access"/>
    <s v="Verify PTW and isolation before work"/>
    <n v="2"/>
    <n v="5"/>
    <n v="10"/>
    <s v="Reduced"/>
    <s v="High"/>
    <s v="Implemented"/>
    <s v="Department Supervisor"/>
    <x v="25"/>
  </r>
  <r>
    <s v="RA0070"/>
    <d v="2026-11-14T00:00:00"/>
    <x v="0"/>
    <s v="Workshop"/>
    <x v="11"/>
    <s v="Collapse and underground services"/>
    <s v="Excavation"/>
    <s v="Fatal injury"/>
    <n v="3"/>
    <n v="5"/>
    <n v="15"/>
    <x v="1"/>
    <s v="Trained and authorized personnel only"/>
    <s v="Provide specialized PPE"/>
    <n v="2"/>
    <n v="5"/>
    <n v="10"/>
    <s v="Reduced"/>
    <s v="High"/>
    <s v="Partially Implemented"/>
    <s v="Maintenance Supervisor"/>
    <x v="65"/>
  </r>
  <r>
    <s v="RA0071"/>
    <d v="2025-07-05T00:00:00"/>
    <x v="0"/>
    <s v="Laboratory"/>
    <x v="11"/>
    <s v="Collapse and underground services"/>
    <s v="Excavation"/>
    <s v="Collapse injury"/>
    <n v="5"/>
    <n v="3"/>
    <n v="15"/>
    <x v="1"/>
    <s v="PPE provided and mandatory"/>
    <s v="Increase inspection frequency"/>
    <n v="4"/>
    <n v="2"/>
    <n v="8"/>
    <s v="Reduced"/>
    <s v="Medium"/>
    <s v="Implemented"/>
    <s v="Department Supervisor"/>
    <x v="35"/>
  </r>
  <r>
    <s v="RA0072"/>
    <d v="2026-06-26T00:00:00"/>
    <x v="4"/>
    <s v="Warehouse"/>
    <x v="8"/>
    <s v="Stored energy and moving parts"/>
    <s v="Mechanical"/>
    <s v="Amputation"/>
    <n v="3"/>
    <n v="4"/>
    <n v="12"/>
    <x v="1"/>
    <s v="Emergency response equipment available"/>
    <s v="Increase inspection frequency"/>
    <n v="2"/>
    <n v="4"/>
    <n v="8"/>
    <s v="Reduced"/>
    <s v="Medium"/>
    <s v="Implemented"/>
    <s v="Production Supervisor"/>
    <x v="0"/>
  </r>
  <r>
    <s v="RA0073"/>
    <d v="2026-07-08T00:00:00"/>
    <x v="1"/>
    <s v="Laboratory"/>
    <x v="1"/>
    <s v="Fire, fumes and hot work"/>
    <s v="Fire / Chemical"/>
    <s v="Burn"/>
    <n v="2"/>
    <n v="5"/>
    <n v="10"/>
    <x v="1"/>
    <s v="Trained and authorized personnel only"/>
    <s v="Install additional physical guard"/>
    <n v="1"/>
    <n v="5"/>
    <n v="5"/>
    <s v="Reduced"/>
    <s v="Medium"/>
    <s v="Implemented"/>
    <s v="HSE Officer"/>
    <x v="66"/>
  </r>
  <r>
    <s v="RA0074"/>
    <d v="2025-05-16T00:00:00"/>
    <x v="4"/>
    <s v="Laboratory"/>
    <x v="17"/>
    <s v="Oxygen deficiency / toxic atmosphere"/>
    <s v="Confined Space"/>
    <s v="Asphyxiation risk"/>
    <n v="4"/>
    <n v="5"/>
    <n v="20"/>
    <x v="2"/>
    <s v="Trained and authorized personnel only"/>
    <s v="Conduct refresher training"/>
    <n v="3"/>
    <n v="5"/>
    <n v="15"/>
    <s v="Reduced"/>
    <s v="High"/>
    <s v="Implemented"/>
    <s v="Maintenance Supervisor"/>
    <x v="67"/>
  </r>
  <r>
    <s v="RA0075"/>
    <d v="2025-10-19T00:00:00"/>
    <x v="6"/>
    <s v="Workshop"/>
    <x v="7"/>
    <s v="Chemical exposure and spills"/>
    <s v="Chemical"/>
    <s v="Eye injury"/>
    <n v="4"/>
    <n v="2"/>
    <n v="8"/>
    <x v="0"/>
    <s v="Preventive maintenance program"/>
    <s v="Improve supervision and monitoring"/>
    <n v="4"/>
    <n v="1"/>
    <n v="4"/>
    <s v="Reduced"/>
    <s v="Low"/>
    <s v="Partially Implemented"/>
    <s v="Maintenance Supervisor"/>
    <x v="68"/>
  </r>
  <r>
    <s v="RA0076"/>
    <d v="2026-11-07T00:00:00"/>
    <x v="6"/>
    <s v="Utilities Area"/>
    <x v="7"/>
    <s v="Chemical exposure and spills"/>
    <s v="Chemical"/>
    <s v="Eye injury"/>
    <n v="2"/>
    <n v="5"/>
    <n v="10"/>
    <x v="1"/>
    <s v="Preventive maintenance program"/>
    <s v="Provide specialized PPE"/>
    <n v="1"/>
    <n v="5"/>
    <n v="5"/>
    <s v="Reduced"/>
    <s v="Medium"/>
    <s v="Partially Implemented"/>
    <s v="HSE Engineer"/>
    <x v="69"/>
  </r>
  <r>
    <s v="RA0077"/>
    <d v="2026-01-23T00:00:00"/>
    <x v="6"/>
    <s v="Plant Area A"/>
    <x v="7"/>
    <s v="Chemical exposure and spills"/>
    <s v="Chemical"/>
    <s v="Skin irritation"/>
    <n v="2"/>
    <n v="5"/>
    <n v="10"/>
    <x v="1"/>
    <s v="Safety signage and restricted access"/>
    <s v="Conduct emergency drill"/>
    <n v="1"/>
    <n v="4"/>
    <n v="4"/>
    <s v="Reduced"/>
    <s v="Low"/>
    <s v="Implemented"/>
    <s v="Maintenance Supervisor"/>
    <x v="70"/>
  </r>
  <r>
    <s v="RA0078"/>
    <d v="2025-09-06T00:00:00"/>
    <x v="0"/>
    <s v="Plant Area B"/>
    <x v="13"/>
    <s v="Moving machinery and dust"/>
    <s v="Mechanical"/>
    <s v="Serious injury"/>
    <n v="2"/>
    <n v="4"/>
    <n v="8"/>
    <x v="0"/>
    <s v="Emergency response equipment available"/>
    <s v="Update risk assessment and procedure"/>
    <n v="1"/>
    <n v="3"/>
    <n v="3"/>
    <s v="Reduced"/>
    <s v="Low"/>
    <s v="Implemented"/>
    <s v="HSE Officer"/>
    <x v="21"/>
  </r>
  <r>
    <s v="RA0079"/>
    <d v="2026-10-16T00:00:00"/>
    <x v="1"/>
    <s v="Office"/>
    <x v="1"/>
    <s v="Fire, fumes and hot work"/>
    <s v="Fire / Chemical"/>
    <s v="Fire-related injury"/>
    <n v="3"/>
    <n v="4"/>
    <n v="12"/>
    <x v="1"/>
    <s v="Emergency response equipment available"/>
    <s v="Implement engineering control"/>
    <n v="2"/>
    <n v="4"/>
    <n v="8"/>
    <s v="Reduced"/>
    <s v="Medium"/>
    <s v="Pending"/>
    <s v="Department Supervisor"/>
    <x v="71"/>
  </r>
  <r>
    <s v="RA0080"/>
    <d v="2026-07-19T00:00:00"/>
    <x v="6"/>
    <s v="Laboratory"/>
    <x v="7"/>
    <s v="Chemical exposure and spills"/>
    <s v="Chemical"/>
    <s v="Respiratory irritation"/>
    <n v="3"/>
    <n v="3"/>
    <n v="9"/>
    <x v="0"/>
    <s v="Trained and authorized personnel only"/>
    <s v="Conduct refresher training"/>
    <n v="2"/>
    <n v="2"/>
    <n v="4"/>
    <s v="Reduced"/>
    <s v="Low"/>
    <s v="Pending"/>
    <s v="Department Supervisor"/>
    <x v="72"/>
  </r>
  <r>
    <s v="RA0081"/>
    <d v="2025-05-13T00:00:00"/>
    <x v="3"/>
    <s v="Plant Area A"/>
    <x v="3"/>
    <s v="Ergonomic hazards and slips/trips"/>
    <s v="Ergonomic"/>
    <s v="Slip/trip injury"/>
    <n v="5"/>
    <n v="5"/>
    <n v="25"/>
    <x v="2"/>
    <s v="Trained and authorized personnel only"/>
    <s v="Conduct refresher training"/>
    <n v="4"/>
    <n v="5"/>
    <n v="20"/>
    <s v="Reduced"/>
    <s v="Critical"/>
    <s v="Pending"/>
    <s v="HSE Officer"/>
    <x v="73"/>
  </r>
  <r>
    <s v="RA0082"/>
    <d v="2025-10-23T00:00:00"/>
    <x v="0"/>
    <s v="Plant Area A"/>
    <x v="11"/>
    <s v="Collapse and underground services"/>
    <s v="Excavation"/>
    <s v="Serious injury"/>
    <n v="2"/>
    <n v="4"/>
    <n v="8"/>
    <x v="0"/>
    <s v="Safety signage and restricted access"/>
    <s v="Improve supervision and monitoring"/>
    <n v="1"/>
    <n v="4"/>
    <n v="4"/>
    <s v="Reduced"/>
    <s v="Low"/>
    <s v="Partially Implemented"/>
    <s v="Maintenance Supervisor"/>
    <x v="74"/>
  </r>
  <r>
    <s v="RA0083"/>
    <d v="2026-11-14T00:00:00"/>
    <x v="6"/>
    <s v="Workshop"/>
    <x v="14"/>
    <s v="High pressure release"/>
    <s v="Pressure"/>
    <s v="Impact injury"/>
    <n v="4"/>
    <n v="5"/>
    <n v="20"/>
    <x v="2"/>
    <s v="Toolbox talk before work"/>
    <s v="Increase inspection frequency"/>
    <n v="3"/>
    <n v="4"/>
    <n v="12"/>
    <s v="Reduced"/>
    <s v="High"/>
    <s v="Pending"/>
    <s v="Maintenance Supervisor"/>
    <x v="65"/>
  </r>
  <r>
    <s v="RA0084"/>
    <d v="2026-06-09T00:00:00"/>
    <x v="4"/>
    <s v="Warehouse"/>
    <x v="4"/>
    <s v="Unexpected equipment movement"/>
    <s v="Mechanical"/>
    <s v="Amputation"/>
    <n v="4"/>
    <n v="3"/>
    <n v="12"/>
    <x v="1"/>
    <s v="Emergency response equipment available"/>
    <s v="Install additional physical guard"/>
    <n v="4"/>
    <n v="2"/>
    <n v="8"/>
    <s v="Reduced"/>
    <s v="Medium"/>
    <s v="Partially Implemented"/>
    <s v="HSE Officer"/>
    <x v="75"/>
  </r>
  <r>
    <s v="RA0085"/>
    <d v="2026-09-02T00:00:00"/>
    <x v="6"/>
    <s v="Workshop"/>
    <x v="7"/>
    <s v="Chemical exposure and spills"/>
    <s v="Chemical"/>
    <s v="Eye injury"/>
    <n v="4"/>
    <n v="3"/>
    <n v="12"/>
    <x v="1"/>
    <s v="Toolbox talk before work"/>
    <s v="Conduct emergency drill"/>
    <n v="3"/>
    <n v="2"/>
    <n v="6"/>
    <s v="Reduced"/>
    <s v="Medium"/>
    <s v="Implemented"/>
    <s v="HSE Officer"/>
    <x v="76"/>
  </r>
  <r>
    <s v="RA0086"/>
    <d v="2026-04-22T00:00:00"/>
    <x v="2"/>
    <s v="Office"/>
    <x v="2"/>
    <s v="Chemical exposure"/>
    <s v="Chemical"/>
    <s v="Respiratory irritation"/>
    <n v="2"/>
    <n v="5"/>
    <n v="10"/>
    <x v="1"/>
    <s v="Machine guarding and routine inspection"/>
    <s v="Improve supervision and monitoring"/>
    <n v="1"/>
    <n v="5"/>
    <n v="5"/>
    <s v="Reduced"/>
    <s v="Medium"/>
    <s v="Pending"/>
    <s v="HSE Officer"/>
    <x v="68"/>
  </r>
  <r>
    <s v="RA0087"/>
    <d v="2025-05-04T00:00:00"/>
    <x v="6"/>
    <s v="Utilities Area"/>
    <x v="14"/>
    <s v="High pressure release"/>
    <s v="Pressure"/>
    <s v="Impact injury"/>
    <n v="5"/>
    <n v="3"/>
    <n v="15"/>
    <x v="1"/>
    <s v="PPE provided and mandatory"/>
    <s v="Implement engineering control"/>
    <n v="3"/>
    <n v="2"/>
    <n v="6"/>
    <s v="Reduced"/>
    <s v="Medium"/>
    <s v="Partially Implemented"/>
    <s v="HSE Engineer"/>
    <x v="77"/>
  </r>
  <r>
    <s v="RA0088"/>
    <d v="2026-04-19T00:00:00"/>
    <x v="5"/>
    <s v="Plant Area B"/>
    <x v="10"/>
    <s v="Electric shock and trip hazards"/>
    <s v="Electrical"/>
    <s v="Electric shock"/>
    <n v="3"/>
    <n v="5"/>
    <n v="15"/>
    <x v="1"/>
    <s v="Trained and authorized personnel only"/>
    <s v="Provide specialized PPE"/>
    <n v="3"/>
    <n v="4"/>
    <n v="12"/>
    <s v="Reduced"/>
    <s v="High"/>
    <s v="Implemented"/>
    <s v="Production Supervisor"/>
    <x v="78"/>
  </r>
  <r>
    <s v="RA0089"/>
    <d v="2025-08-16T00:00:00"/>
    <x v="4"/>
    <s v="Workshop"/>
    <x v="17"/>
    <s v="Oxygen deficiency / toxic atmosphere"/>
    <s v="Confined Space"/>
    <s v="Toxic exposure"/>
    <n v="4"/>
    <n v="5"/>
    <n v="20"/>
    <x v="2"/>
    <s v="PPE provided and mandatory"/>
    <s v="Increase inspection frequency"/>
    <n v="3"/>
    <n v="5"/>
    <n v="15"/>
    <s v="Reduced"/>
    <s v="High"/>
    <s v="Pending"/>
    <s v="Maintenance Supervisor"/>
    <x v="79"/>
  </r>
  <r>
    <s v="RA0090"/>
    <d v="2026-06-23T00:00:00"/>
    <x v="7"/>
    <s v="Workshop"/>
    <x v="16"/>
    <s v="Falling objects"/>
    <s v="Physical"/>
    <s v="Head injury"/>
    <n v="3"/>
    <n v="3"/>
    <n v="9"/>
    <x v="0"/>
    <s v="Trained and authorized personnel only"/>
    <s v="Improve supervision and monitoring"/>
    <n v="2"/>
    <n v="2"/>
    <n v="4"/>
    <s v="Reduced"/>
    <s v="Low"/>
    <s v="Pending"/>
    <s v="Production Supervisor"/>
    <x v="80"/>
  </r>
  <r>
    <s v="RA0091"/>
    <d v="2025-01-27T00:00:00"/>
    <x v="1"/>
    <s v="Plant Area A"/>
    <x v="12"/>
    <s v="Stored pressure and rotating parts"/>
    <s v="Mechanical"/>
    <s v="Serious injury"/>
    <n v="4"/>
    <n v="5"/>
    <n v="20"/>
    <x v="2"/>
    <s v="Standard operating procedure and supervision"/>
    <s v="Conduct refresher training"/>
    <n v="2"/>
    <n v="4"/>
    <n v="8"/>
    <s v="Reduced"/>
    <s v="Medium"/>
    <s v="Implemented"/>
    <s v="Department Supervisor"/>
    <x v="81"/>
  </r>
  <r>
    <s v="RA0092"/>
    <d v="2026-04-27T00:00:00"/>
    <x v="4"/>
    <s v="Laboratory"/>
    <x v="8"/>
    <s v="Stored energy and moving parts"/>
    <s v="Mechanical"/>
    <s v="Cuts"/>
    <n v="5"/>
    <n v="4"/>
    <n v="20"/>
    <x v="2"/>
    <s v="PPE provided and mandatory"/>
    <s v="Install warning signs and barriers"/>
    <n v="5"/>
    <n v="4"/>
    <n v="20"/>
    <s v="No Reduction"/>
    <s v="Critical"/>
    <s v="Pending"/>
    <s v="Production Supervisor"/>
    <x v="82"/>
  </r>
  <r>
    <s v="RA0093"/>
    <d v="2026-08-11T00:00:00"/>
    <x v="0"/>
    <s v="Office"/>
    <x v="0"/>
    <s v="Hot surfaces and high temperature"/>
    <s v="Thermal"/>
    <s v="Heat stress"/>
    <n v="3"/>
    <n v="4"/>
    <n v="12"/>
    <x v="1"/>
    <s v="Safety signage and restricted access"/>
    <s v="Install additional physical guard"/>
    <n v="2"/>
    <n v="3"/>
    <n v="6"/>
    <s v="Reduced"/>
    <s v="Medium"/>
    <s v="Partially Implemented"/>
    <s v="HSE Engineer"/>
    <x v="83"/>
  </r>
  <r>
    <s v="RA0094"/>
    <d v="2026-10-03T00:00:00"/>
    <x v="7"/>
    <s v="Plant Area B"/>
    <x v="15"/>
    <s v="Vehicle-pedestrian interaction"/>
    <s v="Vehicle / Traffic"/>
    <s v="Collision"/>
    <n v="4"/>
    <n v="4"/>
    <n v="16"/>
    <x v="1"/>
    <s v="Safety signage and restricted access"/>
    <s v="Install warning signs and barriers"/>
    <n v="4"/>
    <n v="3"/>
    <n v="12"/>
    <s v="Reduced"/>
    <s v="High"/>
    <s v="Partially Implemented"/>
    <s v="Department Supervisor"/>
    <x v="84"/>
  </r>
  <r>
    <s v="RA0095"/>
    <d v="2025-08-06T00:00:00"/>
    <x v="6"/>
    <s v="Workshop"/>
    <x v="7"/>
    <s v="Chemical exposure and spills"/>
    <s v="Chemical"/>
    <s v="Eye injury"/>
    <n v="3"/>
    <n v="2"/>
    <n v="6"/>
    <x v="0"/>
    <s v="Standard operating procedure and supervision"/>
    <s v="Verify PTW and isolation before work"/>
    <n v="3"/>
    <n v="2"/>
    <n v="6"/>
    <s v="Reduced"/>
    <s v="Medium"/>
    <s v="Implemented"/>
    <s v="Maintenance Supervisor"/>
    <x v="85"/>
  </r>
  <r>
    <s v="RA0096"/>
    <d v="2025-05-21T00:00:00"/>
    <x v="5"/>
    <s v="Laboratory"/>
    <x v="10"/>
    <s v="Electric shock and trip hazards"/>
    <s v="Electrical"/>
    <s v="Serious injury"/>
    <n v="3"/>
    <n v="2"/>
    <n v="6"/>
    <x v="0"/>
    <s v="Toolbox talk before work"/>
    <s v="Install warning signs and barriers"/>
    <n v="2"/>
    <n v="1"/>
    <n v="2"/>
    <s v="Reduced"/>
    <s v="Low"/>
    <s v="Implemented"/>
    <s v="HSE Officer"/>
    <x v="86"/>
  </r>
  <r>
    <s v="RA0097"/>
    <d v="2026-02-11T00:00:00"/>
    <x v="4"/>
    <s v="Workshop"/>
    <x v="4"/>
    <s v="Unexpected equipment movement"/>
    <s v="Mechanical"/>
    <s v="Serious injury"/>
    <n v="4"/>
    <n v="4"/>
    <n v="16"/>
    <x v="1"/>
    <s v="Trained and authorized personnel only"/>
    <s v="Conduct emergency drill"/>
    <n v="3"/>
    <n v="3"/>
    <n v="9"/>
    <s v="Reduced"/>
    <s v="Medium"/>
    <s v="Pending"/>
    <s v="HSE Engineer"/>
    <x v="87"/>
  </r>
  <r>
    <s v="RA0098"/>
    <d v="2025-04-30T00:00:00"/>
    <x v="6"/>
    <s v="Office"/>
    <x v="18"/>
    <s v="High pressure and hot surfaces"/>
    <s v="Pressure / Thermal"/>
    <s v="Pressure-related injury"/>
    <n v="2"/>
    <n v="5"/>
    <n v="10"/>
    <x v="1"/>
    <s v="Machine guarding and routine inspection"/>
    <s v="Install warning signs and barriers"/>
    <n v="1"/>
    <n v="4"/>
    <n v="4"/>
    <s v="Reduced"/>
    <s v="Low"/>
    <s v="Partially Implemented"/>
    <s v="Maintenance Supervisor"/>
    <x v="88"/>
  </r>
  <r>
    <s v="RA0099"/>
    <d v="2025-12-16T00:00:00"/>
    <x v="5"/>
    <s v="Utilities Area"/>
    <x v="10"/>
    <s v="Electric shock and trip hazards"/>
    <s v="Electrical"/>
    <s v="Serious injury"/>
    <n v="2"/>
    <n v="4"/>
    <n v="8"/>
    <x v="0"/>
    <s v="Emergency response equipment available"/>
    <s v="Implement engineering control"/>
    <n v="1"/>
    <n v="4"/>
    <n v="4"/>
    <s v="Reduced"/>
    <s v="Low"/>
    <s v="Implemented"/>
    <s v="HSE Engineer"/>
    <x v="89"/>
  </r>
  <r>
    <s v="RA0100"/>
    <d v="2025-07-07T00:00:00"/>
    <x v="1"/>
    <s v="Office"/>
    <x v="12"/>
    <s v="Stored pressure and rotating parts"/>
    <s v="Mechanical"/>
    <s v="Cuts"/>
    <n v="5"/>
    <n v="2"/>
    <n v="10"/>
    <x v="1"/>
    <s v="Machine guarding and routine inspection"/>
    <s v="Implement engineering control"/>
    <n v="4"/>
    <n v="1"/>
    <n v="4"/>
    <s v="Reduced"/>
    <s v="Low"/>
    <s v="Pending"/>
    <s v="Maintenance Supervisor"/>
    <x v="90"/>
  </r>
  <r>
    <s v="RA0101"/>
    <d v="2026-08-13T00:00:00"/>
    <x v="7"/>
    <s v="Utilities Area"/>
    <x v="15"/>
    <s v="Vehicle-pedestrian interaction"/>
    <s v="Vehicle / Traffic"/>
    <s v="Fatal injury"/>
    <n v="3"/>
    <n v="3"/>
    <n v="9"/>
    <x v="0"/>
    <s v="Trained and authorized personnel only"/>
    <s v="Install warning signs and barriers"/>
    <n v="2"/>
    <n v="2"/>
    <n v="4"/>
    <s v="Reduced"/>
    <s v="Low"/>
    <s v="Implemented"/>
    <s v="HSE Officer"/>
    <x v="91"/>
  </r>
  <r>
    <s v="RA0102"/>
    <d v="2025-04-25T00:00:00"/>
    <x v="0"/>
    <s v="Laboratory"/>
    <x v="9"/>
    <s v="Moving equipment / conveyor"/>
    <s v="Mechanical"/>
    <s v="Amputation"/>
    <n v="5"/>
    <n v="3"/>
    <n v="15"/>
    <x v="1"/>
    <s v="Preventive maintenance program"/>
    <s v="Increase inspection frequency"/>
    <n v="4"/>
    <n v="3"/>
    <n v="12"/>
    <s v="Reduced"/>
    <s v="High"/>
    <s v="Partially Implemented"/>
    <s v="HSE Officer"/>
    <x v="92"/>
  </r>
  <r>
    <s v="RA0103"/>
    <d v="2026-01-22T00:00:00"/>
    <x v="0"/>
    <s v="Utilities Area"/>
    <x v="13"/>
    <s v="Moving machinery and dust"/>
    <s v="Mechanical"/>
    <s v="Serious injury"/>
    <n v="5"/>
    <n v="3"/>
    <n v="15"/>
    <x v="1"/>
    <s v="Machine guarding and routine inspection"/>
    <s v="Conduct emergency drill"/>
    <n v="3"/>
    <n v="3"/>
    <n v="9"/>
    <s v="Reduced"/>
    <s v="Medium"/>
    <s v="Partially Implemented"/>
    <s v="HSE Engineer"/>
    <x v="93"/>
  </r>
  <r>
    <s v="RA0104"/>
    <d v="2026-04-06T00:00:00"/>
    <x v="0"/>
    <s v="Plant Area B"/>
    <x v="0"/>
    <s v="Hot surfaces and high temperature"/>
    <s v="Thermal"/>
    <s v="Heat stress"/>
    <n v="4"/>
    <n v="3"/>
    <n v="12"/>
    <x v="1"/>
    <s v="Preventive maintenance program"/>
    <s v="Implement engineering control"/>
    <n v="3"/>
    <n v="2"/>
    <n v="6"/>
    <s v="Reduced"/>
    <s v="Medium"/>
    <s v="Partially Implemented"/>
    <s v="Maintenance Supervisor"/>
    <x v="94"/>
  </r>
  <r>
    <s v="RA0105"/>
    <d v="2025-03-31T00:00:00"/>
    <x v="6"/>
    <s v="Plant Area B"/>
    <x v="7"/>
    <s v="Chemical exposure and spills"/>
    <s v="Chemical"/>
    <s v="Respiratory irritation"/>
    <n v="4"/>
    <n v="3"/>
    <n v="12"/>
    <x v="1"/>
    <s v="Machine guarding and routine inspection"/>
    <s v="Conduct emergency drill"/>
    <n v="3"/>
    <n v="3"/>
    <n v="9"/>
    <s v="Reduced"/>
    <s v="Medium"/>
    <s v="Pending"/>
    <s v="Production Supervisor"/>
    <x v="95"/>
  </r>
  <r>
    <s v="RA0106"/>
    <d v="2026-04-13T00:00:00"/>
    <x v="7"/>
    <s v="Workshop"/>
    <x v="16"/>
    <s v="Falling objects"/>
    <s v="Physical"/>
    <s v="Serious injury"/>
    <n v="5"/>
    <n v="4"/>
    <n v="20"/>
    <x v="2"/>
    <s v="Trained and authorized personnel only"/>
    <s v="Conduct emergency drill"/>
    <n v="4"/>
    <n v="4"/>
    <n v="16"/>
    <s v="Reduced"/>
    <s v="High"/>
    <s v="Pending"/>
    <s v="HSE Engineer"/>
    <x v="96"/>
  </r>
  <r>
    <s v="RA0107"/>
    <d v="2025-01-17T00:00:00"/>
    <x v="5"/>
    <s v="Workshop"/>
    <x v="10"/>
    <s v="Electric shock and trip hazards"/>
    <s v="Electrical"/>
    <s v="Electric shock"/>
    <n v="2"/>
    <n v="3"/>
    <n v="6"/>
    <x v="0"/>
    <s v="Preventive maintenance program"/>
    <s v="Improve supervision and monitoring"/>
    <n v="1"/>
    <n v="2"/>
    <n v="2"/>
    <s v="Reduced"/>
    <s v="Low"/>
    <s v="Implemented"/>
    <s v="Department Supervisor"/>
    <x v="97"/>
  </r>
  <r>
    <s v="RA0108"/>
    <d v="2026-11-24T00:00:00"/>
    <x v="3"/>
    <s v="Workshop"/>
    <x v="3"/>
    <s v="Ergonomic hazards and slips/trips"/>
    <s v="Ergonomic"/>
    <s v="Musculoskeletal strain"/>
    <n v="3"/>
    <n v="5"/>
    <n v="15"/>
    <x v="1"/>
    <s v="Machine guarding and routine inspection"/>
    <s v="Improve supervision and monitoring"/>
    <n v="2"/>
    <n v="5"/>
    <n v="10"/>
    <s v="Reduced"/>
    <s v="High"/>
    <s v="Pending"/>
    <s v="Department Supervisor"/>
    <x v="98"/>
  </r>
  <r>
    <s v="RA0109"/>
    <d v="2026-08-11T00:00:00"/>
    <x v="7"/>
    <s v="Office"/>
    <x v="15"/>
    <s v="Vehicle-pedestrian interaction"/>
    <s v="Vehicle / Traffic"/>
    <s v="Collision"/>
    <n v="3"/>
    <n v="5"/>
    <n v="15"/>
    <x v="1"/>
    <s v="Machine guarding and routine inspection"/>
    <s v="Implement engineering control"/>
    <n v="2"/>
    <n v="5"/>
    <n v="10"/>
    <s v="Reduced"/>
    <s v="High"/>
    <s v="Implemented"/>
    <s v="Maintenance Supervisor"/>
    <x v="99"/>
  </r>
  <r>
    <s v="RA0110"/>
    <d v="2025-10-09T00:00:00"/>
    <x v="6"/>
    <s v="Office"/>
    <x v="18"/>
    <s v="High pressure and hot surfaces"/>
    <s v="Pressure / Thermal"/>
    <s v="Pressure-related injury"/>
    <n v="4"/>
    <n v="3"/>
    <n v="12"/>
    <x v="1"/>
    <s v="Machine guarding and routine inspection"/>
    <s v="Improve supervision and monitoring"/>
    <n v="2"/>
    <n v="3"/>
    <n v="6"/>
    <s v="Reduced"/>
    <s v="Medium"/>
    <s v="Partially Implemented"/>
    <s v="Production Supervisor"/>
    <x v="27"/>
  </r>
  <r>
    <s v="RA0111"/>
    <d v="2025-01-13T00:00:00"/>
    <x v="3"/>
    <s v="Office"/>
    <x v="3"/>
    <s v="Ergonomic hazards and slips/trips"/>
    <s v="Ergonomic"/>
    <s v="Musculoskeletal strain"/>
    <n v="4"/>
    <n v="3"/>
    <n v="12"/>
    <x v="1"/>
    <s v="PPE provided and mandatory"/>
    <s v="Provide specialized PPE"/>
    <n v="3"/>
    <n v="2"/>
    <n v="6"/>
    <s v="Reduced"/>
    <s v="Medium"/>
    <s v="Pending"/>
    <s v="Production Supervisor"/>
    <x v="100"/>
  </r>
  <r>
    <s v="RA0112"/>
    <d v="2026-11-11T00:00:00"/>
    <x v="3"/>
    <s v="Warehouse"/>
    <x v="3"/>
    <s v="Ergonomic hazards and slips/trips"/>
    <s v="Ergonomic"/>
    <s v="Musculoskeletal strain"/>
    <n v="2"/>
    <n v="5"/>
    <n v="10"/>
    <x v="1"/>
    <s v="Trained and authorized personnel only"/>
    <s v="Update risk assessment and procedure"/>
    <n v="1"/>
    <n v="4"/>
    <n v="4"/>
    <s v="Reduced"/>
    <s v="Low"/>
    <s v="Partially Implemented"/>
    <s v="Maintenance Supervisor"/>
    <x v="101"/>
  </r>
  <r>
    <s v="RA0113"/>
    <d v="2026-02-24T00:00:00"/>
    <x v="4"/>
    <s v="Laboratory"/>
    <x v="17"/>
    <s v="Oxygen deficiency / toxic atmosphere"/>
    <s v="Confined Space"/>
    <s v="Toxic exposure"/>
    <n v="5"/>
    <n v="5"/>
    <n v="25"/>
    <x v="2"/>
    <s v="Emergency response equipment available"/>
    <s v="Verify PTW and isolation before work"/>
    <n v="4"/>
    <n v="4"/>
    <n v="16"/>
    <s v="Reduced"/>
    <s v="High"/>
    <s v="Pending"/>
    <s v="Department Supervisor"/>
    <x v="102"/>
  </r>
  <r>
    <s v="RA0114"/>
    <d v="2026-12-25T00:00:00"/>
    <x v="1"/>
    <s v="Plant Area B"/>
    <x v="12"/>
    <s v="Stored pressure and rotating parts"/>
    <s v="Mechanical"/>
    <s v="Cuts"/>
    <n v="4"/>
    <n v="2"/>
    <n v="8"/>
    <x v="0"/>
    <s v="Machine guarding and routine inspection"/>
    <s v="Improve supervision and monitoring"/>
    <n v="3"/>
    <n v="2"/>
    <n v="6"/>
    <s v="Reduced"/>
    <s v="Medium"/>
    <s v="Implemented"/>
    <s v="Department Supervisor"/>
    <x v="103"/>
  </r>
  <r>
    <s v="RA0115"/>
    <d v="2026-04-01T00:00:00"/>
    <x v="6"/>
    <s v="Workshop"/>
    <x v="14"/>
    <s v="High pressure release"/>
    <s v="Pressure"/>
    <s v="Serious injury"/>
    <n v="2"/>
    <n v="4"/>
    <n v="8"/>
    <x v="0"/>
    <s v="Trained and authorized personnel only"/>
    <s v="Install warning signs and barriers"/>
    <n v="1"/>
    <n v="3"/>
    <n v="3"/>
    <s v="Reduced"/>
    <s v="Low"/>
    <s v="Implemented"/>
    <s v="HSE Engineer"/>
    <x v="104"/>
  </r>
  <r>
    <s v="RA0116"/>
    <d v="2025-07-18T00:00:00"/>
    <x v="0"/>
    <s v="Plant Area B"/>
    <x v="11"/>
    <s v="Collapse and underground services"/>
    <s v="Excavation"/>
    <s v="Serious injury"/>
    <n v="3"/>
    <n v="2"/>
    <n v="6"/>
    <x v="0"/>
    <s v="Machine guarding and routine inspection"/>
    <s v="Implement engineering control"/>
    <n v="3"/>
    <n v="2"/>
    <n v="6"/>
    <s v="Reduced"/>
    <s v="Medium"/>
    <s v="Pending"/>
    <s v="Maintenance Supervisor"/>
    <x v="105"/>
  </r>
  <r>
    <s v="RA0117"/>
    <d v="2026-06-05T00:00:00"/>
    <x v="0"/>
    <s v="Laboratory"/>
    <x v="13"/>
    <s v="Moving machinery and dust"/>
    <s v="Mechanical"/>
    <s v="Cuts"/>
    <n v="5"/>
    <n v="2"/>
    <n v="10"/>
    <x v="1"/>
    <s v="Trained and authorized personnel only"/>
    <s v="Install additional physical guard"/>
    <n v="4"/>
    <n v="2"/>
    <n v="8"/>
    <s v="Reduced"/>
    <s v="Medium"/>
    <s v="Partially Implemented"/>
    <s v="HSE Officer"/>
    <x v="106"/>
  </r>
  <r>
    <s v="RA0118"/>
    <d v="2026-04-16T00:00:00"/>
    <x v="7"/>
    <s v="Office"/>
    <x v="16"/>
    <s v="Falling objects"/>
    <s v="Physical"/>
    <s v="Serious injury"/>
    <n v="5"/>
    <n v="5"/>
    <n v="25"/>
    <x v="2"/>
    <s v="PPE provided and mandatory"/>
    <s v="Increase inspection frequency"/>
    <n v="5"/>
    <n v="5"/>
    <n v="25"/>
    <s v="No Reduction"/>
    <s v="Critical"/>
    <s v="Pending"/>
    <s v="HSE Officer"/>
    <x v="107"/>
  </r>
  <r>
    <s v="RA0119"/>
    <d v="2026-05-27T00:00:00"/>
    <x v="7"/>
    <s v="Office"/>
    <x v="15"/>
    <s v="Vehicle-pedestrian interaction"/>
    <s v="Vehicle / Traffic"/>
    <s v="Fatal injury"/>
    <n v="5"/>
    <n v="2"/>
    <n v="10"/>
    <x v="1"/>
    <s v="Emergency response equipment available"/>
    <s v="Verify PTW and isolation before work"/>
    <n v="4"/>
    <n v="2"/>
    <n v="8"/>
    <s v="Reduced"/>
    <s v="Medium"/>
    <s v="Partially Implemented"/>
    <s v="HSE Officer"/>
    <x v="108"/>
  </r>
  <r>
    <s v="RA0120"/>
    <d v="2026-05-20T00:00:00"/>
    <x v="5"/>
    <s v="Plant Area B"/>
    <x v="10"/>
    <s v="Electric shock and trip hazards"/>
    <s v="Electrical"/>
    <s v="Electric shock"/>
    <n v="4"/>
    <n v="3"/>
    <n v="12"/>
    <x v="1"/>
    <s v="PPE provided and mandatory"/>
    <s v="Verify PTW and isolation before work"/>
    <n v="2"/>
    <n v="3"/>
    <n v="6"/>
    <s v="Reduced"/>
    <s v="Medium"/>
    <s v="Pending"/>
    <s v="HSE Engineer"/>
    <x v="109"/>
  </r>
  <r>
    <s v="RA0121"/>
    <d v="2026-07-11T00:00:00"/>
    <x v="7"/>
    <s v="Office"/>
    <x v="15"/>
    <s v="Vehicle-pedestrian interaction"/>
    <s v="Vehicle / Traffic"/>
    <s v="Collision"/>
    <n v="3"/>
    <n v="2"/>
    <n v="6"/>
    <x v="0"/>
    <s v="Safety signage and restricted access"/>
    <s v="Conduct refresher training"/>
    <n v="2"/>
    <n v="1"/>
    <n v="2"/>
    <s v="Reduced"/>
    <s v="Low"/>
    <s v="Pending"/>
    <s v="Department Supervisor"/>
    <x v="110"/>
  </r>
  <r>
    <s v="RA0122"/>
    <d v="2025-06-02T00:00:00"/>
    <x v="1"/>
    <s v="Office"/>
    <x v="12"/>
    <s v="Stored pressure and rotating parts"/>
    <s v="Mechanical"/>
    <s v="Amputation"/>
    <n v="3"/>
    <n v="2"/>
    <n v="6"/>
    <x v="0"/>
    <s v="Standard operating procedure and supervision"/>
    <s v="Update risk assessment and procedure"/>
    <n v="2"/>
    <n v="1"/>
    <n v="2"/>
    <s v="Reduced"/>
    <s v="Low"/>
    <s v="Implemented"/>
    <s v="Maintenance Supervisor"/>
    <x v="111"/>
  </r>
  <r>
    <s v="RA0123"/>
    <d v="2025-05-01T00:00:00"/>
    <x v="5"/>
    <s v="Plant Area B"/>
    <x v="10"/>
    <s v="Electric shock and trip hazards"/>
    <s v="Electrical"/>
    <s v="Burn"/>
    <n v="5"/>
    <n v="4"/>
    <n v="20"/>
    <x v="2"/>
    <s v="Emergency response equipment available"/>
    <s v="Install warning signs and barriers"/>
    <n v="5"/>
    <n v="4"/>
    <n v="20"/>
    <s v="Reduced"/>
    <s v="Critical"/>
    <s v="Partially Implemented"/>
    <s v="Production Supervisor"/>
    <x v="112"/>
  </r>
  <r>
    <s v="RA0124"/>
    <d v="2025-01-14T00:00:00"/>
    <x v="0"/>
    <s v="Utilities Area"/>
    <x v="9"/>
    <s v="Moving equipment / conveyor"/>
    <s v="Mechanical"/>
    <s v="Crush injury"/>
    <n v="5"/>
    <n v="5"/>
    <n v="25"/>
    <x v="2"/>
    <s v="PPE provided and mandatory"/>
    <s v="Conduct refresher training"/>
    <n v="5"/>
    <n v="4"/>
    <n v="20"/>
    <s v="Reduced"/>
    <s v="Critical"/>
    <s v="Pending"/>
    <s v="Maintenance Supervisor"/>
    <x v="113"/>
  </r>
  <r>
    <s v="RA0125"/>
    <d v="2026-07-21T00:00:00"/>
    <x v="4"/>
    <s v="Laboratory"/>
    <x v="4"/>
    <s v="Unexpected equipment movement"/>
    <s v="Mechanical"/>
    <s v="Crush injury"/>
    <n v="2"/>
    <n v="5"/>
    <n v="10"/>
    <x v="1"/>
    <s v="PPE provided and mandatory"/>
    <s v="Update risk assessment and procedure"/>
    <n v="1"/>
    <n v="5"/>
    <n v="5"/>
    <s v="Reduced"/>
    <s v="Medium"/>
    <s v="Implemented"/>
    <s v="HSE Officer"/>
    <x v="54"/>
  </r>
  <r>
    <s v="RA0126"/>
    <d v="2026-02-28T00:00:00"/>
    <x v="0"/>
    <s v="Plant Area B"/>
    <x v="13"/>
    <s v="Moving machinery and dust"/>
    <s v="Mechanical"/>
    <s v="Cuts"/>
    <n v="2"/>
    <n v="2"/>
    <n v="4"/>
    <x v="3"/>
    <s v="PPE provided and mandatory"/>
    <s v="Implement engineering control"/>
    <n v="1"/>
    <n v="1"/>
    <n v="1"/>
    <s v="Reduced"/>
    <s v="Low"/>
    <s v="Pending"/>
    <s v="Maintenance Supervisor"/>
    <x v="114"/>
  </r>
  <r>
    <s v="RA0127"/>
    <d v="2025-06-15T00:00:00"/>
    <x v="6"/>
    <s v="Plant Area B"/>
    <x v="14"/>
    <s v="High pressure release"/>
    <s v="Pressure"/>
    <s v="Impact injury"/>
    <n v="2"/>
    <n v="3"/>
    <n v="6"/>
    <x v="0"/>
    <s v="Preventive maintenance program"/>
    <s v="Increase inspection frequency"/>
    <n v="1"/>
    <n v="3"/>
    <n v="3"/>
    <s v="Reduced"/>
    <s v="Low"/>
    <s v="Partially Implemented"/>
    <s v="HSE Officer"/>
    <x v="115"/>
  </r>
  <r>
    <s v="RA0128"/>
    <d v="2026-05-21T00:00:00"/>
    <x v="6"/>
    <s v="Laboratory"/>
    <x v="18"/>
    <s v="High pressure and hot surfaces"/>
    <s v="Pressure / Thermal"/>
    <s v="Pressure-related injury"/>
    <n v="3"/>
    <n v="4"/>
    <n v="12"/>
    <x v="1"/>
    <s v="Emergency response equipment available"/>
    <s v="Install additional physical guard"/>
    <n v="1"/>
    <n v="3"/>
    <n v="3"/>
    <s v="Reduced"/>
    <s v="Low"/>
    <s v="Pending"/>
    <s v="Production Supervisor"/>
    <x v="116"/>
  </r>
  <r>
    <s v="RA0129"/>
    <d v="2026-09-23T00:00:00"/>
    <x v="0"/>
    <s v="Laboratory"/>
    <x v="11"/>
    <s v="Collapse and underground services"/>
    <s v="Excavation"/>
    <s v="Collapse injury"/>
    <n v="3"/>
    <n v="4"/>
    <n v="12"/>
    <x v="1"/>
    <s v="Preventive maintenance program"/>
    <s v="Conduct refresher training"/>
    <n v="2"/>
    <n v="3"/>
    <n v="6"/>
    <s v="Reduced"/>
    <s v="Medium"/>
    <s v="Partially Implemented"/>
    <s v="Production Supervisor"/>
    <x v="117"/>
  </r>
  <r>
    <s v="RA0130"/>
    <d v="2025-09-22T00:00:00"/>
    <x v="4"/>
    <s v="Office"/>
    <x v="17"/>
    <s v="Oxygen deficiency / toxic atmosphere"/>
    <s v="Confined Space"/>
    <s v="Serious injury"/>
    <n v="3"/>
    <n v="2"/>
    <n v="6"/>
    <x v="0"/>
    <s v="PPE provided and mandatory"/>
    <s v="Increase inspection frequency"/>
    <n v="2"/>
    <n v="1"/>
    <n v="2"/>
    <s v="Reduced"/>
    <s v="Low"/>
    <s v="Partially Implemented"/>
    <s v="Production Supervisor"/>
    <x v="118"/>
  </r>
  <r>
    <s v="RA0131"/>
    <d v="2025-06-21T00:00:00"/>
    <x v="4"/>
    <s v="Plant Area A"/>
    <x v="8"/>
    <s v="Stored energy and moving parts"/>
    <s v="Mechanical"/>
    <s v="Cuts"/>
    <n v="3"/>
    <n v="2"/>
    <n v="6"/>
    <x v="0"/>
    <s v="Safety signage and restricted access"/>
    <s v="Install additional physical guard"/>
    <n v="2"/>
    <n v="2"/>
    <n v="4"/>
    <s v="Reduced"/>
    <s v="Low"/>
    <s v="Pending"/>
    <s v="Production Supervisor"/>
    <x v="119"/>
  </r>
  <r>
    <s v="RA0132"/>
    <d v="2026-05-10T00:00:00"/>
    <x v="7"/>
    <s v="Utilities Area"/>
    <x v="15"/>
    <s v="Vehicle-pedestrian interaction"/>
    <s v="Vehicle / Traffic"/>
    <s v="Serious injury"/>
    <n v="3"/>
    <n v="2"/>
    <n v="6"/>
    <x v="0"/>
    <s v="Standard operating procedure and supervision"/>
    <s v="Conduct refresher training"/>
    <n v="2"/>
    <n v="1"/>
    <n v="2"/>
    <s v="Reduced"/>
    <s v="Low"/>
    <s v="Pending"/>
    <s v="Department Supervisor"/>
    <x v="120"/>
  </r>
  <r>
    <s v="RA0133"/>
    <d v="2025-03-27T00:00:00"/>
    <x v="6"/>
    <s v="Laboratory"/>
    <x v="14"/>
    <s v="High pressure release"/>
    <s v="Pressure"/>
    <s v="Serious injury"/>
    <n v="2"/>
    <n v="3"/>
    <n v="6"/>
    <x v="0"/>
    <s v="PPE provided and mandatory"/>
    <s v="Update risk assessment and procedure"/>
    <n v="2"/>
    <n v="2"/>
    <n v="4"/>
    <s v="Reduced"/>
    <s v="Low"/>
    <s v="Partially Implemented"/>
    <s v="Department Supervisor"/>
    <x v="121"/>
  </r>
  <r>
    <s v="RA0134"/>
    <d v="2025-11-03T00:00:00"/>
    <x v="4"/>
    <s v="Plant Area B"/>
    <x v="4"/>
    <s v="Unexpected equipment movement"/>
    <s v="Mechanical"/>
    <s v="Amputation"/>
    <n v="3"/>
    <n v="5"/>
    <n v="15"/>
    <x v="1"/>
    <s v="Toolbox talk before work"/>
    <s v="Install warning signs and barriers"/>
    <n v="2"/>
    <n v="5"/>
    <n v="10"/>
    <s v="Reduced"/>
    <s v="High"/>
    <s v="Implemented"/>
    <s v="HSE Officer"/>
    <x v="122"/>
  </r>
  <r>
    <s v="RA0135"/>
    <d v="2025-03-15T00:00:00"/>
    <x v="5"/>
    <s v="Warehouse"/>
    <x v="10"/>
    <s v="Electric shock and trip hazards"/>
    <s v="Electrical"/>
    <s v="Burn"/>
    <n v="5"/>
    <n v="5"/>
    <n v="25"/>
    <x v="2"/>
    <s v="Safety signage and restricted access"/>
    <s v="Conduct emergency drill"/>
    <n v="4"/>
    <n v="4"/>
    <n v="16"/>
    <s v="Reduced"/>
    <s v="High"/>
    <s v="Pending"/>
    <s v="Department Supervisor"/>
    <x v="123"/>
  </r>
  <r>
    <s v="RA0136"/>
    <d v="2025-03-15T00:00:00"/>
    <x v="5"/>
    <s v="Utilities Area"/>
    <x v="5"/>
    <s v="Electric shock and arc flash"/>
    <s v="Electrical"/>
    <s v="Electric shock"/>
    <n v="3"/>
    <n v="5"/>
    <n v="15"/>
    <x v="1"/>
    <s v="Preventive maintenance program"/>
    <s v="Provide specialized PPE"/>
    <n v="3"/>
    <n v="4"/>
    <n v="12"/>
    <s v="Reduced"/>
    <s v="High"/>
    <s v="Partially Implemented"/>
    <s v="Department Supervisor"/>
    <x v="124"/>
  </r>
  <r>
    <s v="RA0137"/>
    <d v="2026-11-08T00:00:00"/>
    <x v="4"/>
    <s v="Office"/>
    <x v="8"/>
    <s v="Stored energy and moving parts"/>
    <s v="Mechanical"/>
    <s v="Amputation"/>
    <n v="2"/>
    <n v="5"/>
    <n v="10"/>
    <x v="1"/>
    <s v="PPE provided and mandatory"/>
    <s v="Install warning signs and barriers"/>
    <n v="1"/>
    <n v="5"/>
    <n v="5"/>
    <s v="Reduced"/>
    <s v="Medium"/>
    <s v="Implemented"/>
    <s v="HSE Engineer"/>
    <x v="125"/>
  </r>
  <r>
    <s v="RA0138"/>
    <d v="2026-03-18T00:00:00"/>
    <x v="3"/>
    <s v="Laboratory"/>
    <x v="3"/>
    <s v="Ergonomic hazards and slips/trips"/>
    <s v="Ergonomic"/>
    <s v="Musculoskeletal strain"/>
    <n v="5"/>
    <n v="4"/>
    <n v="20"/>
    <x v="2"/>
    <s v="Emergency response equipment available"/>
    <s v="Increase inspection frequency"/>
    <n v="4"/>
    <n v="4"/>
    <n v="16"/>
    <s v="Reduced"/>
    <s v="High"/>
    <s v="Partially Implemented"/>
    <s v="Production Supervisor"/>
    <x v="126"/>
  </r>
  <r>
    <s v="RA0139"/>
    <d v="2025-11-27T00:00:00"/>
    <x v="4"/>
    <s v="Laboratory"/>
    <x v="8"/>
    <s v="Stored energy and moving parts"/>
    <s v="Mechanical"/>
    <s v="Crush injury"/>
    <n v="2"/>
    <n v="5"/>
    <n v="10"/>
    <x v="1"/>
    <s v="Toolbox talk before work"/>
    <s v="Conduct refresher training"/>
    <n v="1"/>
    <n v="5"/>
    <n v="5"/>
    <s v="Reduced"/>
    <s v="Medium"/>
    <s v="Partially Implemented"/>
    <s v="HSE Engineer"/>
    <x v="127"/>
  </r>
  <r>
    <s v="RA0140"/>
    <d v="2026-03-07T00:00:00"/>
    <x v="4"/>
    <s v="Workshop"/>
    <x v="8"/>
    <s v="Stored energy and moving parts"/>
    <s v="Mechanical"/>
    <s v="Amputation"/>
    <n v="2"/>
    <n v="4"/>
    <n v="8"/>
    <x v="0"/>
    <s v="Toolbox talk before work"/>
    <s v="Update risk assessment and procedure"/>
    <n v="1"/>
    <n v="3"/>
    <n v="3"/>
    <s v="Reduced"/>
    <s v="Low"/>
    <s v="Pending"/>
    <s v="Department Supervisor"/>
    <x v="128"/>
  </r>
  <r>
    <s v="RA0141"/>
    <d v="2025-06-05T00:00:00"/>
    <x v="5"/>
    <s v="Utilities Area"/>
    <x v="10"/>
    <s v="Electric shock and trip hazards"/>
    <s v="Electrical"/>
    <s v="Serious injury"/>
    <n v="3"/>
    <n v="5"/>
    <n v="15"/>
    <x v="1"/>
    <s v="Safety signage and restricted access"/>
    <s v="Update risk assessment and procedure"/>
    <n v="1"/>
    <n v="4"/>
    <n v="4"/>
    <s v="Reduced"/>
    <s v="Low"/>
    <s v="Partially Implemented"/>
    <s v="HSE Officer"/>
    <x v="106"/>
  </r>
  <r>
    <s v="RA0142"/>
    <d v="2026-10-05T00:00:00"/>
    <x v="4"/>
    <s v="Plant Area A"/>
    <x v="4"/>
    <s v="Unexpected equipment movement"/>
    <s v="Mechanical"/>
    <s v="Crush injury"/>
    <n v="5"/>
    <n v="5"/>
    <n v="25"/>
    <x v="2"/>
    <s v="Trained and authorized personnel only"/>
    <s v="Update risk assessment and procedure"/>
    <n v="4"/>
    <n v="4"/>
    <n v="16"/>
    <s v="Reduced"/>
    <s v="High"/>
    <s v="Implemented"/>
    <s v="HSE Officer"/>
    <x v="129"/>
  </r>
  <r>
    <s v="RA0143"/>
    <d v="2026-03-14T00:00:00"/>
    <x v="0"/>
    <s v="Utilities Area"/>
    <x v="9"/>
    <s v="Moving equipment / conveyor"/>
    <s v="Mechanical"/>
    <s v="Serious injury"/>
    <n v="2"/>
    <n v="2"/>
    <n v="4"/>
    <x v="3"/>
    <s v="Trained and authorized personnel only"/>
    <s v="Improve supervision and monitoring"/>
    <n v="1"/>
    <n v="2"/>
    <n v="2"/>
    <s v="Reduced"/>
    <s v="Low"/>
    <s v="Implemented"/>
    <s v="Department Supervisor"/>
    <x v="130"/>
  </r>
  <r>
    <s v="RA0144"/>
    <d v="2025-09-17T00:00:00"/>
    <x v="0"/>
    <s v="Plant Area B"/>
    <x v="6"/>
    <s v="Fall from height"/>
    <s v="Work at Height"/>
    <s v="Fatal injury"/>
    <n v="4"/>
    <n v="3"/>
    <n v="12"/>
    <x v="1"/>
    <s v="Safety signage and restricted access"/>
    <s v="Implement engineering control"/>
    <n v="2"/>
    <n v="2"/>
    <n v="4"/>
    <s v="Reduced"/>
    <s v="Low"/>
    <s v="Implemented"/>
    <s v="HSE Engineer"/>
    <x v="9"/>
  </r>
  <r>
    <s v="RA0145"/>
    <d v="2025-04-05T00:00:00"/>
    <x v="5"/>
    <s v="Workshop"/>
    <x v="10"/>
    <s v="Electric shock and trip hazards"/>
    <s v="Electrical"/>
    <s v="Burn"/>
    <n v="4"/>
    <n v="3"/>
    <n v="12"/>
    <x v="1"/>
    <s v="PPE provided and mandatory"/>
    <s v="Increase inspection frequency"/>
    <n v="3"/>
    <n v="3"/>
    <n v="9"/>
    <s v="Reduced"/>
    <s v="Medium"/>
    <s v="Implemented"/>
    <s v="Production Supervisor"/>
    <x v="131"/>
  </r>
  <r>
    <s v="RA0146"/>
    <d v="2026-01-18T00:00:00"/>
    <x v="0"/>
    <s v="Workshop"/>
    <x v="0"/>
    <s v="Hot surfaces and high temperature"/>
    <s v="Thermal"/>
    <s v="Heat stress"/>
    <n v="2"/>
    <n v="2"/>
    <n v="4"/>
    <x v="3"/>
    <s v="PPE provided and mandatory"/>
    <s v="Conduct refresher training"/>
    <n v="1"/>
    <n v="2"/>
    <n v="2"/>
    <s v="Reduced"/>
    <s v="Low"/>
    <s v="Implemented"/>
    <s v="HSE Officer"/>
    <x v="132"/>
  </r>
  <r>
    <s v="RA0147"/>
    <d v="2025-09-25T00:00:00"/>
    <x v="1"/>
    <s v="Office"/>
    <x v="12"/>
    <s v="Stored pressure and rotating parts"/>
    <s v="Mechanical"/>
    <s v="Amputation"/>
    <n v="3"/>
    <n v="3"/>
    <n v="9"/>
    <x v="0"/>
    <s v="Safety signage and restricted access"/>
    <s v="Improve supervision and monitoring"/>
    <n v="2"/>
    <n v="2"/>
    <n v="4"/>
    <s v="Reduced"/>
    <s v="Low"/>
    <s v="Pending"/>
    <s v="HSE Officer"/>
    <x v="133"/>
  </r>
  <r>
    <s v="RA0148"/>
    <d v="2026-03-13T00:00:00"/>
    <x v="5"/>
    <s v="Office"/>
    <x v="5"/>
    <s v="Electric shock and arc flash"/>
    <s v="Electrical"/>
    <s v="Burn"/>
    <n v="3"/>
    <n v="3"/>
    <n v="9"/>
    <x v="0"/>
    <s v="Preventive maintenance program"/>
    <s v="Implement engineering control"/>
    <n v="3"/>
    <n v="2"/>
    <n v="6"/>
    <s v="Reduced"/>
    <s v="Medium"/>
    <s v="Partially Implemented"/>
    <s v="HSE Officer"/>
    <x v="134"/>
  </r>
  <r>
    <s v="RA0149"/>
    <d v="2025-05-28T00:00:00"/>
    <x v="0"/>
    <s v="Plant Area B"/>
    <x v="6"/>
    <s v="Fall from height"/>
    <s v="Work at Height"/>
    <s v="Serious injury"/>
    <n v="4"/>
    <n v="4"/>
    <n v="16"/>
    <x v="1"/>
    <s v="Preventive maintenance program"/>
    <s v="Increase inspection frequency"/>
    <n v="3"/>
    <n v="3"/>
    <n v="9"/>
    <s v="Reduced"/>
    <s v="Medium"/>
    <s v="Pending"/>
    <s v="Department Supervisor"/>
    <x v="135"/>
  </r>
  <r>
    <s v="RA0150"/>
    <d v="2026-08-18T00:00:00"/>
    <x v="1"/>
    <s v="Office"/>
    <x v="1"/>
    <s v="Fire, fumes and hot work"/>
    <s v="Fire / Chemical"/>
    <s v="Burn"/>
    <n v="3"/>
    <n v="4"/>
    <n v="12"/>
    <x v="1"/>
    <s v="Emergency response equipment available"/>
    <s v="Improve supervision and monitoring"/>
    <n v="2"/>
    <n v="3"/>
    <n v="6"/>
    <s v="Reduced"/>
    <s v="Medium"/>
    <s v="Partially Implemented"/>
    <s v="HSE Engineer"/>
    <x v="136"/>
  </r>
  <r>
    <s v="RA0151"/>
    <d v="2025-03-02T00:00:00"/>
    <x v="6"/>
    <s v="Plant Area A"/>
    <x v="7"/>
    <s v="Chemical exposure and spills"/>
    <s v="Chemical"/>
    <s v="Respiratory irritation"/>
    <n v="4"/>
    <n v="5"/>
    <n v="20"/>
    <x v="2"/>
    <s v="Emergency response equipment available"/>
    <s v="Implement engineering control"/>
    <n v="3"/>
    <n v="4"/>
    <n v="12"/>
    <s v="Reduced"/>
    <s v="High"/>
    <s v="Partially Implemented"/>
    <s v="Production Supervisor"/>
    <x v="137"/>
  </r>
  <r>
    <s v="RA0152"/>
    <d v="2026-03-10T00:00:00"/>
    <x v="4"/>
    <s v="Warehouse"/>
    <x v="8"/>
    <s v="Stored energy and moving parts"/>
    <s v="Mechanical"/>
    <s v="Cuts"/>
    <n v="2"/>
    <n v="5"/>
    <n v="10"/>
    <x v="1"/>
    <s v="Emergency response equipment available"/>
    <s v="Increase inspection frequency"/>
    <n v="2"/>
    <n v="5"/>
    <n v="10"/>
    <s v="No Reduction"/>
    <s v="High"/>
    <s v="Implemented"/>
    <s v="Production Supervisor"/>
    <x v="138"/>
  </r>
  <r>
    <s v="RA0153"/>
    <d v="2026-08-14T00:00:00"/>
    <x v="0"/>
    <s v="Plant Area A"/>
    <x v="9"/>
    <s v="Moving equipment / conveyor"/>
    <s v="Mechanical"/>
    <s v="Crush injury"/>
    <n v="5"/>
    <n v="2"/>
    <n v="10"/>
    <x v="1"/>
    <s v="Safety signage and restricted access"/>
    <s v="Improve supervision and monitoring"/>
    <n v="3"/>
    <n v="1"/>
    <n v="3"/>
    <s v="Reduced"/>
    <s v="Low"/>
    <s v="Partially Implemented"/>
    <s v="Maintenance Supervisor"/>
    <x v="139"/>
  </r>
  <r>
    <s v="RA0154"/>
    <d v="2025-05-23T00:00:00"/>
    <x v="0"/>
    <s v="Plant Area B"/>
    <x v="13"/>
    <s v="Moving machinery and dust"/>
    <s v="Mechanical"/>
    <s v="Crush injury"/>
    <n v="2"/>
    <n v="4"/>
    <n v="8"/>
    <x v="0"/>
    <s v="PPE provided and mandatory"/>
    <s v="Improve supervision and monitoring"/>
    <n v="1"/>
    <n v="4"/>
    <n v="4"/>
    <s v="Reduced"/>
    <s v="Low"/>
    <s v="Partially Implemented"/>
    <s v="Maintenance Supervisor"/>
    <x v="140"/>
  </r>
  <r>
    <s v="RA0155"/>
    <d v="2025-10-17T00:00:00"/>
    <x v="7"/>
    <s v="Utilities Area"/>
    <x v="15"/>
    <s v="Vehicle-pedestrian interaction"/>
    <s v="Vehicle / Traffic"/>
    <s v="Collision"/>
    <n v="2"/>
    <n v="4"/>
    <n v="8"/>
    <x v="0"/>
    <s v="Preventive maintenance program"/>
    <s v="Conduct refresher training"/>
    <n v="1"/>
    <n v="4"/>
    <n v="4"/>
    <s v="Reduced"/>
    <s v="Low"/>
    <s v="Pending"/>
    <s v="Production Supervisor"/>
    <x v="141"/>
  </r>
  <r>
    <s v="RA0156"/>
    <d v="2026-08-08T00:00:00"/>
    <x v="6"/>
    <s v="Workshop"/>
    <x v="7"/>
    <s v="Chemical exposure and spills"/>
    <s v="Chemical"/>
    <s v="Respiratory irritation"/>
    <n v="5"/>
    <n v="3"/>
    <n v="15"/>
    <x v="1"/>
    <s v="Standard operating procedure and supervision"/>
    <s v="Conduct refresher training"/>
    <n v="3"/>
    <n v="3"/>
    <n v="9"/>
    <s v="Reduced"/>
    <s v="Medium"/>
    <s v="Partially Implemented"/>
    <s v="HSE Engineer"/>
    <x v="142"/>
  </r>
  <r>
    <s v="RA0157"/>
    <d v="2026-03-21T00:00:00"/>
    <x v="4"/>
    <s v="Warehouse"/>
    <x v="8"/>
    <s v="Stored energy and moving parts"/>
    <s v="Mechanical"/>
    <s v="Cuts"/>
    <n v="5"/>
    <n v="3"/>
    <n v="15"/>
    <x v="1"/>
    <s v="Standard operating procedure and supervision"/>
    <s v="Verify PTW and isolation before work"/>
    <n v="4"/>
    <n v="3"/>
    <n v="12"/>
    <s v="Reduced"/>
    <s v="High"/>
    <s v="Pending"/>
    <s v="HSE Engineer"/>
    <x v="143"/>
  </r>
  <r>
    <s v="RA0158"/>
    <d v="2025-11-05T00:00:00"/>
    <x v="0"/>
    <s v="Laboratory"/>
    <x v="11"/>
    <s v="Collapse and underground services"/>
    <s v="Excavation"/>
    <s v="Fatal injury"/>
    <n v="5"/>
    <n v="4"/>
    <n v="20"/>
    <x v="2"/>
    <s v="Standard operating procedure and supervision"/>
    <s v="Update risk assessment and procedure"/>
    <n v="4"/>
    <n v="3"/>
    <n v="12"/>
    <s v="Reduced"/>
    <s v="High"/>
    <s v="Pending"/>
    <s v="Production Supervisor"/>
    <x v="6"/>
  </r>
  <r>
    <s v="RA0159"/>
    <d v="2026-05-28T00:00:00"/>
    <x v="5"/>
    <s v="Plant Area A"/>
    <x v="10"/>
    <s v="Electric shock and trip hazards"/>
    <s v="Electrical"/>
    <s v="Burn"/>
    <n v="5"/>
    <n v="5"/>
    <n v="25"/>
    <x v="2"/>
    <s v="Emergency response equipment available"/>
    <s v="Install warning signs and barriers"/>
    <n v="3"/>
    <n v="5"/>
    <n v="15"/>
    <s v="Reduced"/>
    <s v="High"/>
    <s v="Pending"/>
    <s v="Maintenance Supervisor"/>
    <x v="144"/>
  </r>
  <r>
    <s v="RA0160"/>
    <d v="2026-07-23T00:00:00"/>
    <x v="7"/>
    <s v="Laboratory"/>
    <x v="15"/>
    <s v="Vehicle-pedestrian interaction"/>
    <s v="Vehicle / Traffic"/>
    <s v="Fatal injury"/>
    <n v="4"/>
    <n v="3"/>
    <n v="12"/>
    <x v="1"/>
    <s v="Safety signage and restricted access"/>
    <s v="Install additional physical guard"/>
    <n v="3"/>
    <n v="3"/>
    <n v="9"/>
    <s v="Reduced"/>
    <s v="Medium"/>
    <s v="Implemented"/>
    <s v="Maintenance Supervisor"/>
    <x v="17"/>
  </r>
  <r>
    <s v="RA0161"/>
    <d v="2025-06-20T00:00:00"/>
    <x v="5"/>
    <s v="Plant Area A"/>
    <x v="10"/>
    <s v="Electric shock and trip hazards"/>
    <s v="Electrical"/>
    <s v="Serious injury"/>
    <n v="2"/>
    <n v="2"/>
    <n v="4"/>
    <x v="3"/>
    <s v="Safety signage and restricted access"/>
    <s v="Improve supervision and monitoring"/>
    <n v="1"/>
    <n v="2"/>
    <n v="2"/>
    <s v="Reduced"/>
    <s v="Low"/>
    <s v="Partially Implemented"/>
    <s v="Production Supervisor"/>
    <x v="145"/>
  </r>
  <r>
    <s v="RA0162"/>
    <d v="2026-11-28T00:00:00"/>
    <x v="4"/>
    <s v="Plant Area A"/>
    <x v="4"/>
    <s v="Unexpected equipment movement"/>
    <s v="Mechanical"/>
    <s v="Serious injury"/>
    <n v="2"/>
    <n v="3"/>
    <n v="6"/>
    <x v="0"/>
    <s v="Preventive maintenance program"/>
    <s v="Increase inspection frequency"/>
    <n v="1"/>
    <n v="2"/>
    <n v="2"/>
    <s v="Reduced"/>
    <s v="Low"/>
    <s v="Pending"/>
    <s v="HSE Engineer"/>
    <x v="146"/>
  </r>
  <r>
    <s v="RA0163"/>
    <d v="2026-07-03T00:00:00"/>
    <x v="4"/>
    <s v="Warehouse"/>
    <x v="4"/>
    <s v="Unexpected equipment movement"/>
    <s v="Mechanical"/>
    <s v="Cuts"/>
    <n v="5"/>
    <n v="2"/>
    <n v="10"/>
    <x v="1"/>
    <s v="PPE provided and mandatory"/>
    <s v="Conduct emergency drill"/>
    <n v="3"/>
    <n v="2"/>
    <n v="6"/>
    <s v="Reduced"/>
    <s v="Medium"/>
    <s v="Partially Implemented"/>
    <s v="HSE Engineer"/>
    <x v="147"/>
  </r>
  <r>
    <s v="RA0164"/>
    <d v="2026-10-03T00:00:00"/>
    <x v="0"/>
    <s v="Office"/>
    <x v="0"/>
    <s v="Hot surfaces and high temperature"/>
    <s v="Thermal"/>
    <s v="Heat stress"/>
    <n v="4"/>
    <n v="5"/>
    <n v="20"/>
    <x v="2"/>
    <s v="Emergency response equipment available"/>
    <s v="Install additional physical guard"/>
    <n v="3"/>
    <n v="4"/>
    <n v="12"/>
    <s v="Reduced"/>
    <s v="High"/>
    <s v="Pending"/>
    <s v="HSE Officer"/>
    <x v="84"/>
  </r>
  <r>
    <s v="RA0165"/>
    <d v="2025-04-08T00:00:00"/>
    <x v="3"/>
    <s v="Workshop"/>
    <x v="3"/>
    <s v="Ergonomic hazards and slips/trips"/>
    <s v="Ergonomic"/>
    <s v="Musculoskeletal strain"/>
    <n v="5"/>
    <n v="4"/>
    <n v="20"/>
    <x v="2"/>
    <s v="Safety signage and restricted access"/>
    <s v="Conduct refresher training"/>
    <n v="4"/>
    <n v="3"/>
    <n v="12"/>
    <s v="Reduced"/>
    <s v="High"/>
    <s v="Implemented"/>
    <s v="Maintenance Supervisor"/>
    <x v="148"/>
  </r>
  <r>
    <s v="RA0166"/>
    <d v="2026-06-16T00:00:00"/>
    <x v="1"/>
    <s v="Plant Area B"/>
    <x v="1"/>
    <s v="Fire, fumes and hot work"/>
    <s v="Fire / Chemical"/>
    <s v="Burn"/>
    <n v="5"/>
    <n v="5"/>
    <n v="25"/>
    <x v="2"/>
    <s v="Preventive maintenance program"/>
    <s v="Update risk assessment and procedure"/>
    <n v="4"/>
    <n v="4"/>
    <n v="16"/>
    <s v="Reduced"/>
    <s v="High"/>
    <s v="Implemented"/>
    <s v="Production Supervisor"/>
    <x v="149"/>
  </r>
  <r>
    <s v="RA0167"/>
    <d v="2025-10-05T00:00:00"/>
    <x v="7"/>
    <s v="Laboratory"/>
    <x v="16"/>
    <s v="Falling objects"/>
    <s v="Physical"/>
    <s v="Head injury"/>
    <n v="4"/>
    <n v="3"/>
    <n v="12"/>
    <x v="1"/>
    <s v="Machine guarding and routine inspection"/>
    <s v="Conduct refresher training"/>
    <n v="3"/>
    <n v="3"/>
    <n v="9"/>
    <s v="Reduced"/>
    <s v="Medium"/>
    <s v="Implemented"/>
    <s v="HSE Engineer"/>
    <x v="150"/>
  </r>
  <r>
    <s v="RA0168"/>
    <d v="2025-11-21T00:00:00"/>
    <x v="2"/>
    <s v="Utilities Area"/>
    <x v="2"/>
    <s v="Chemical exposure"/>
    <s v="Chemical"/>
    <s v="Skin irritation"/>
    <n v="4"/>
    <n v="4"/>
    <n v="16"/>
    <x v="1"/>
    <s v="Preventive maintenance program"/>
    <s v="Conduct emergency drill"/>
    <n v="3"/>
    <n v="4"/>
    <n v="12"/>
    <s v="Reduced"/>
    <s v="High"/>
    <s v="Pending"/>
    <s v="Department Supervisor"/>
    <x v="151"/>
  </r>
  <r>
    <s v="RA0169"/>
    <d v="2026-06-24T00:00:00"/>
    <x v="4"/>
    <s v="Warehouse"/>
    <x v="4"/>
    <s v="Unexpected equipment movement"/>
    <s v="Mechanical"/>
    <s v="Amputation"/>
    <n v="5"/>
    <n v="4"/>
    <n v="20"/>
    <x v="2"/>
    <s v="Machine guarding and routine inspection"/>
    <s v="Implement engineering control"/>
    <n v="4"/>
    <n v="3"/>
    <n v="12"/>
    <s v="Reduced"/>
    <s v="High"/>
    <s v="Implemented"/>
    <s v="Production Supervisor"/>
    <x v="152"/>
  </r>
  <r>
    <s v="RA0170"/>
    <d v="2026-11-08T00:00:00"/>
    <x v="4"/>
    <s v="Utilities Area"/>
    <x v="8"/>
    <s v="Stored energy and moving parts"/>
    <s v="Mechanical"/>
    <s v="Cuts"/>
    <n v="2"/>
    <n v="3"/>
    <n v="6"/>
    <x v="0"/>
    <s v="Preventive maintenance program"/>
    <s v="Update risk assessment and procedure"/>
    <n v="1"/>
    <n v="2"/>
    <n v="2"/>
    <s v="Reduced"/>
    <s v="Low"/>
    <s v="Implemented"/>
    <s v="Maintenance Supervisor"/>
    <x v="153"/>
  </r>
  <r>
    <s v="RA0171"/>
    <d v="2026-06-14T00:00:00"/>
    <x v="5"/>
    <s v="Laboratory"/>
    <x v="5"/>
    <s v="Electric shock and arc flash"/>
    <s v="Electrical"/>
    <s v="Serious injury"/>
    <n v="2"/>
    <n v="3"/>
    <n v="6"/>
    <x v="0"/>
    <s v="Trained and authorized personnel only"/>
    <s v="Implement engineering control"/>
    <n v="1"/>
    <n v="3"/>
    <n v="3"/>
    <s v="Reduced"/>
    <s v="Low"/>
    <s v="Pending"/>
    <s v="HSE Engineer"/>
    <x v="154"/>
  </r>
  <r>
    <s v="RA0172"/>
    <d v="2025-10-07T00:00:00"/>
    <x v="6"/>
    <s v="Plant Area B"/>
    <x v="14"/>
    <s v="High pressure release"/>
    <s v="Pressure"/>
    <s v="Serious injury"/>
    <n v="2"/>
    <n v="2"/>
    <n v="4"/>
    <x v="3"/>
    <s v="Emergency response equipment available"/>
    <s v="Implement engineering control"/>
    <n v="1"/>
    <n v="2"/>
    <n v="2"/>
    <s v="Reduced"/>
    <s v="Low"/>
    <s v="Partially Implemented"/>
    <s v="Production Supervisor"/>
    <x v="131"/>
  </r>
  <r>
    <s v="RA0173"/>
    <d v="2026-05-30T00:00:00"/>
    <x v="3"/>
    <s v="Plant Area A"/>
    <x v="3"/>
    <s v="Ergonomic hazards and slips/trips"/>
    <s v="Ergonomic"/>
    <s v="Slip/trip injury"/>
    <n v="4"/>
    <n v="3"/>
    <n v="12"/>
    <x v="1"/>
    <s v="Emergency response equipment available"/>
    <s v="Improve supervision and monitoring"/>
    <n v="3"/>
    <n v="3"/>
    <n v="9"/>
    <s v="Reduced"/>
    <s v="Medium"/>
    <s v="Pending"/>
    <s v="HSE Engineer"/>
    <x v="10"/>
  </r>
  <r>
    <s v="RA0174"/>
    <d v="2025-06-08T00:00:00"/>
    <x v="4"/>
    <s v="Utilities Area"/>
    <x v="8"/>
    <s v="Stored energy and moving parts"/>
    <s v="Mechanical"/>
    <s v="Crush injury"/>
    <n v="3"/>
    <n v="2"/>
    <n v="6"/>
    <x v="0"/>
    <s v="Trained and authorized personnel only"/>
    <s v="Conduct emergency drill"/>
    <n v="3"/>
    <n v="2"/>
    <n v="6"/>
    <s v="Reduced"/>
    <s v="Medium"/>
    <s v="Pending"/>
    <s v="Maintenance Supervisor"/>
    <x v="155"/>
  </r>
  <r>
    <s v="RA0175"/>
    <d v="2025-04-02T00:00:00"/>
    <x v="0"/>
    <s v="Plant Area B"/>
    <x v="0"/>
    <s v="Hot surfaces and high temperature"/>
    <s v="Thermal"/>
    <s v="Serious burn"/>
    <n v="4"/>
    <n v="2"/>
    <n v="8"/>
    <x v="0"/>
    <s v="Preventive maintenance program"/>
    <s v="Provide specialized PPE"/>
    <n v="3"/>
    <n v="1"/>
    <n v="3"/>
    <s v="Reduced"/>
    <s v="Low"/>
    <s v="Pending"/>
    <s v="Maintenance Supervisor"/>
    <x v="156"/>
  </r>
  <r>
    <s v="RA0176"/>
    <d v="2025-09-05T00:00:00"/>
    <x v="7"/>
    <s v="Plant Area B"/>
    <x v="16"/>
    <s v="Falling objects"/>
    <s v="Physical"/>
    <s v="Serious injury"/>
    <n v="3"/>
    <n v="4"/>
    <n v="12"/>
    <x v="1"/>
    <s v="Toolbox talk before work"/>
    <s v="Update risk assessment and procedure"/>
    <n v="2"/>
    <n v="4"/>
    <n v="8"/>
    <s v="Reduced"/>
    <s v="Medium"/>
    <s v="Partially Implemented"/>
    <s v="HSE Engineer"/>
    <x v="157"/>
  </r>
  <r>
    <s v="RA0177"/>
    <d v="2025-09-14T00:00:00"/>
    <x v="1"/>
    <s v="Workshop"/>
    <x v="1"/>
    <s v="Fire, fumes and hot work"/>
    <s v="Fire / Chemical"/>
    <s v="Fire-related injury"/>
    <n v="5"/>
    <n v="4"/>
    <n v="20"/>
    <x v="2"/>
    <s v="Trained and authorized personnel only"/>
    <s v="Implement engineering control"/>
    <n v="4"/>
    <n v="4"/>
    <n v="16"/>
    <s v="Reduced"/>
    <s v="High"/>
    <s v="Implemented"/>
    <s v="HSE Engineer"/>
    <x v="158"/>
  </r>
  <r>
    <s v="RA0178"/>
    <d v="2025-04-05T00:00:00"/>
    <x v="6"/>
    <s v="Warehouse"/>
    <x v="14"/>
    <s v="High pressure release"/>
    <s v="Pressure"/>
    <s v="Impact injury"/>
    <n v="5"/>
    <n v="5"/>
    <n v="25"/>
    <x v="2"/>
    <s v="Safety signage and restricted access"/>
    <s v="Update risk assessment and procedure"/>
    <n v="4"/>
    <n v="4"/>
    <n v="16"/>
    <s v="Reduced"/>
    <s v="High"/>
    <s v="Implemented"/>
    <s v="HSE Officer"/>
    <x v="159"/>
  </r>
  <r>
    <s v="RA0179"/>
    <d v="2025-12-14T00:00:00"/>
    <x v="3"/>
    <s v="Workshop"/>
    <x v="3"/>
    <s v="Ergonomic hazards and slips/trips"/>
    <s v="Ergonomic"/>
    <s v="Musculoskeletal strain"/>
    <n v="3"/>
    <n v="3"/>
    <n v="9"/>
    <x v="0"/>
    <s v="Preventive maintenance program"/>
    <s v="Improve supervision and monitoring"/>
    <n v="2"/>
    <n v="2"/>
    <n v="4"/>
    <s v="Reduced"/>
    <s v="Low"/>
    <s v="Implemented"/>
    <s v="Department Supervisor"/>
    <x v="160"/>
  </r>
  <r>
    <s v="RA0180"/>
    <d v="2025-05-13T00:00:00"/>
    <x v="5"/>
    <s v="Plant Area A"/>
    <x v="10"/>
    <s v="Electric shock and trip hazards"/>
    <s v="Electrical"/>
    <s v="Serious injury"/>
    <n v="2"/>
    <n v="4"/>
    <n v="8"/>
    <x v="0"/>
    <s v="Preventive maintenance program"/>
    <s v="Conduct emergency drill"/>
    <n v="1"/>
    <n v="4"/>
    <n v="4"/>
    <s v="Reduced"/>
    <s v="Low"/>
    <s v="Implemented"/>
    <s v="Production Supervisor"/>
    <x v="161"/>
  </r>
  <r>
    <s v="RA0181"/>
    <d v="2025-05-15T00:00:00"/>
    <x v="6"/>
    <s v="Workshop"/>
    <x v="18"/>
    <s v="High pressure and hot surfaces"/>
    <s v="Pressure / Thermal"/>
    <s v="Serious injury"/>
    <n v="2"/>
    <n v="4"/>
    <n v="8"/>
    <x v="0"/>
    <s v="Standard operating procedure and supervision"/>
    <s v="Implement engineering control"/>
    <n v="1"/>
    <n v="3"/>
    <n v="3"/>
    <s v="Reduced"/>
    <s v="Low"/>
    <s v="Partially Implemented"/>
    <s v="Maintenance Supervisor"/>
    <x v="162"/>
  </r>
  <r>
    <s v="RA0182"/>
    <d v="2025-06-21T00:00:00"/>
    <x v="4"/>
    <s v="Utilities Area"/>
    <x v="8"/>
    <s v="Stored energy and moving parts"/>
    <s v="Mechanical"/>
    <s v="Serious injury"/>
    <n v="3"/>
    <n v="5"/>
    <n v="15"/>
    <x v="1"/>
    <s v="Preventive maintenance program"/>
    <s v="Conduct refresher training"/>
    <n v="1"/>
    <n v="5"/>
    <n v="5"/>
    <s v="Reduced"/>
    <s v="Medium"/>
    <s v="Pending"/>
    <s v="Production Supervisor"/>
    <x v="163"/>
  </r>
  <r>
    <s v="RA0183"/>
    <d v="2026-11-19T00:00:00"/>
    <x v="5"/>
    <s v="Utilities Area"/>
    <x v="10"/>
    <s v="Electric shock and trip hazards"/>
    <s v="Electrical"/>
    <s v="Burn"/>
    <n v="2"/>
    <n v="2"/>
    <n v="4"/>
    <x v="3"/>
    <s v="Machine guarding and routine inspection"/>
    <s v="Increase inspection frequency"/>
    <n v="1"/>
    <n v="1"/>
    <n v="1"/>
    <s v="Reduced"/>
    <s v="Low"/>
    <s v="Pending"/>
    <s v="Maintenance Supervisor"/>
    <x v="164"/>
  </r>
  <r>
    <s v="RA0184"/>
    <d v="2025-04-23T00:00:00"/>
    <x v="6"/>
    <s v="Utilities Area"/>
    <x v="18"/>
    <s v="High pressure and hot surfaces"/>
    <s v="Pressure / Thermal"/>
    <s v="Pressure-related injury"/>
    <n v="5"/>
    <n v="4"/>
    <n v="20"/>
    <x v="2"/>
    <s v="Safety signage and restricted access"/>
    <s v="Implement engineering control"/>
    <n v="4"/>
    <n v="4"/>
    <n v="16"/>
    <s v="Reduced"/>
    <s v="High"/>
    <s v="Implemented"/>
    <s v="HSE Officer"/>
    <x v="165"/>
  </r>
  <r>
    <s v="RA0185"/>
    <d v="2026-03-10T00:00:00"/>
    <x v="6"/>
    <s v="Plant Area B"/>
    <x v="7"/>
    <s v="Chemical exposure and spills"/>
    <s v="Chemical"/>
    <s v="Respiratory irritation"/>
    <n v="2"/>
    <n v="2"/>
    <n v="4"/>
    <x v="3"/>
    <s v="Trained and authorized personnel only"/>
    <s v="Increase inspection frequency"/>
    <n v="1"/>
    <n v="2"/>
    <n v="2"/>
    <s v="Reduced"/>
    <s v="Low"/>
    <s v="Partially Implemented"/>
    <s v="HSE Engineer"/>
    <x v="21"/>
  </r>
  <r>
    <s v="RA0186"/>
    <d v="2025-10-29T00:00:00"/>
    <x v="4"/>
    <s v="Office"/>
    <x v="17"/>
    <s v="Oxygen deficiency / toxic atmosphere"/>
    <s v="Confined Space"/>
    <s v="Asphyxiation risk"/>
    <n v="2"/>
    <n v="4"/>
    <n v="8"/>
    <x v="0"/>
    <s v="Machine guarding and routine inspection"/>
    <s v="Implement engineering control"/>
    <n v="1"/>
    <n v="4"/>
    <n v="4"/>
    <s v="Reduced"/>
    <s v="Low"/>
    <s v="Partially Implemented"/>
    <s v="Department Supervisor"/>
    <x v="166"/>
  </r>
  <r>
    <s v="RA0187"/>
    <d v="2026-06-22T00:00:00"/>
    <x v="0"/>
    <s v="Plant Area A"/>
    <x v="13"/>
    <s v="Moving machinery and dust"/>
    <s v="Mechanical"/>
    <s v="Serious injury"/>
    <n v="2"/>
    <n v="5"/>
    <n v="10"/>
    <x v="1"/>
    <s v="Machine guarding and routine inspection"/>
    <s v="Install warning signs and barriers"/>
    <n v="2"/>
    <n v="5"/>
    <n v="10"/>
    <s v="No Reduction"/>
    <s v="High"/>
    <s v="Partially Implemented"/>
    <s v="HSE Officer"/>
    <x v="167"/>
  </r>
  <r>
    <s v="RA0188"/>
    <d v="2026-03-20T00:00:00"/>
    <x v="0"/>
    <s v="Laboratory"/>
    <x v="9"/>
    <s v="Moving equipment / conveyor"/>
    <s v="Mechanical"/>
    <s v="Cuts"/>
    <n v="3"/>
    <n v="3"/>
    <n v="9"/>
    <x v="0"/>
    <s v="Safety signage and restricted access"/>
    <s v="Improve supervision and monitoring"/>
    <n v="3"/>
    <n v="3"/>
    <n v="9"/>
    <s v="No Reduction"/>
    <s v="Medium"/>
    <s v="Implemented"/>
    <s v="HSE Engineer"/>
    <x v="168"/>
  </r>
  <r>
    <s v="RA0189"/>
    <d v="2025-03-30T00:00:00"/>
    <x v="1"/>
    <s v="Utilities Area"/>
    <x v="1"/>
    <s v="Fire, fumes and hot work"/>
    <s v="Fire / Chemical"/>
    <s v="Respiratory irritation"/>
    <n v="3"/>
    <n v="3"/>
    <n v="9"/>
    <x v="0"/>
    <s v="Emergency response equipment available"/>
    <s v="Conduct refresher training"/>
    <n v="2"/>
    <n v="3"/>
    <n v="6"/>
    <s v="Reduced"/>
    <s v="Medium"/>
    <s v="Implemented"/>
    <s v="Maintenance Supervisor"/>
    <x v="169"/>
  </r>
  <r>
    <s v="RA0190"/>
    <d v="2026-08-13T00:00:00"/>
    <x v="3"/>
    <s v="Laboratory"/>
    <x v="3"/>
    <s v="Ergonomic hazards and slips/trips"/>
    <s v="Ergonomic"/>
    <s v="Slip/trip injury"/>
    <n v="5"/>
    <n v="2"/>
    <n v="10"/>
    <x v="1"/>
    <s v="Safety signage and restricted access"/>
    <s v="Conduct refresher training"/>
    <n v="4"/>
    <n v="1"/>
    <n v="4"/>
    <s v="Reduced"/>
    <s v="Low"/>
    <s v="Partially Implemented"/>
    <s v="HSE Officer"/>
    <x v="170"/>
  </r>
  <r>
    <s v="RA0191"/>
    <d v="2026-12-16T00:00:00"/>
    <x v="4"/>
    <s v="Workshop"/>
    <x v="8"/>
    <s v="Stored energy and moving parts"/>
    <s v="Mechanical"/>
    <s v="Amputation"/>
    <n v="4"/>
    <n v="4"/>
    <n v="16"/>
    <x v="1"/>
    <s v="Emergency response equipment available"/>
    <s v="Verify PTW and isolation before work"/>
    <n v="4"/>
    <n v="4"/>
    <n v="16"/>
    <s v="No Reduction"/>
    <s v="High"/>
    <s v="Partially Implemented"/>
    <s v="HSE Engineer"/>
    <x v="171"/>
  </r>
  <r>
    <s v="RA0192"/>
    <d v="2026-04-20T00:00:00"/>
    <x v="6"/>
    <s v="Utilities Area"/>
    <x v="7"/>
    <s v="Chemical exposure and spills"/>
    <s v="Chemical"/>
    <s v="Skin irritation"/>
    <n v="5"/>
    <n v="4"/>
    <n v="20"/>
    <x v="2"/>
    <s v="Machine guarding and routine inspection"/>
    <s v="Install additional physical guard"/>
    <n v="5"/>
    <n v="4"/>
    <n v="20"/>
    <s v="No Reduction"/>
    <s v="Critical"/>
    <s v="Implemented"/>
    <s v="HSE Engineer"/>
    <x v="172"/>
  </r>
  <r>
    <s v="RA0193"/>
    <d v="2025-04-16T00:00:00"/>
    <x v="0"/>
    <s v="Workshop"/>
    <x v="13"/>
    <s v="Moving machinery and dust"/>
    <s v="Mechanical"/>
    <s v="Cuts"/>
    <n v="3"/>
    <n v="4"/>
    <n v="12"/>
    <x v="1"/>
    <s v="Emergency response equipment available"/>
    <s v="Install warning signs and barriers"/>
    <n v="2"/>
    <n v="4"/>
    <n v="8"/>
    <s v="Reduced"/>
    <s v="Medium"/>
    <s v="Implemented"/>
    <s v="Department Supervisor"/>
    <x v="173"/>
  </r>
  <r>
    <s v="RA0194"/>
    <d v="2025-06-20T00:00:00"/>
    <x v="4"/>
    <s v="Office"/>
    <x v="4"/>
    <s v="Unexpected equipment movement"/>
    <s v="Mechanical"/>
    <s v="Crush injury"/>
    <n v="4"/>
    <n v="2"/>
    <n v="8"/>
    <x v="0"/>
    <s v="Preventive maintenance program"/>
    <s v="Provide specialized PPE"/>
    <n v="3"/>
    <n v="2"/>
    <n v="6"/>
    <s v="Reduced"/>
    <s v="Medium"/>
    <s v="Partially Implemented"/>
    <s v="HSE Officer"/>
    <x v="174"/>
  </r>
  <r>
    <s v="RA0195"/>
    <d v="2025-11-21T00:00:00"/>
    <x v="3"/>
    <s v="Utilities Area"/>
    <x v="3"/>
    <s v="Ergonomic hazards and slips/trips"/>
    <s v="Ergonomic"/>
    <s v="Musculoskeletal strain"/>
    <n v="2"/>
    <n v="2"/>
    <n v="4"/>
    <x v="3"/>
    <s v="Safety signage and restricted access"/>
    <s v="Provide specialized PPE"/>
    <n v="2"/>
    <n v="1"/>
    <n v="2"/>
    <s v="Reduced"/>
    <s v="Low"/>
    <s v="Pending"/>
    <s v="HSE Officer"/>
    <x v="151"/>
  </r>
  <r>
    <s v="RA0196"/>
    <d v="2025-05-20T00:00:00"/>
    <x v="0"/>
    <s v="Office"/>
    <x v="9"/>
    <s v="Moving equipment / conveyor"/>
    <s v="Mechanical"/>
    <s v="Serious injury"/>
    <n v="4"/>
    <n v="2"/>
    <n v="8"/>
    <x v="0"/>
    <s v="Safety signage and restricted access"/>
    <s v="Conduct refresher training"/>
    <n v="2"/>
    <n v="1"/>
    <n v="2"/>
    <s v="Reduced"/>
    <s v="Low"/>
    <s v="Implemented"/>
    <s v="HSE Engineer"/>
    <x v="175"/>
  </r>
  <r>
    <s v="RA0197"/>
    <d v="2026-08-15T00:00:00"/>
    <x v="0"/>
    <s v="Workshop"/>
    <x v="0"/>
    <s v="Hot surfaces and high temperature"/>
    <s v="Thermal"/>
    <s v="Heat stress"/>
    <n v="5"/>
    <n v="2"/>
    <n v="10"/>
    <x v="1"/>
    <s v="Toolbox talk before work"/>
    <s v="Conduct emergency drill"/>
    <n v="5"/>
    <n v="1"/>
    <n v="5"/>
    <s v="Reduced"/>
    <s v="Medium"/>
    <s v="Implemented"/>
    <s v="Maintenance Supervisor"/>
    <x v="30"/>
  </r>
  <r>
    <s v="RA0198"/>
    <d v="2026-01-22T00:00:00"/>
    <x v="4"/>
    <s v="Office"/>
    <x v="17"/>
    <s v="Oxygen deficiency / toxic atmosphere"/>
    <s v="Confined Space"/>
    <s v="Asphyxiation risk"/>
    <n v="4"/>
    <n v="4"/>
    <n v="16"/>
    <x v="1"/>
    <s v="Standard operating procedure and supervision"/>
    <s v="Verify PTW and isolation before work"/>
    <n v="3"/>
    <n v="3"/>
    <n v="9"/>
    <s v="Reduced"/>
    <s v="Medium"/>
    <s v="Implemented"/>
    <s v="Maintenance Supervisor"/>
    <x v="93"/>
  </r>
  <r>
    <s v="RA0199"/>
    <d v="2026-04-12T00:00:00"/>
    <x v="6"/>
    <s v="Warehouse"/>
    <x v="14"/>
    <s v="High pressure release"/>
    <s v="Pressure"/>
    <s v="Impact injury"/>
    <n v="2"/>
    <n v="2"/>
    <n v="4"/>
    <x v="3"/>
    <s v="Machine guarding and routine inspection"/>
    <s v="Increase inspection frequency"/>
    <n v="1"/>
    <n v="1"/>
    <n v="1"/>
    <s v="Reduced"/>
    <s v="Low"/>
    <s v="Implemented"/>
    <s v="HSE Officer"/>
    <x v="176"/>
  </r>
  <r>
    <s v="RA0200"/>
    <d v="2025-05-04T00:00:00"/>
    <x v="6"/>
    <s v="Plant Area B"/>
    <x v="18"/>
    <s v="High pressure and hot surfaces"/>
    <s v="Pressure / Thermal"/>
    <s v="Pressure-related injury"/>
    <n v="2"/>
    <n v="2"/>
    <n v="4"/>
    <x v="3"/>
    <s v="Preventive maintenance program"/>
    <s v="Increase inspection frequency"/>
    <n v="1"/>
    <n v="2"/>
    <n v="2"/>
    <s v="Reduced"/>
    <s v="Low"/>
    <s v="Partially Implemented"/>
    <s v="Maintenance Supervisor"/>
    <x v="77"/>
  </r>
  <r>
    <s v="RA0201"/>
    <d v="2025-11-22T00:00:00"/>
    <x v="1"/>
    <s v="Office"/>
    <x v="1"/>
    <s v="Fire, fumes and hot work"/>
    <s v="Fire / Chemical"/>
    <s v="Burn"/>
    <n v="5"/>
    <n v="2"/>
    <n v="10"/>
    <x v="1"/>
    <s v="Toolbox talk before work"/>
    <s v="Install warning signs and barriers"/>
    <n v="4"/>
    <n v="2"/>
    <n v="8"/>
    <s v="Reduced"/>
    <s v="Medium"/>
    <s v="Partially Implemented"/>
    <s v="Production Supervisor"/>
    <x v="177"/>
  </r>
  <r>
    <s v="RA0202"/>
    <d v="2025-04-04T00:00:00"/>
    <x v="7"/>
    <s v="Warehouse"/>
    <x v="16"/>
    <s v="Falling objects"/>
    <s v="Physical"/>
    <s v="Head injury"/>
    <n v="4"/>
    <n v="3"/>
    <n v="12"/>
    <x v="1"/>
    <s v="Machine guarding and routine inspection"/>
    <s v="Implement engineering control"/>
    <n v="2"/>
    <n v="2"/>
    <n v="4"/>
    <s v="Reduced"/>
    <s v="Low"/>
    <s v="Pending"/>
    <s v="Department Supervisor"/>
    <x v="178"/>
  </r>
  <r>
    <s v="RA0203"/>
    <d v="2026-11-25T00:00:00"/>
    <x v="0"/>
    <s v="Utilities Area"/>
    <x v="13"/>
    <s v="Moving machinery and dust"/>
    <s v="Mechanical"/>
    <s v="Amputation"/>
    <n v="5"/>
    <n v="2"/>
    <n v="10"/>
    <x v="1"/>
    <s v="Safety signage and restricted access"/>
    <s v="Implement engineering control"/>
    <n v="4"/>
    <n v="2"/>
    <n v="8"/>
    <s v="Reduced"/>
    <s v="Medium"/>
    <s v="Partially Implemented"/>
    <s v="Production Supervisor"/>
    <x v="179"/>
  </r>
  <r>
    <s v="RA0204"/>
    <d v="2026-04-02T00:00:00"/>
    <x v="4"/>
    <s v="Office"/>
    <x v="17"/>
    <s v="Oxygen deficiency / toxic atmosphere"/>
    <s v="Confined Space"/>
    <s v="Toxic exposure"/>
    <n v="5"/>
    <n v="3"/>
    <n v="15"/>
    <x v="1"/>
    <s v="PPE provided and mandatory"/>
    <s v="Increase inspection frequency"/>
    <n v="4"/>
    <n v="3"/>
    <n v="12"/>
    <s v="Reduced"/>
    <s v="High"/>
    <s v="Implemented"/>
    <s v="HSE Engineer"/>
    <x v="180"/>
  </r>
  <r>
    <s v="RA0205"/>
    <d v="2025-08-25T00:00:00"/>
    <x v="2"/>
    <s v="Utilities Area"/>
    <x v="2"/>
    <s v="Chemical exposure"/>
    <s v="Chemical"/>
    <s v="Skin irritation"/>
    <n v="3"/>
    <n v="2"/>
    <n v="6"/>
    <x v="0"/>
    <s v="Standard operating procedure and supervision"/>
    <s v="Increase inspection frequency"/>
    <n v="2"/>
    <n v="2"/>
    <n v="4"/>
    <s v="Reduced"/>
    <s v="Low"/>
    <s v="Implemented"/>
    <s v="Department Supervisor"/>
    <x v="181"/>
  </r>
  <r>
    <s v="RA0206"/>
    <d v="2025-09-20T00:00:00"/>
    <x v="0"/>
    <s v="Office"/>
    <x v="6"/>
    <s v="Fall from height"/>
    <s v="Work at Height"/>
    <s v="Fall injury"/>
    <n v="4"/>
    <n v="4"/>
    <n v="16"/>
    <x v="1"/>
    <s v="Emergency response equipment available"/>
    <s v="Conduct emergency drill"/>
    <n v="3"/>
    <n v="3"/>
    <n v="9"/>
    <s v="Reduced"/>
    <s v="Medium"/>
    <s v="Partially Implemented"/>
    <s v="Department Supervisor"/>
    <x v="182"/>
  </r>
  <r>
    <s v="RA0207"/>
    <d v="2025-05-26T00:00:00"/>
    <x v="2"/>
    <s v="Plant Area A"/>
    <x v="2"/>
    <s v="Chemical exposure"/>
    <s v="Chemical"/>
    <s v="Skin irritation"/>
    <n v="4"/>
    <n v="4"/>
    <n v="16"/>
    <x v="1"/>
    <s v="Emergency response equipment available"/>
    <s v="Verify PTW and isolation before work"/>
    <n v="3"/>
    <n v="3"/>
    <n v="9"/>
    <s v="Reduced"/>
    <s v="Medium"/>
    <s v="Partially Implemented"/>
    <s v="Department Supervisor"/>
    <x v="183"/>
  </r>
  <r>
    <s v="RA0208"/>
    <d v="2025-03-04T00:00:00"/>
    <x v="6"/>
    <s v="Laboratory"/>
    <x v="14"/>
    <s v="High pressure release"/>
    <s v="Pressure"/>
    <s v="Fatal injury"/>
    <n v="4"/>
    <n v="2"/>
    <n v="8"/>
    <x v="0"/>
    <s v="Safety signage and restricted access"/>
    <s v="Provide specialized PPE"/>
    <n v="3"/>
    <n v="2"/>
    <n v="6"/>
    <s v="Reduced"/>
    <s v="Medium"/>
    <s v="Implemented"/>
    <s v="Maintenance Supervisor"/>
    <x v="184"/>
  </r>
  <r>
    <s v="RA0209"/>
    <d v="2025-04-16T00:00:00"/>
    <x v="6"/>
    <s v="Plant Area A"/>
    <x v="14"/>
    <s v="High pressure release"/>
    <s v="Pressure"/>
    <s v="Impact injury"/>
    <n v="5"/>
    <n v="2"/>
    <n v="10"/>
    <x v="1"/>
    <s v="Machine guarding and routine inspection"/>
    <s v="Install warning signs and barriers"/>
    <n v="4"/>
    <n v="2"/>
    <n v="8"/>
    <s v="Reduced"/>
    <s v="Medium"/>
    <s v="Implemented"/>
    <s v="HSE Engineer"/>
    <x v="185"/>
  </r>
  <r>
    <s v="RA0210"/>
    <d v="2025-08-02T00:00:00"/>
    <x v="7"/>
    <s v="Warehouse"/>
    <x v="15"/>
    <s v="Vehicle-pedestrian interaction"/>
    <s v="Vehicle / Traffic"/>
    <s v="Fatal injury"/>
    <n v="4"/>
    <n v="2"/>
    <n v="8"/>
    <x v="0"/>
    <s v="Trained and authorized personnel only"/>
    <s v="Update risk assessment and procedure"/>
    <n v="2"/>
    <n v="2"/>
    <n v="4"/>
    <s v="Reduced"/>
    <s v="Low"/>
    <s v="Pending"/>
    <s v="HSE Officer"/>
    <x v="186"/>
  </r>
  <r>
    <s v="RA0211"/>
    <d v="2025-10-23T00:00:00"/>
    <x v="0"/>
    <s v="Warehouse"/>
    <x v="6"/>
    <s v="Fall from height"/>
    <s v="Work at Height"/>
    <s v="Fall injury"/>
    <n v="2"/>
    <n v="2"/>
    <n v="4"/>
    <x v="3"/>
    <s v="Emergency response equipment available"/>
    <s v="Increase inspection frequency"/>
    <n v="1"/>
    <n v="2"/>
    <n v="2"/>
    <s v="Reduced"/>
    <s v="Low"/>
    <s v="Implemented"/>
    <s v="Department Supervisor"/>
    <x v="74"/>
  </r>
  <r>
    <s v="RA0212"/>
    <d v="2025-08-02T00:00:00"/>
    <x v="0"/>
    <s v="Laboratory"/>
    <x v="0"/>
    <s v="Hot surfaces and high temperature"/>
    <s v="Thermal"/>
    <s v="Heat stress"/>
    <n v="2"/>
    <n v="2"/>
    <n v="4"/>
    <x v="3"/>
    <s v="Emergency response equipment available"/>
    <s v="Install warning signs and barriers"/>
    <n v="1"/>
    <n v="2"/>
    <n v="2"/>
    <s v="Reduced"/>
    <s v="Low"/>
    <s v="Pending"/>
    <s v="Maintenance Supervisor"/>
    <x v="187"/>
  </r>
  <r>
    <s v="RA0213"/>
    <d v="2025-06-08T00:00:00"/>
    <x v="0"/>
    <s v="Workshop"/>
    <x v="9"/>
    <s v="Moving equipment / conveyor"/>
    <s v="Mechanical"/>
    <s v="Cuts"/>
    <n v="2"/>
    <n v="3"/>
    <n v="6"/>
    <x v="0"/>
    <s v="Emergency response equipment available"/>
    <s v="Improve supervision and monitoring"/>
    <n v="1"/>
    <n v="3"/>
    <n v="3"/>
    <s v="Reduced"/>
    <s v="Low"/>
    <s v="Partially Implemented"/>
    <s v="Department Supervisor"/>
    <x v="155"/>
  </r>
  <r>
    <s v="RA0214"/>
    <d v="2026-06-10T00:00:00"/>
    <x v="0"/>
    <s v="Laboratory"/>
    <x v="6"/>
    <s v="Fall from height"/>
    <s v="Work at Height"/>
    <s v="Serious injury"/>
    <n v="2"/>
    <n v="2"/>
    <n v="4"/>
    <x v="3"/>
    <s v="Toolbox talk before work"/>
    <s v="Improve supervision and monitoring"/>
    <n v="1"/>
    <n v="1"/>
    <n v="1"/>
    <s v="Reduced"/>
    <s v="Low"/>
    <s v="Pending"/>
    <s v="Production Supervisor"/>
    <x v="188"/>
  </r>
  <r>
    <s v="RA0215"/>
    <d v="2026-01-05T00:00:00"/>
    <x v="0"/>
    <s v="Plant Area A"/>
    <x v="9"/>
    <s v="Moving equipment / conveyor"/>
    <s v="Mechanical"/>
    <s v="Amputation"/>
    <n v="4"/>
    <n v="5"/>
    <n v="20"/>
    <x v="2"/>
    <s v="Preventive maintenance program"/>
    <s v="Conduct emergency drill"/>
    <n v="3"/>
    <n v="5"/>
    <n v="15"/>
    <s v="Reduced"/>
    <s v="High"/>
    <s v="Pending"/>
    <s v="HSE Officer"/>
    <x v="189"/>
  </r>
  <r>
    <s v="RA0216"/>
    <d v="2026-10-26T00:00:00"/>
    <x v="0"/>
    <s v="Plant Area A"/>
    <x v="6"/>
    <s v="Fall from height"/>
    <s v="Work at Height"/>
    <s v="Fatal injury"/>
    <n v="4"/>
    <n v="4"/>
    <n v="16"/>
    <x v="1"/>
    <s v="Machine guarding and routine inspection"/>
    <s v="Improve supervision and monitoring"/>
    <n v="3"/>
    <n v="3"/>
    <n v="9"/>
    <s v="Reduced"/>
    <s v="Medium"/>
    <s v="Pending"/>
    <s v="Department Supervisor"/>
    <x v="190"/>
  </r>
  <r>
    <s v="RA0217"/>
    <d v="2026-05-20T00:00:00"/>
    <x v="6"/>
    <s v="Warehouse"/>
    <x v="7"/>
    <s v="Chemical exposure and spills"/>
    <s v="Chemical"/>
    <s v="Respiratory irritation"/>
    <n v="3"/>
    <n v="5"/>
    <n v="15"/>
    <x v="1"/>
    <s v="Toolbox talk before work"/>
    <s v="Implement engineering control"/>
    <n v="1"/>
    <n v="5"/>
    <n v="5"/>
    <s v="Reduced"/>
    <s v="Medium"/>
    <s v="Pending"/>
    <s v="Maintenance Supervisor"/>
    <x v="191"/>
  </r>
  <r>
    <s v="RA0218"/>
    <d v="2025-11-30T00:00:00"/>
    <x v="6"/>
    <s v="Office"/>
    <x v="7"/>
    <s v="Chemical exposure and spills"/>
    <s v="Chemical"/>
    <s v="Eye injury"/>
    <n v="3"/>
    <n v="5"/>
    <n v="15"/>
    <x v="1"/>
    <s v="Machine guarding and routine inspection"/>
    <s v="Update risk assessment and procedure"/>
    <n v="2"/>
    <n v="4"/>
    <n v="8"/>
    <s v="Reduced"/>
    <s v="Medium"/>
    <s v="Pending"/>
    <s v="HSE Engineer"/>
    <x v="192"/>
  </r>
  <r>
    <s v="RA0219"/>
    <d v="2025-02-16T00:00:00"/>
    <x v="0"/>
    <s v="Plant Area B"/>
    <x v="9"/>
    <s v="Moving equipment / conveyor"/>
    <s v="Mechanical"/>
    <s v="Cuts"/>
    <n v="4"/>
    <n v="2"/>
    <n v="8"/>
    <x v="0"/>
    <s v="Preventive maintenance program"/>
    <s v="Update risk assessment and procedure"/>
    <n v="3"/>
    <n v="2"/>
    <n v="6"/>
    <s v="Reduced"/>
    <s v="Medium"/>
    <s v="Pending"/>
    <s v="Maintenance Supervisor"/>
    <x v="193"/>
  </r>
  <r>
    <s v="RA0220"/>
    <d v="2026-04-14T00:00:00"/>
    <x v="0"/>
    <s v="Workshop"/>
    <x v="9"/>
    <s v="Moving equipment / conveyor"/>
    <s v="Mechanical"/>
    <s v="Cuts"/>
    <n v="5"/>
    <n v="2"/>
    <n v="10"/>
    <x v="1"/>
    <s v="Toolbox talk before work"/>
    <s v="Improve supervision and monitoring"/>
    <n v="4"/>
    <n v="2"/>
    <n v="8"/>
    <s v="Reduced"/>
    <s v="Medium"/>
    <s v="Pending"/>
    <s v="HSE Engineer"/>
    <x v="48"/>
  </r>
  <r>
    <s v="RA0221"/>
    <d v="2026-05-08T00:00:00"/>
    <x v="1"/>
    <s v="Utilities Area"/>
    <x v="12"/>
    <s v="Stored pressure and rotating parts"/>
    <s v="Mechanical"/>
    <s v="Crush injury"/>
    <n v="4"/>
    <n v="5"/>
    <n v="20"/>
    <x v="2"/>
    <s v="Standard operating procedure and supervision"/>
    <s v="Install warning signs and barriers"/>
    <n v="3"/>
    <n v="4"/>
    <n v="12"/>
    <s v="Reduced"/>
    <s v="High"/>
    <s v="Partially Implemented"/>
    <s v="Department Supervisor"/>
    <x v="40"/>
  </r>
  <r>
    <s v="RA0222"/>
    <d v="2026-08-12T00:00:00"/>
    <x v="0"/>
    <s v="Workshop"/>
    <x v="13"/>
    <s v="Moving machinery and dust"/>
    <s v="Mechanical"/>
    <s v="Cuts"/>
    <n v="2"/>
    <n v="4"/>
    <n v="8"/>
    <x v="0"/>
    <s v="Safety signage and restricted access"/>
    <s v="Increase inspection frequency"/>
    <n v="1"/>
    <n v="3"/>
    <n v="3"/>
    <s v="Reduced"/>
    <s v="Low"/>
    <s v="Implemented"/>
    <s v="Maintenance Supervisor"/>
    <x v="194"/>
  </r>
  <r>
    <s v="RA0223"/>
    <d v="2026-10-02T00:00:00"/>
    <x v="4"/>
    <s v="Office"/>
    <x v="17"/>
    <s v="Oxygen deficiency / toxic atmosphere"/>
    <s v="Confined Space"/>
    <s v="Serious injury"/>
    <n v="5"/>
    <n v="5"/>
    <n v="25"/>
    <x v="2"/>
    <s v="PPE provided and mandatory"/>
    <s v="Install warning signs and barriers"/>
    <n v="3"/>
    <n v="5"/>
    <n v="15"/>
    <s v="Reduced"/>
    <s v="High"/>
    <s v="Partially Implemented"/>
    <s v="Maintenance Supervisor"/>
    <x v="44"/>
  </r>
  <r>
    <s v="RA0224"/>
    <d v="2025-07-06T00:00:00"/>
    <x v="4"/>
    <s v="Warehouse"/>
    <x v="17"/>
    <s v="Oxygen deficiency / toxic atmosphere"/>
    <s v="Confined Space"/>
    <s v="Serious injury"/>
    <n v="4"/>
    <n v="3"/>
    <n v="12"/>
    <x v="1"/>
    <s v="Toolbox talk before work"/>
    <s v="Install additional physical guard"/>
    <n v="3"/>
    <n v="2"/>
    <n v="6"/>
    <s v="Reduced"/>
    <s v="Medium"/>
    <s v="Implemented"/>
    <s v="HSE Engineer"/>
    <x v="195"/>
  </r>
  <r>
    <s v="RA0225"/>
    <d v="2025-11-04T00:00:00"/>
    <x v="6"/>
    <s v="Plant Area B"/>
    <x v="18"/>
    <s v="High pressure and hot surfaces"/>
    <s v="Pressure / Thermal"/>
    <s v="Serious injury"/>
    <n v="2"/>
    <n v="4"/>
    <n v="8"/>
    <x v="0"/>
    <s v="Toolbox talk before work"/>
    <s v="Install warning signs and barriers"/>
    <n v="1"/>
    <n v="4"/>
    <n v="4"/>
    <s v="Reduced"/>
    <s v="Low"/>
    <s v="Pending"/>
    <s v="HSE Engineer"/>
    <x v="40"/>
  </r>
  <r>
    <s v="RA0226"/>
    <d v="2026-03-11T00:00:00"/>
    <x v="7"/>
    <s v="Plant Area B"/>
    <x v="16"/>
    <s v="Falling objects"/>
    <s v="Physical"/>
    <s v="Serious injury"/>
    <n v="5"/>
    <n v="5"/>
    <n v="25"/>
    <x v="2"/>
    <s v="Machine guarding and routine inspection"/>
    <s v="Conduct refresher training"/>
    <n v="4"/>
    <n v="5"/>
    <n v="20"/>
    <s v="Reduced"/>
    <s v="Critical"/>
    <s v="Pending"/>
    <s v="HSE Officer"/>
    <x v="196"/>
  </r>
  <r>
    <s v="RA0227"/>
    <d v="2025-01-03T00:00:00"/>
    <x v="2"/>
    <s v="Plant Area A"/>
    <x v="2"/>
    <s v="Chemical exposure"/>
    <s v="Chemical"/>
    <s v="Respiratory irritation"/>
    <n v="4"/>
    <n v="4"/>
    <n v="16"/>
    <x v="1"/>
    <s v="Trained and authorized personnel only"/>
    <s v="Implement engineering control"/>
    <n v="4"/>
    <n v="3"/>
    <n v="12"/>
    <s v="Reduced"/>
    <s v="High"/>
    <s v="Implemented"/>
    <s v="Production Supervisor"/>
    <x v="197"/>
  </r>
  <r>
    <s v="RA0228"/>
    <d v="2025-10-08T00:00:00"/>
    <x v="4"/>
    <s v="Plant Area B"/>
    <x v="8"/>
    <s v="Stored energy and moving parts"/>
    <s v="Mechanical"/>
    <s v="Serious injury"/>
    <n v="4"/>
    <n v="3"/>
    <n v="12"/>
    <x v="1"/>
    <s v="Safety signage and restricted access"/>
    <s v="Update risk assessment and procedure"/>
    <n v="3"/>
    <n v="2"/>
    <n v="6"/>
    <s v="Reduced"/>
    <s v="Medium"/>
    <s v="Pending"/>
    <s v="Production Supervisor"/>
    <x v="198"/>
  </r>
  <r>
    <s v="RA0229"/>
    <d v="2026-09-19T00:00:00"/>
    <x v="1"/>
    <s v="Plant Area A"/>
    <x v="1"/>
    <s v="Fire, fumes and hot work"/>
    <s v="Fire / Chemical"/>
    <s v="Respiratory irritation"/>
    <n v="5"/>
    <n v="4"/>
    <n v="20"/>
    <x v="2"/>
    <s v="Toolbox talk before work"/>
    <s v="Install additional physical guard"/>
    <n v="5"/>
    <n v="3"/>
    <n v="15"/>
    <s v="Reduced"/>
    <s v="High"/>
    <s v="Implemented"/>
    <s v="HSE Officer"/>
    <x v="199"/>
  </r>
  <r>
    <s v="RA0230"/>
    <d v="2025-08-04T00:00:00"/>
    <x v="4"/>
    <s v="Plant Area A"/>
    <x v="4"/>
    <s v="Unexpected equipment movement"/>
    <s v="Mechanical"/>
    <s v="Serious injury"/>
    <n v="4"/>
    <n v="3"/>
    <n v="12"/>
    <x v="1"/>
    <s v="Standard operating procedure and supervision"/>
    <s v="Conduct refresher training"/>
    <n v="4"/>
    <n v="3"/>
    <n v="12"/>
    <s v="Reduced"/>
    <s v="High"/>
    <s v="Implemented"/>
    <s v="Production Supervisor"/>
    <x v="200"/>
  </r>
  <r>
    <s v="RA0231"/>
    <d v="2025-10-13T00:00:00"/>
    <x v="0"/>
    <s v="Utilities Area"/>
    <x v="13"/>
    <s v="Moving machinery and dust"/>
    <s v="Mechanical"/>
    <s v="Cuts"/>
    <n v="3"/>
    <n v="5"/>
    <n v="15"/>
    <x v="1"/>
    <s v="Standard operating procedure and supervision"/>
    <s v="Conduct refresher training"/>
    <n v="3"/>
    <n v="4"/>
    <n v="12"/>
    <s v="Reduced"/>
    <s v="High"/>
    <s v="Implemented"/>
    <s v="Maintenance Supervisor"/>
    <x v="201"/>
  </r>
  <r>
    <s v="RA0232"/>
    <d v="2026-05-18T00:00:00"/>
    <x v="7"/>
    <s v="Office"/>
    <x v="15"/>
    <s v="Vehicle-pedestrian interaction"/>
    <s v="Vehicle / Traffic"/>
    <s v="Serious injury"/>
    <n v="3"/>
    <n v="2"/>
    <n v="6"/>
    <x v="0"/>
    <s v="Toolbox talk before work"/>
    <s v="Install additional physical guard"/>
    <n v="2"/>
    <n v="2"/>
    <n v="4"/>
    <s v="Reduced"/>
    <s v="Low"/>
    <s v="Implemented"/>
    <s v="Maintenance Supervisor"/>
    <x v="164"/>
  </r>
  <r>
    <s v="RA0233"/>
    <d v="2025-10-25T00:00:00"/>
    <x v="6"/>
    <s v="Office"/>
    <x v="7"/>
    <s v="Chemical exposure and spills"/>
    <s v="Chemical"/>
    <s v="Respiratory irritation"/>
    <n v="2"/>
    <n v="5"/>
    <n v="10"/>
    <x v="1"/>
    <s v="Standard operating procedure and supervision"/>
    <s v="Install warning signs and barriers"/>
    <n v="1"/>
    <n v="4"/>
    <n v="4"/>
    <s v="Reduced"/>
    <s v="Low"/>
    <s v="Implemented"/>
    <s v="Production Supervisor"/>
    <x v="165"/>
  </r>
  <r>
    <s v="RA0234"/>
    <d v="2025-01-20T00:00:00"/>
    <x v="0"/>
    <s v="Laboratory"/>
    <x v="13"/>
    <s v="Moving machinery and dust"/>
    <s v="Mechanical"/>
    <s v="Cuts"/>
    <n v="2"/>
    <n v="3"/>
    <n v="6"/>
    <x v="0"/>
    <s v="Safety signage and restricted access"/>
    <s v="Update risk assessment and procedure"/>
    <n v="1"/>
    <n v="2"/>
    <n v="2"/>
    <s v="Reduced"/>
    <s v="Low"/>
    <s v="Pending"/>
    <s v="Production Supervisor"/>
    <x v="202"/>
  </r>
  <r>
    <s v="RA0235"/>
    <d v="2025-07-24T00:00:00"/>
    <x v="7"/>
    <s v="Plant Area B"/>
    <x v="16"/>
    <s v="Falling objects"/>
    <s v="Physical"/>
    <s v="Serious injury"/>
    <n v="3"/>
    <n v="2"/>
    <n v="6"/>
    <x v="0"/>
    <s v="Trained and authorized personnel only"/>
    <s v="Implement engineering control"/>
    <n v="2"/>
    <n v="2"/>
    <n v="4"/>
    <s v="Reduced"/>
    <s v="Low"/>
    <s v="Partially Implemented"/>
    <s v="Production Supervisor"/>
    <x v="203"/>
  </r>
  <r>
    <s v="RA0236"/>
    <d v="2026-03-12T00:00:00"/>
    <x v="1"/>
    <s v="Plant Area A"/>
    <x v="12"/>
    <s v="Stored pressure and rotating parts"/>
    <s v="Mechanical"/>
    <s v="Crush injury"/>
    <n v="4"/>
    <n v="5"/>
    <n v="20"/>
    <x v="2"/>
    <s v="Standard operating procedure and supervision"/>
    <s v="Improve supervision and monitoring"/>
    <n v="3"/>
    <n v="5"/>
    <n v="15"/>
    <s v="Reduced"/>
    <s v="High"/>
    <s v="Implemented"/>
    <s v="Production Supervisor"/>
    <x v="204"/>
  </r>
  <r>
    <s v="RA0237"/>
    <d v="2025-04-30T00:00:00"/>
    <x v="3"/>
    <s v="Plant Area A"/>
    <x v="3"/>
    <s v="Ergonomic hazards and slips/trips"/>
    <s v="Ergonomic"/>
    <s v="Musculoskeletal strain"/>
    <n v="4"/>
    <n v="5"/>
    <n v="20"/>
    <x v="2"/>
    <s v="Machine guarding and routine inspection"/>
    <s v="Provide specialized PPE"/>
    <n v="3"/>
    <n v="4"/>
    <n v="12"/>
    <s v="Reduced"/>
    <s v="High"/>
    <s v="Pending"/>
    <s v="HSE Officer"/>
    <x v="88"/>
  </r>
  <r>
    <s v="RA0238"/>
    <d v="2026-01-30T00:00:00"/>
    <x v="4"/>
    <s v="Plant Area A"/>
    <x v="8"/>
    <s v="Stored energy and moving parts"/>
    <s v="Mechanical"/>
    <s v="Amputation"/>
    <n v="2"/>
    <n v="5"/>
    <n v="10"/>
    <x v="1"/>
    <s v="Standard operating procedure and supervision"/>
    <s v="Provide specialized PPE"/>
    <n v="2"/>
    <n v="5"/>
    <n v="10"/>
    <s v="No Reduction"/>
    <s v="High"/>
    <s v="Partially Implemented"/>
    <s v="Maintenance Supervisor"/>
    <x v="205"/>
  </r>
  <r>
    <s v="RA0239"/>
    <d v="2025-03-31T00:00:00"/>
    <x v="1"/>
    <s v="Plant Area B"/>
    <x v="1"/>
    <s v="Fire, fumes and hot work"/>
    <s v="Fire / Chemical"/>
    <s v="Respiratory irritation"/>
    <n v="5"/>
    <n v="3"/>
    <n v="15"/>
    <x v="1"/>
    <s v="Toolbox talk before work"/>
    <s v="Verify PTW and isolation before work"/>
    <n v="4"/>
    <n v="3"/>
    <n v="12"/>
    <s v="Reduced"/>
    <s v="High"/>
    <s v="Pending"/>
    <s v="Department Supervisor"/>
    <x v="95"/>
  </r>
  <r>
    <s v="RA0240"/>
    <d v="2025-09-05T00:00:00"/>
    <x v="4"/>
    <s v="Plant Area B"/>
    <x v="8"/>
    <s v="Stored energy and moving parts"/>
    <s v="Mechanical"/>
    <s v="Amputation"/>
    <n v="5"/>
    <n v="2"/>
    <n v="10"/>
    <x v="1"/>
    <s v="Standard operating procedure and supervision"/>
    <s v="Improve supervision and monitoring"/>
    <n v="4"/>
    <n v="1"/>
    <n v="4"/>
    <s v="Reduced"/>
    <s v="Low"/>
    <s v="Partially Implemented"/>
    <s v="Department Supervisor"/>
    <x v="206"/>
  </r>
  <r>
    <s v="RA0241"/>
    <d v="2026-04-08T00:00:00"/>
    <x v="0"/>
    <s v="Utilities Area"/>
    <x v="13"/>
    <s v="Moving machinery and dust"/>
    <s v="Mechanical"/>
    <s v="Serious injury"/>
    <n v="3"/>
    <n v="2"/>
    <n v="6"/>
    <x v="0"/>
    <s v="Safety signage and restricted access"/>
    <s v="Improve supervision and monitoring"/>
    <n v="2"/>
    <n v="2"/>
    <n v="4"/>
    <s v="Reduced"/>
    <s v="Low"/>
    <s v="Pending"/>
    <s v="Production Supervisor"/>
    <x v="148"/>
  </r>
  <r>
    <s v="RA0242"/>
    <d v="2026-03-20T00:00:00"/>
    <x v="4"/>
    <s v="Laboratory"/>
    <x v="8"/>
    <s v="Stored energy and moving parts"/>
    <s v="Mechanical"/>
    <s v="Serious injury"/>
    <n v="4"/>
    <n v="3"/>
    <n v="12"/>
    <x v="1"/>
    <s v="Machine guarding and routine inspection"/>
    <s v="Conduct refresher training"/>
    <n v="3"/>
    <n v="2"/>
    <n v="6"/>
    <s v="Reduced"/>
    <s v="Medium"/>
    <s v="Partially Implemented"/>
    <s v="Department Supervisor"/>
    <x v="207"/>
  </r>
  <r>
    <s v="RA0243"/>
    <d v="2025-07-26T00:00:00"/>
    <x v="5"/>
    <s v="Utilities Area"/>
    <x v="5"/>
    <s v="Electric shock and arc flash"/>
    <s v="Electrical"/>
    <s v="Burn"/>
    <n v="3"/>
    <n v="2"/>
    <n v="6"/>
    <x v="0"/>
    <s v="Emergency response equipment available"/>
    <s v="Verify PTW and isolation before work"/>
    <n v="1"/>
    <n v="2"/>
    <n v="2"/>
    <s v="Reduced"/>
    <s v="Low"/>
    <s v="Pending"/>
    <s v="HSE Officer"/>
    <x v="208"/>
  </r>
  <r>
    <s v="RA0244"/>
    <d v="2025-05-04T00:00:00"/>
    <x v="1"/>
    <s v="Warehouse"/>
    <x v="1"/>
    <s v="Fire, fumes and hot work"/>
    <s v="Fire / Chemical"/>
    <s v="Fire-related injury"/>
    <n v="3"/>
    <n v="4"/>
    <n v="12"/>
    <x v="1"/>
    <s v="Trained and authorized personnel only"/>
    <s v="Increase inspection frequency"/>
    <n v="3"/>
    <n v="4"/>
    <n v="12"/>
    <s v="Reduced"/>
    <s v="High"/>
    <s v="Partially Implemented"/>
    <s v="HSE Engineer"/>
    <x v="77"/>
  </r>
  <r>
    <s v="RA0245"/>
    <d v="2025-06-29T00:00:00"/>
    <x v="1"/>
    <s v="Utilities Area"/>
    <x v="12"/>
    <s v="Stored pressure and rotating parts"/>
    <s v="Mechanical"/>
    <s v="Amputation"/>
    <n v="2"/>
    <n v="2"/>
    <n v="4"/>
    <x v="3"/>
    <s v="PPE provided and mandatory"/>
    <s v="Verify PTW and isolation before work"/>
    <n v="1"/>
    <n v="2"/>
    <n v="2"/>
    <s v="Reduced"/>
    <s v="Low"/>
    <s v="Implemented"/>
    <s v="HSE Engineer"/>
    <x v="209"/>
  </r>
  <r>
    <s v="RA0246"/>
    <d v="2025-01-29T00:00:00"/>
    <x v="0"/>
    <s v="Workshop"/>
    <x v="6"/>
    <s v="Fall from height"/>
    <s v="Work at Height"/>
    <s v="Fall injury"/>
    <n v="3"/>
    <n v="3"/>
    <n v="9"/>
    <x v="0"/>
    <s v="Machine guarding and routine inspection"/>
    <s v="Install warning signs and barriers"/>
    <n v="1"/>
    <n v="3"/>
    <n v="3"/>
    <s v="Reduced"/>
    <s v="Low"/>
    <s v="Partially Implemented"/>
    <s v="Department Supervisor"/>
    <x v="210"/>
  </r>
  <r>
    <s v="RA0247"/>
    <d v="2025-01-17T00:00:00"/>
    <x v="1"/>
    <s v="Plant Area B"/>
    <x v="12"/>
    <s v="Stored pressure and rotating parts"/>
    <s v="Mechanical"/>
    <s v="Cuts"/>
    <n v="5"/>
    <n v="5"/>
    <n v="25"/>
    <x v="2"/>
    <s v="Standard operating procedure and supervision"/>
    <s v="Install warning signs and barriers"/>
    <n v="5"/>
    <n v="5"/>
    <n v="25"/>
    <s v="Reduced"/>
    <s v="Critical"/>
    <s v="Pending"/>
    <s v="HSE Engineer"/>
    <x v="211"/>
  </r>
  <r>
    <s v="RA0248"/>
    <d v="2025-07-12T00:00:00"/>
    <x v="0"/>
    <s v="Plant Area A"/>
    <x v="11"/>
    <s v="Collapse and underground services"/>
    <s v="Excavation"/>
    <s v="Collapse injury"/>
    <n v="2"/>
    <n v="5"/>
    <n v="10"/>
    <x v="1"/>
    <s v="Machine guarding and routine inspection"/>
    <s v="Verify PTW and isolation before work"/>
    <n v="2"/>
    <n v="4"/>
    <n v="8"/>
    <s v="Reduced"/>
    <s v="Medium"/>
    <s v="Implemented"/>
    <s v="Production Supervisor"/>
    <x v="212"/>
  </r>
  <r>
    <s v="RA0249"/>
    <d v="2025-06-08T00:00:00"/>
    <x v="0"/>
    <s v="Workshop"/>
    <x v="11"/>
    <s v="Collapse and underground services"/>
    <s v="Excavation"/>
    <s v="Fatal injury"/>
    <n v="2"/>
    <n v="3"/>
    <n v="6"/>
    <x v="0"/>
    <s v="Preventive maintenance program"/>
    <s v="Increase inspection frequency"/>
    <n v="1"/>
    <n v="3"/>
    <n v="3"/>
    <s v="Reduced"/>
    <s v="Low"/>
    <s v="Implemented"/>
    <s v="Maintenance Supervisor"/>
    <x v="155"/>
  </r>
  <r>
    <s v="RA0250"/>
    <d v="2025-10-10T00:00:00"/>
    <x v="6"/>
    <s v="Workshop"/>
    <x v="18"/>
    <s v="High pressure and hot surfaces"/>
    <s v="Pressure / Thermal"/>
    <s v="Serious injury"/>
    <n v="5"/>
    <n v="5"/>
    <n v="25"/>
    <x v="2"/>
    <s v="PPE provided and mandatory"/>
    <s v="Verify PTW and isolation before work"/>
    <n v="4"/>
    <n v="5"/>
    <n v="20"/>
    <s v="Reduced"/>
    <s v="Critical"/>
    <s v="Implemented"/>
    <s v="HSE Officer"/>
    <x v="213"/>
  </r>
  <r>
    <s v="RA0251"/>
    <d v="2026-01-08T00:00:00"/>
    <x v="5"/>
    <s v="Laboratory"/>
    <x v="10"/>
    <s v="Electric shock and trip hazards"/>
    <s v="Electrical"/>
    <s v="Burn"/>
    <n v="4"/>
    <n v="3"/>
    <n v="12"/>
    <x v="1"/>
    <s v="Toolbox talk before work"/>
    <s v="Improve supervision and monitoring"/>
    <n v="3"/>
    <n v="3"/>
    <n v="9"/>
    <s v="Reduced"/>
    <s v="Medium"/>
    <s v="Implemented"/>
    <s v="HSE Engineer"/>
    <x v="214"/>
  </r>
  <r>
    <s v="RA0252"/>
    <d v="2025-07-27T00:00:00"/>
    <x v="6"/>
    <s v="Laboratory"/>
    <x v="14"/>
    <s v="High pressure release"/>
    <s v="Pressure"/>
    <s v="Fatal injury"/>
    <n v="5"/>
    <n v="3"/>
    <n v="15"/>
    <x v="1"/>
    <s v="Standard operating procedure and supervision"/>
    <s v="Increase inspection frequency"/>
    <n v="4"/>
    <n v="2"/>
    <n v="8"/>
    <s v="Reduced"/>
    <s v="Medium"/>
    <s v="Pending"/>
    <s v="Maintenance Supervisor"/>
    <x v="215"/>
  </r>
  <r>
    <s v="RA0253"/>
    <d v="2025-09-12T00:00:00"/>
    <x v="6"/>
    <s v="Plant Area A"/>
    <x v="18"/>
    <s v="High pressure and hot surfaces"/>
    <s v="Pressure / Thermal"/>
    <s v="Pressure-related injury"/>
    <n v="2"/>
    <n v="5"/>
    <n v="10"/>
    <x v="1"/>
    <s v="Safety signage and restricted access"/>
    <s v="Implement engineering control"/>
    <n v="2"/>
    <n v="4"/>
    <n v="8"/>
    <s v="Reduced"/>
    <s v="Medium"/>
    <s v="Implemented"/>
    <s v="HSE Engineer"/>
    <x v="216"/>
  </r>
  <r>
    <s v="RA0254"/>
    <d v="2026-09-20T00:00:00"/>
    <x v="0"/>
    <s v="Office"/>
    <x v="13"/>
    <s v="Moving machinery and dust"/>
    <s v="Mechanical"/>
    <s v="Serious injury"/>
    <n v="4"/>
    <n v="4"/>
    <n v="16"/>
    <x v="1"/>
    <s v="Safety signage and restricted access"/>
    <s v="Increase inspection frequency"/>
    <n v="4"/>
    <n v="3"/>
    <n v="12"/>
    <s v="Reduced"/>
    <s v="High"/>
    <s v="Partially Implemented"/>
    <s v="Department Supervisor"/>
    <x v="217"/>
  </r>
  <r>
    <s v="RA0255"/>
    <d v="2025-07-25T00:00:00"/>
    <x v="0"/>
    <s v="Office"/>
    <x v="11"/>
    <s v="Collapse and underground services"/>
    <s v="Excavation"/>
    <s v="Collapse injury"/>
    <n v="3"/>
    <n v="4"/>
    <n v="12"/>
    <x v="1"/>
    <s v="Trained and authorized personnel only"/>
    <s v="Install warning signs and barriers"/>
    <n v="2"/>
    <n v="3"/>
    <n v="6"/>
    <s v="Reduced"/>
    <s v="Medium"/>
    <s v="Implemented"/>
    <s v="Department Supervisor"/>
    <x v="218"/>
  </r>
  <r>
    <s v="RA0256"/>
    <d v="2025-02-17T00:00:00"/>
    <x v="4"/>
    <s v="Warehouse"/>
    <x v="17"/>
    <s v="Oxygen deficiency / toxic atmosphere"/>
    <s v="Confined Space"/>
    <s v="Asphyxiation risk"/>
    <n v="4"/>
    <n v="3"/>
    <n v="12"/>
    <x v="1"/>
    <s v="PPE provided and mandatory"/>
    <s v="Update risk assessment and procedure"/>
    <n v="3"/>
    <n v="3"/>
    <n v="9"/>
    <s v="Reduced"/>
    <s v="Medium"/>
    <s v="Pending"/>
    <s v="HSE Officer"/>
    <x v="219"/>
  </r>
  <r>
    <s v="RA0257"/>
    <d v="2025-08-26T00:00:00"/>
    <x v="0"/>
    <s v="Plant Area B"/>
    <x v="0"/>
    <s v="Hot surfaces and high temperature"/>
    <s v="Thermal"/>
    <s v="Burn"/>
    <n v="2"/>
    <n v="3"/>
    <n v="6"/>
    <x v="0"/>
    <s v="Toolbox talk before work"/>
    <s v="Conduct refresher training"/>
    <n v="1"/>
    <n v="2"/>
    <n v="2"/>
    <s v="Reduced"/>
    <s v="Low"/>
    <s v="Partially Implemented"/>
    <s v="HSE Engineer"/>
    <x v="220"/>
  </r>
  <r>
    <s v="RA0258"/>
    <d v="2026-07-26T00:00:00"/>
    <x v="5"/>
    <s v="Plant Area A"/>
    <x v="10"/>
    <s v="Electric shock and trip hazards"/>
    <s v="Electrical"/>
    <s v="Electric shock"/>
    <n v="2"/>
    <n v="3"/>
    <n v="6"/>
    <x v="0"/>
    <s v="Machine guarding and routine inspection"/>
    <s v="Conduct emergency drill"/>
    <n v="1"/>
    <n v="2"/>
    <n v="2"/>
    <s v="Reduced"/>
    <s v="Low"/>
    <s v="Implemented"/>
    <s v="Department Supervisor"/>
    <x v="221"/>
  </r>
  <r>
    <s v="RA0259"/>
    <d v="2025-01-09T00:00:00"/>
    <x v="0"/>
    <s v="Workshop"/>
    <x v="9"/>
    <s v="Moving equipment / conveyor"/>
    <s v="Mechanical"/>
    <s v="Serious injury"/>
    <n v="4"/>
    <n v="2"/>
    <n v="8"/>
    <x v="0"/>
    <s v="Safety signage and restricted access"/>
    <s v="Install warning signs and barriers"/>
    <n v="3"/>
    <n v="1"/>
    <n v="3"/>
    <s v="Reduced"/>
    <s v="Low"/>
    <s v="Implemented"/>
    <s v="Maintenance Supervisor"/>
    <x v="222"/>
  </r>
  <r>
    <s v="RA0260"/>
    <d v="2025-01-24T00:00:00"/>
    <x v="7"/>
    <s v="Utilities Area"/>
    <x v="16"/>
    <s v="Falling objects"/>
    <s v="Physical"/>
    <s v="Head injury"/>
    <n v="5"/>
    <n v="3"/>
    <n v="15"/>
    <x v="1"/>
    <s v="Machine guarding and routine inspection"/>
    <s v="Implement engineering control"/>
    <n v="4"/>
    <n v="3"/>
    <n v="12"/>
    <s v="Reduced"/>
    <s v="High"/>
    <s v="Partially Implemented"/>
    <s v="Maintenance Supervisor"/>
    <x v="223"/>
  </r>
  <r>
    <s v="RA0261"/>
    <d v="2025-10-14T00:00:00"/>
    <x v="1"/>
    <s v="Plant Area A"/>
    <x v="1"/>
    <s v="Fire, fumes and hot work"/>
    <s v="Fire / Chemical"/>
    <s v="Fire-related injury"/>
    <n v="5"/>
    <n v="4"/>
    <n v="20"/>
    <x v="2"/>
    <s v="Standard operating procedure and supervision"/>
    <s v="Conduct refresher training"/>
    <n v="4"/>
    <n v="4"/>
    <n v="16"/>
    <s v="Reduced"/>
    <s v="High"/>
    <s v="Pending"/>
    <s v="Department Supervisor"/>
    <x v="224"/>
  </r>
  <r>
    <s v="RA0262"/>
    <d v="2025-10-16T00:00:00"/>
    <x v="4"/>
    <s v="Office"/>
    <x v="4"/>
    <s v="Unexpected equipment movement"/>
    <s v="Mechanical"/>
    <s v="Serious injury"/>
    <n v="2"/>
    <n v="3"/>
    <n v="6"/>
    <x v="0"/>
    <s v="Trained and authorized personnel only"/>
    <s v="Conduct refresher training"/>
    <n v="1"/>
    <n v="2"/>
    <n v="2"/>
    <s v="Reduced"/>
    <s v="Low"/>
    <s v="Pending"/>
    <s v="HSE Officer"/>
    <x v="225"/>
  </r>
  <r>
    <s v="RA0263"/>
    <d v="2026-03-22T00:00:00"/>
    <x v="6"/>
    <s v="Workshop"/>
    <x v="14"/>
    <s v="High pressure release"/>
    <s v="Pressure"/>
    <s v="Impact injury"/>
    <n v="4"/>
    <n v="3"/>
    <n v="12"/>
    <x v="1"/>
    <s v="Trained and authorized personnel only"/>
    <s v="Provide specialized PPE"/>
    <n v="4"/>
    <n v="2"/>
    <n v="8"/>
    <s v="Reduced"/>
    <s v="Medium"/>
    <s v="Implemented"/>
    <s v="Production Supervisor"/>
    <x v="117"/>
  </r>
  <r>
    <s v="RA0264"/>
    <d v="2025-01-24T00:00:00"/>
    <x v="5"/>
    <s v="Plant Area A"/>
    <x v="5"/>
    <s v="Electric shock and arc flash"/>
    <s v="Electrical"/>
    <s v="Burn"/>
    <n v="5"/>
    <n v="4"/>
    <n v="20"/>
    <x v="2"/>
    <s v="Trained and authorized personnel only"/>
    <s v="Install warning signs and barriers"/>
    <n v="4"/>
    <n v="3"/>
    <n v="12"/>
    <s v="Reduced"/>
    <s v="High"/>
    <s v="Pending"/>
    <s v="Production Supervisor"/>
    <x v="226"/>
  </r>
  <r>
    <s v="RA0265"/>
    <d v="2025-12-08T00:00:00"/>
    <x v="7"/>
    <s v="Warehouse"/>
    <x v="16"/>
    <s v="Falling objects"/>
    <s v="Physical"/>
    <s v="Serious injury"/>
    <n v="4"/>
    <n v="5"/>
    <n v="20"/>
    <x v="2"/>
    <s v="Emergency response equipment available"/>
    <s v="Update risk assessment and procedure"/>
    <n v="2"/>
    <n v="4"/>
    <n v="8"/>
    <s v="Reduced"/>
    <s v="Medium"/>
    <s v="Pending"/>
    <s v="Department Supervisor"/>
    <x v="227"/>
  </r>
  <r>
    <s v="RA0266"/>
    <d v="2025-04-06T00:00:00"/>
    <x v="0"/>
    <s v="Office"/>
    <x v="0"/>
    <s v="Hot surfaces and high temperature"/>
    <s v="Thermal"/>
    <s v="Heat stress"/>
    <n v="2"/>
    <n v="4"/>
    <n v="8"/>
    <x v="0"/>
    <s v="Standard operating procedure and supervision"/>
    <s v="Provide specialized PPE"/>
    <n v="2"/>
    <n v="3"/>
    <n v="6"/>
    <s v="Reduced"/>
    <s v="Medium"/>
    <s v="Partially Implemented"/>
    <s v="HSE Engineer"/>
    <x v="228"/>
  </r>
  <r>
    <s v="RA0267"/>
    <d v="2026-08-08T00:00:00"/>
    <x v="0"/>
    <s v="Plant Area B"/>
    <x v="0"/>
    <s v="Hot surfaces and high temperature"/>
    <s v="Thermal"/>
    <s v="Serious burn"/>
    <n v="4"/>
    <n v="4"/>
    <n v="16"/>
    <x v="1"/>
    <s v="PPE provided and mandatory"/>
    <s v="Install warning signs and barriers"/>
    <n v="4"/>
    <n v="3"/>
    <n v="12"/>
    <s v="Reduced"/>
    <s v="High"/>
    <s v="Pending"/>
    <s v="Department Supervisor"/>
    <x v="229"/>
  </r>
  <r>
    <s v="RA0268"/>
    <d v="2026-08-21T00:00:00"/>
    <x v="5"/>
    <s v="Plant Area A"/>
    <x v="5"/>
    <s v="Electric shock and arc flash"/>
    <s v="Electrical"/>
    <s v="Burn"/>
    <n v="5"/>
    <n v="4"/>
    <n v="20"/>
    <x v="2"/>
    <s v="Trained and authorized personnel only"/>
    <s v="Implement engineering control"/>
    <n v="4"/>
    <n v="4"/>
    <n v="16"/>
    <s v="Reduced"/>
    <s v="High"/>
    <s v="Pending"/>
    <s v="HSE Engineer"/>
    <x v="230"/>
  </r>
  <r>
    <s v="RA0269"/>
    <d v="2026-08-04T00:00:00"/>
    <x v="5"/>
    <s v="Plant Area B"/>
    <x v="5"/>
    <s v="Electric shock and arc flash"/>
    <s v="Electrical"/>
    <s v="Burn"/>
    <n v="4"/>
    <n v="5"/>
    <n v="20"/>
    <x v="2"/>
    <s v="Machine guarding and routine inspection"/>
    <s v="Update risk assessment and procedure"/>
    <n v="3"/>
    <n v="5"/>
    <n v="15"/>
    <s v="Reduced"/>
    <s v="High"/>
    <s v="Pending"/>
    <s v="Production Supervisor"/>
    <x v="231"/>
  </r>
  <r>
    <s v="RA0270"/>
    <d v="2026-01-10T00:00:00"/>
    <x v="4"/>
    <s v="Laboratory"/>
    <x v="17"/>
    <s v="Oxygen deficiency / toxic atmosphere"/>
    <s v="Confined Space"/>
    <s v="Asphyxiation risk"/>
    <n v="2"/>
    <n v="4"/>
    <n v="8"/>
    <x v="0"/>
    <s v="Toolbox talk before work"/>
    <s v="Install additional physical guard"/>
    <n v="1"/>
    <n v="4"/>
    <n v="4"/>
    <s v="Reduced"/>
    <s v="Low"/>
    <s v="Partially Implemented"/>
    <s v="HSE Officer"/>
    <x v="25"/>
  </r>
  <r>
    <s v="RA0271"/>
    <d v="2026-02-08T00:00:00"/>
    <x v="6"/>
    <s v="Laboratory"/>
    <x v="14"/>
    <s v="High pressure release"/>
    <s v="Pressure"/>
    <s v="Impact injury"/>
    <n v="5"/>
    <n v="2"/>
    <n v="10"/>
    <x v="1"/>
    <s v="Standard operating procedure and supervision"/>
    <s v="Install warning signs and barriers"/>
    <n v="3"/>
    <n v="2"/>
    <n v="6"/>
    <s v="Reduced"/>
    <s v="Medium"/>
    <s v="Pending"/>
    <s v="HSE Officer"/>
    <x v="232"/>
  </r>
  <r>
    <s v="RA0272"/>
    <d v="2026-05-15T00:00:00"/>
    <x v="4"/>
    <s v="Workshop"/>
    <x v="8"/>
    <s v="Stored energy and moving parts"/>
    <s v="Mechanical"/>
    <s v="Serious injury"/>
    <n v="2"/>
    <n v="2"/>
    <n v="4"/>
    <x v="3"/>
    <s v="Preventive maintenance program"/>
    <s v="Improve supervision and monitoring"/>
    <n v="1"/>
    <n v="1"/>
    <n v="1"/>
    <s v="Reduced"/>
    <s v="Low"/>
    <s v="Pending"/>
    <s v="Maintenance Supervisor"/>
    <x v="162"/>
  </r>
  <r>
    <s v="RA0273"/>
    <d v="2026-04-06T00:00:00"/>
    <x v="2"/>
    <s v="Laboratory"/>
    <x v="2"/>
    <s v="Chemical exposure"/>
    <s v="Chemical"/>
    <s v="Eye injury"/>
    <n v="4"/>
    <n v="5"/>
    <n v="20"/>
    <x v="2"/>
    <s v="Emergency response equipment available"/>
    <s v="Conduct refresher training"/>
    <n v="3"/>
    <n v="4"/>
    <n v="12"/>
    <s v="Reduced"/>
    <s v="High"/>
    <s v="Implemented"/>
    <s v="Department Supervisor"/>
    <x v="23"/>
  </r>
  <r>
    <s v="RA0274"/>
    <d v="2026-06-17T00:00:00"/>
    <x v="1"/>
    <s v="Plant Area A"/>
    <x v="12"/>
    <s v="Stored pressure and rotating parts"/>
    <s v="Mechanical"/>
    <s v="Serious injury"/>
    <n v="3"/>
    <n v="2"/>
    <n v="6"/>
    <x v="0"/>
    <s v="Machine guarding and routine inspection"/>
    <s v="Update risk assessment and procedure"/>
    <n v="2"/>
    <n v="1"/>
    <n v="2"/>
    <s v="Reduced"/>
    <s v="Low"/>
    <s v="Implemented"/>
    <s v="HSE Officer"/>
    <x v="233"/>
  </r>
  <r>
    <s v="RA0275"/>
    <d v="2026-10-12T00:00:00"/>
    <x v="3"/>
    <s v="Workshop"/>
    <x v="3"/>
    <s v="Ergonomic hazards and slips/trips"/>
    <s v="Ergonomic"/>
    <s v="Musculoskeletal strain"/>
    <n v="3"/>
    <n v="2"/>
    <n v="6"/>
    <x v="0"/>
    <s v="Toolbox talk before work"/>
    <s v="Improve supervision and monitoring"/>
    <n v="1"/>
    <n v="2"/>
    <n v="2"/>
    <s v="Reduced"/>
    <s v="Low"/>
    <s v="Partially Implemented"/>
    <s v="HSE Engineer"/>
    <x v="234"/>
  </r>
  <r>
    <s v="RA0276"/>
    <d v="2026-02-06T00:00:00"/>
    <x v="4"/>
    <s v="Plant Area B"/>
    <x v="4"/>
    <s v="Unexpected equipment movement"/>
    <s v="Mechanical"/>
    <s v="Amputation"/>
    <n v="3"/>
    <n v="4"/>
    <n v="12"/>
    <x v="1"/>
    <s v="Preventive maintenance program"/>
    <s v="Update risk assessment and procedure"/>
    <n v="3"/>
    <n v="4"/>
    <n v="12"/>
    <s v="No Reduction"/>
    <s v="High"/>
    <s v="Partially Implemented"/>
    <s v="Production Supervisor"/>
    <x v="235"/>
  </r>
  <r>
    <s v="RA0277"/>
    <d v="2026-03-28T00:00:00"/>
    <x v="5"/>
    <s v="Plant Area B"/>
    <x v="5"/>
    <s v="Electric shock and arc flash"/>
    <s v="Electrical"/>
    <s v="Serious injury"/>
    <n v="3"/>
    <n v="4"/>
    <n v="12"/>
    <x v="1"/>
    <s v="Machine guarding and routine inspection"/>
    <s v="Verify PTW and isolation before work"/>
    <n v="3"/>
    <n v="3"/>
    <n v="9"/>
    <s v="Reduced"/>
    <s v="Medium"/>
    <s v="Implemented"/>
    <s v="HSE Officer"/>
    <x v="236"/>
  </r>
  <r>
    <s v="RA0278"/>
    <d v="2026-04-08T00:00:00"/>
    <x v="6"/>
    <s v="Utilities Area"/>
    <x v="7"/>
    <s v="Chemical exposure and spills"/>
    <s v="Chemical"/>
    <s v="Skin irritation"/>
    <n v="5"/>
    <n v="3"/>
    <n v="15"/>
    <x v="1"/>
    <s v="Safety signage and restricted access"/>
    <s v="Conduct refresher training"/>
    <n v="5"/>
    <n v="2"/>
    <n v="10"/>
    <s v="Reduced"/>
    <s v="High"/>
    <s v="Partially Implemented"/>
    <s v="Maintenance Supervisor"/>
    <x v="148"/>
  </r>
  <r>
    <s v="RA0279"/>
    <d v="2026-10-29T00:00:00"/>
    <x v="0"/>
    <s v="Laboratory"/>
    <x v="13"/>
    <s v="Moving machinery and dust"/>
    <s v="Mechanical"/>
    <s v="Cuts"/>
    <n v="4"/>
    <n v="4"/>
    <n v="16"/>
    <x v="1"/>
    <s v="Safety signage and restricted access"/>
    <s v="Install warning signs and barriers"/>
    <n v="3"/>
    <n v="4"/>
    <n v="12"/>
    <s v="Reduced"/>
    <s v="High"/>
    <s v="Partially Implemented"/>
    <s v="HSE Engineer"/>
    <x v="237"/>
  </r>
  <r>
    <s v="RA0280"/>
    <d v="2025-11-30T00:00:00"/>
    <x v="2"/>
    <s v="Workshop"/>
    <x v="2"/>
    <s v="Chemical exposure"/>
    <s v="Chemical"/>
    <s v="Respiratory irritation"/>
    <n v="2"/>
    <n v="4"/>
    <n v="8"/>
    <x v="0"/>
    <s v="Machine guarding and routine inspection"/>
    <s v="Update risk assessment and procedure"/>
    <n v="1"/>
    <n v="3"/>
    <n v="3"/>
    <s v="Reduced"/>
    <s v="Low"/>
    <s v="Pending"/>
    <s v="Maintenance Supervisor"/>
    <x v="192"/>
  </r>
  <r>
    <s v="RA0281"/>
    <d v="2025-02-02T00:00:00"/>
    <x v="5"/>
    <s v="Workshop"/>
    <x v="5"/>
    <s v="Electric shock and arc flash"/>
    <s v="Electrical"/>
    <s v="Electric shock"/>
    <n v="3"/>
    <n v="3"/>
    <n v="9"/>
    <x v="0"/>
    <s v="Trained and authorized personnel only"/>
    <s v="Verify PTW and isolation before work"/>
    <n v="2"/>
    <n v="2"/>
    <n v="4"/>
    <s v="Reduced"/>
    <s v="Low"/>
    <s v="Partially Implemented"/>
    <s v="HSE Engineer"/>
    <x v="238"/>
  </r>
  <r>
    <s v="RA0282"/>
    <d v="2026-04-17T00:00:00"/>
    <x v="5"/>
    <s v="Warehouse"/>
    <x v="5"/>
    <s v="Electric shock and arc flash"/>
    <s v="Electrical"/>
    <s v="Electric shock"/>
    <n v="3"/>
    <n v="5"/>
    <n v="15"/>
    <x v="1"/>
    <s v="Toolbox talk before work"/>
    <s v="Verify PTW and isolation before work"/>
    <n v="3"/>
    <n v="5"/>
    <n v="15"/>
    <s v="No Reduction"/>
    <s v="High"/>
    <s v="Pending"/>
    <s v="Production Supervisor"/>
    <x v="239"/>
  </r>
  <r>
    <s v="RA0283"/>
    <d v="2026-06-02T00:00:00"/>
    <x v="0"/>
    <s v="Plant Area A"/>
    <x v="0"/>
    <s v="Hot surfaces and high temperature"/>
    <s v="Thermal"/>
    <s v="Serious burn"/>
    <n v="5"/>
    <n v="5"/>
    <n v="25"/>
    <x v="2"/>
    <s v="Machine guarding and routine inspection"/>
    <s v="Update risk assessment and procedure"/>
    <n v="4"/>
    <n v="5"/>
    <n v="20"/>
    <s v="Reduced"/>
    <s v="Critical"/>
    <s v="Implemented"/>
    <s v="HSE Engineer"/>
    <x v="111"/>
  </r>
  <r>
    <s v="RA0284"/>
    <d v="2026-06-10T00:00:00"/>
    <x v="1"/>
    <s v="Workshop"/>
    <x v="1"/>
    <s v="Fire, fumes and hot work"/>
    <s v="Fire / Chemical"/>
    <s v="Burn"/>
    <n v="2"/>
    <n v="2"/>
    <n v="4"/>
    <x v="3"/>
    <s v="Preventive maintenance program"/>
    <s v="Install warning signs and barriers"/>
    <n v="2"/>
    <n v="2"/>
    <n v="4"/>
    <s v="No Reduction"/>
    <s v="Low"/>
    <s v="Implemented"/>
    <s v="HSE Engineer"/>
    <x v="240"/>
  </r>
  <r>
    <s v="RA0285"/>
    <d v="2025-05-01T00:00:00"/>
    <x v="1"/>
    <s v="Laboratory"/>
    <x v="1"/>
    <s v="Fire, fumes and hot work"/>
    <s v="Fire / Chemical"/>
    <s v="Fire-related injury"/>
    <n v="2"/>
    <n v="2"/>
    <n v="4"/>
    <x v="3"/>
    <s v="Trained and authorized personnel only"/>
    <s v="Implement engineering control"/>
    <n v="1"/>
    <n v="2"/>
    <n v="2"/>
    <s v="Reduced"/>
    <s v="Low"/>
    <s v="Implemented"/>
    <s v="Department Supervisor"/>
    <x v="112"/>
  </r>
  <r>
    <s v="RA0286"/>
    <d v="2025-07-26T00:00:00"/>
    <x v="2"/>
    <s v="Office"/>
    <x v="2"/>
    <s v="Chemical exposure"/>
    <s v="Chemical"/>
    <s v="Eye injury"/>
    <n v="4"/>
    <n v="2"/>
    <n v="8"/>
    <x v="0"/>
    <s v="Emergency response equipment available"/>
    <s v="Verify PTW and isolation before work"/>
    <n v="2"/>
    <n v="2"/>
    <n v="4"/>
    <s v="Reduced"/>
    <s v="Low"/>
    <s v="Partially Implemented"/>
    <s v="HSE Officer"/>
    <x v="208"/>
  </r>
  <r>
    <s v="RA0287"/>
    <d v="2026-07-27T00:00:00"/>
    <x v="0"/>
    <s v="Office"/>
    <x v="6"/>
    <s v="Fall from height"/>
    <s v="Work at Height"/>
    <s v="Fatal injury"/>
    <n v="3"/>
    <n v="4"/>
    <n v="12"/>
    <x v="1"/>
    <s v="Emergency response equipment available"/>
    <s v="Conduct emergency drill"/>
    <n v="3"/>
    <n v="3"/>
    <n v="9"/>
    <s v="Reduced"/>
    <s v="Medium"/>
    <s v="Partially Implemented"/>
    <s v="Department Supervisor"/>
    <x v="241"/>
  </r>
  <r>
    <s v="RA0288"/>
    <d v="2026-08-16T00:00:00"/>
    <x v="2"/>
    <s v="Workshop"/>
    <x v="2"/>
    <s v="Chemical exposure"/>
    <s v="Chemical"/>
    <s v="Eye injury"/>
    <n v="3"/>
    <n v="3"/>
    <n v="9"/>
    <x v="0"/>
    <s v="Preventive maintenance program"/>
    <s v="Provide specialized PPE"/>
    <n v="2"/>
    <n v="3"/>
    <n v="6"/>
    <s v="Reduced"/>
    <s v="Medium"/>
    <s v="Pending"/>
    <s v="Department Supervisor"/>
    <x v="242"/>
  </r>
  <r>
    <s v="RA0289"/>
    <d v="2026-03-01T00:00:00"/>
    <x v="4"/>
    <s v="Office"/>
    <x v="17"/>
    <s v="Oxygen deficiency / toxic atmosphere"/>
    <s v="Confined Space"/>
    <s v="Toxic exposure"/>
    <n v="3"/>
    <n v="5"/>
    <n v="15"/>
    <x v="1"/>
    <s v="Trained and authorized personnel only"/>
    <s v="Install additional physical guard"/>
    <n v="2"/>
    <n v="4"/>
    <n v="8"/>
    <s v="Reduced"/>
    <s v="Medium"/>
    <s v="Implemented"/>
    <s v="HSE Officer"/>
    <x v="243"/>
  </r>
  <r>
    <s v="RA0290"/>
    <d v="2025-07-06T00:00:00"/>
    <x v="6"/>
    <s v="Utilities Area"/>
    <x v="7"/>
    <s v="Chemical exposure and spills"/>
    <s v="Chemical"/>
    <s v="Skin irritation"/>
    <n v="4"/>
    <n v="4"/>
    <n v="16"/>
    <x v="1"/>
    <s v="Emergency response equipment available"/>
    <s v="Increase inspection frequency"/>
    <n v="3"/>
    <n v="3"/>
    <n v="9"/>
    <s v="Reduced"/>
    <s v="Medium"/>
    <s v="Pending"/>
    <s v="HSE Officer"/>
    <x v="244"/>
  </r>
  <r>
    <s v="RA0291"/>
    <d v="2026-03-25T00:00:00"/>
    <x v="0"/>
    <s v="Plant Area A"/>
    <x v="13"/>
    <s v="Moving machinery and dust"/>
    <s v="Mechanical"/>
    <s v="Crush injury"/>
    <n v="4"/>
    <n v="2"/>
    <n v="8"/>
    <x v="0"/>
    <s v="Standard operating procedure and supervision"/>
    <s v="Install warning signs and barriers"/>
    <n v="4"/>
    <n v="2"/>
    <n v="8"/>
    <s v="Reduced"/>
    <s v="Medium"/>
    <s v="Pending"/>
    <s v="Maintenance Supervisor"/>
    <x v="245"/>
  </r>
  <r>
    <s v="RA0292"/>
    <d v="2026-02-01T00:00:00"/>
    <x v="2"/>
    <s v="Laboratory"/>
    <x v="2"/>
    <s v="Chemical exposure"/>
    <s v="Chemical"/>
    <s v="Eye injury"/>
    <n v="3"/>
    <n v="2"/>
    <n v="6"/>
    <x v="0"/>
    <s v="Standard operating procedure and supervision"/>
    <s v="Update risk assessment and procedure"/>
    <n v="3"/>
    <n v="2"/>
    <n v="6"/>
    <s v="No Reduction"/>
    <s v="Medium"/>
    <s v="Partially Implemented"/>
    <s v="HSE Engineer"/>
    <x v="246"/>
  </r>
  <r>
    <s v="RA0293"/>
    <d v="2026-02-04T00:00:00"/>
    <x v="0"/>
    <s v="Plant Area B"/>
    <x v="9"/>
    <s v="Moving equipment / conveyor"/>
    <s v="Mechanical"/>
    <s v="Cuts"/>
    <n v="2"/>
    <n v="3"/>
    <n v="6"/>
    <x v="0"/>
    <s v="Safety signage and restricted access"/>
    <s v="Increase inspection frequency"/>
    <n v="1"/>
    <n v="3"/>
    <n v="3"/>
    <s v="Reduced"/>
    <s v="Low"/>
    <s v="Implemented"/>
    <s v="HSE Engineer"/>
    <x v="247"/>
  </r>
  <r>
    <s v="RA0294"/>
    <d v="2025-06-18T00:00:00"/>
    <x v="1"/>
    <s v="Warehouse"/>
    <x v="1"/>
    <s v="Fire, fumes and hot work"/>
    <s v="Fire / Chemical"/>
    <s v="Burn"/>
    <n v="4"/>
    <n v="5"/>
    <n v="20"/>
    <x v="2"/>
    <s v="Safety signage and restricted access"/>
    <s v="Update risk assessment and procedure"/>
    <n v="2"/>
    <n v="4"/>
    <n v="8"/>
    <s v="Reduced"/>
    <s v="Medium"/>
    <s v="Pending"/>
    <s v="Department Supervisor"/>
    <x v="18"/>
  </r>
  <r>
    <s v="RA0295"/>
    <d v="2026-07-02T00:00:00"/>
    <x v="4"/>
    <s v="Laboratory"/>
    <x v="8"/>
    <s v="Stored energy and moving parts"/>
    <s v="Mechanical"/>
    <s v="Serious injury"/>
    <n v="3"/>
    <n v="5"/>
    <n v="15"/>
    <x v="1"/>
    <s v="Safety signage and restricted access"/>
    <s v="Conduct refresher training"/>
    <n v="1"/>
    <n v="4"/>
    <n v="4"/>
    <s v="Reduced"/>
    <s v="Low"/>
    <s v="Implemented"/>
    <s v="Department Supervisor"/>
    <x v="46"/>
  </r>
  <r>
    <s v="RA0296"/>
    <d v="2025-12-17T00:00:00"/>
    <x v="6"/>
    <s v="Laboratory"/>
    <x v="7"/>
    <s v="Chemical exposure and spills"/>
    <s v="Chemical"/>
    <s v="Eye injury"/>
    <n v="2"/>
    <n v="5"/>
    <n v="10"/>
    <x v="1"/>
    <s v="Preventive maintenance program"/>
    <s v="Conduct refresher training"/>
    <n v="1"/>
    <n v="5"/>
    <n v="5"/>
    <s v="Reduced"/>
    <s v="Medium"/>
    <s v="Pending"/>
    <s v="Production Supervisor"/>
    <x v="248"/>
  </r>
  <r>
    <s v="RA0297"/>
    <d v="2026-10-27T00:00:00"/>
    <x v="4"/>
    <s v="Plant Area B"/>
    <x v="4"/>
    <s v="Unexpected equipment movement"/>
    <s v="Mechanical"/>
    <s v="Serious injury"/>
    <n v="4"/>
    <n v="3"/>
    <n v="12"/>
    <x v="1"/>
    <s v="Trained and authorized personnel only"/>
    <s v="Implement engineering control"/>
    <n v="4"/>
    <n v="3"/>
    <n v="12"/>
    <s v="No Reduction"/>
    <s v="High"/>
    <s v="Pending"/>
    <s v="HSE Officer"/>
    <x v="249"/>
  </r>
  <r>
    <s v="RA0298"/>
    <d v="2025-02-03T00:00:00"/>
    <x v="1"/>
    <s v="Workshop"/>
    <x v="1"/>
    <s v="Fire, fumes and hot work"/>
    <s v="Fire / Chemical"/>
    <s v="Burn"/>
    <n v="5"/>
    <n v="4"/>
    <n v="20"/>
    <x v="2"/>
    <s v="Emergency response equipment available"/>
    <s v="Conduct emergency drill"/>
    <n v="3"/>
    <n v="4"/>
    <n v="12"/>
    <s v="Reduced"/>
    <s v="High"/>
    <s v="Implemented"/>
    <s v="Maintenance Supervisor"/>
    <x v="250"/>
  </r>
  <r>
    <s v="RA0299"/>
    <d v="2026-09-29T00:00:00"/>
    <x v="1"/>
    <s v="Plant Area B"/>
    <x v="12"/>
    <s v="Stored pressure and rotating parts"/>
    <s v="Mechanical"/>
    <s v="Amputation"/>
    <n v="3"/>
    <n v="2"/>
    <n v="6"/>
    <x v="0"/>
    <s v="Standard operating procedure and supervision"/>
    <s v="Conduct refresher training"/>
    <n v="3"/>
    <n v="2"/>
    <n v="6"/>
    <s v="No Reduction"/>
    <s v="Medium"/>
    <s v="Partially Implemented"/>
    <s v="HSE Engineer"/>
    <x v="251"/>
  </r>
  <r>
    <s v="RA0300"/>
    <d v="2025-04-05T00:00:00"/>
    <x v="6"/>
    <s v="Office"/>
    <x v="7"/>
    <s v="Chemical exposure and spills"/>
    <s v="Chemical"/>
    <s v="Skin irritation"/>
    <n v="4"/>
    <n v="3"/>
    <n v="12"/>
    <x v="1"/>
    <s v="Safety signage and restricted access"/>
    <s v="Install warning signs and barriers"/>
    <n v="3"/>
    <n v="2"/>
    <n v="6"/>
    <s v="Reduced"/>
    <s v="Medium"/>
    <s v="Partially Implemented"/>
    <s v="HSE Officer"/>
    <x v="131"/>
  </r>
  <r>
    <s v="RA0301"/>
    <d v="2025-08-22T00:00:00"/>
    <x v="6"/>
    <s v="Laboratory"/>
    <x v="14"/>
    <s v="High pressure release"/>
    <s v="Pressure"/>
    <s v="Impact injury"/>
    <n v="4"/>
    <n v="3"/>
    <n v="12"/>
    <x v="1"/>
    <s v="Preventive maintenance program"/>
    <s v="Install warning signs and barriers"/>
    <n v="3"/>
    <n v="3"/>
    <n v="9"/>
    <s v="Reduced"/>
    <s v="Medium"/>
    <s v="Partially Implemented"/>
    <s v="HSE Engineer"/>
    <x v="252"/>
  </r>
  <r>
    <s v="RA0302"/>
    <d v="2025-02-06T00:00:00"/>
    <x v="4"/>
    <s v="Warehouse"/>
    <x v="8"/>
    <s v="Stored energy and moving parts"/>
    <s v="Mechanical"/>
    <s v="Serious injury"/>
    <n v="3"/>
    <n v="2"/>
    <n v="6"/>
    <x v="0"/>
    <s v="Preventive maintenance program"/>
    <s v="Implement engineering control"/>
    <n v="2"/>
    <n v="1"/>
    <n v="2"/>
    <s v="Reduced"/>
    <s v="Low"/>
    <s v="Pending"/>
    <s v="Department Supervisor"/>
    <x v="253"/>
  </r>
  <r>
    <s v="RA0303"/>
    <d v="2026-06-22T00:00:00"/>
    <x v="1"/>
    <s v="Office"/>
    <x v="12"/>
    <s v="Stored pressure and rotating parts"/>
    <s v="Mechanical"/>
    <s v="Crush injury"/>
    <n v="4"/>
    <n v="4"/>
    <n v="16"/>
    <x v="1"/>
    <s v="PPE provided and mandatory"/>
    <s v="Provide specialized PPE"/>
    <n v="3"/>
    <n v="4"/>
    <n v="12"/>
    <s v="Reduced"/>
    <s v="High"/>
    <s v="Partially Implemented"/>
    <s v="Production Supervisor"/>
    <x v="254"/>
  </r>
  <r>
    <s v="RA0304"/>
    <d v="2026-05-07T00:00:00"/>
    <x v="1"/>
    <s v="Workshop"/>
    <x v="12"/>
    <s v="Stored pressure and rotating parts"/>
    <s v="Mechanical"/>
    <s v="Serious injury"/>
    <n v="4"/>
    <n v="3"/>
    <n v="12"/>
    <x v="1"/>
    <s v="PPE provided and mandatory"/>
    <s v="Install additional physical guard"/>
    <n v="4"/>
    <n v="3"/>
    <n v="12"/>
    <s v="No Reduction"/>
    <s v="High"/>
    <s v="Partially Implemented"/>
    <s v="HSE Officer"/>
    <x v="255"/>
  </r>
  <r>
    <s v="RA0305"/>
    <d v="2025-04-24T00:00:00"/>
    <x v="0"/>
    <s v="Office"/>
    <x v="6"/>
    <s v="Fall from height"/>
    <s v="Work at Height"/>
    <s v="Fall injury"/>
    <n v="3"/>
    <n v="5"/>
    <n v="15"/>
    <x v="1"/>
    <s v="PPE provided and mandatory"/>
    <s v="Increase inspection frequency"/>
    <n v="2"/>
    <n v="4"/>
    <n v="8"/>
    <s v="Reduced"/>
    <s v="Medium"/>
    <s v="Partially Implemented"/>
    <s v="Department Supervisor"/>
    <x v="256"/>
  </r>
  <r>
    <s v="RA0306"/>
    <d v="2025-03-05T00:00:00"/>
    <x v="4"/>
    <s v="Plant Area B"/>
    <x v="17"/>
    <s v="Oxygen deficiency / toxic atmosphere"/>
    <s v="Confined Space"/>
    <s v="Serious injury"/>
    <n v="3"/>
    <n v="2"/>
    <n v="6"/>
    <x v="0"/>
    <s v="Safety signage and restricted access"/>
    <s v="Increase inspection frequency"/>
    <n v="3"/>
    <n v="2"/>
    <n v="6"/>
    <s v="Reduced"/>
    <s v="Medium"/>
    <s v="Partially Implemented"/>
    <s v="Maintenance Supervisor"/>
    <x v="257"/>
  </r>
  <r>
    <s v="RA0307"/>
    <d v="2025-08-08T00:00:00"/>
    <x v="4"/>
    <s v="Plant Area A"/>
    <x v="8"/>
    <s v="Stored energy and moving parts"/>
    <s v="Mechanical"/>
    <s v="Serious injury"/>
    <n v="5"/>
    <n v="2"/>
    <n v="10"/>
    <x v="1"/>
    <s v="Machine guarding and routine inspection"/>
    <s v="Conduct emergency drill"/>
    <n v="3"/>
    <n v="2"/>
    <n v="6"/>
    <s v="Reduced"/>
    <s v="Medium"/>
    <s v="Implemented"/>
    <s v="Production Supervisor"/>
    <x v="258"/>
  </r>
  <r>
    <s v="RA0308"/>
    <d v="2026-03-08T00:00:00"/>
    <x v="7"/>
    <s v="Laboratory"/>
    <x v="16"/>
    <s v="Falling objects"/>
    <s v="Physical"/>
    <s v="Head injury"/>
    <n v="3"/>
    <n v="2"/>
    <n v="6"/>
    <x v="0"/>
    <s v="Machine guarding and routine inspection"/>
    <s v="Verify PTW and isolation before work"/>
    <n v="2"/>
    <n v="1"/>
    <n v="2"/>
    <s v="Reduced"/>
    <s v="Low"/>
    <s v="Pending"/>
    <s v="HSE Officer"/>
    <x v="259"/>
  </r>
  <r>
    <s v="RA0309"/>
    <d v="2026-01-30T00:00:00"/>
    <x v="0"/>
    <s v="Workshop"/>
    <x v="9"/>
    <s v="Moving equipment / conveyor"/>
    <s v="Mechanical"/>
    <s v="Crush injury"/>
    <n v="4"/>
    <n v="3"/>
    <n v="12"/>
    <x v="1"/>
    <s v="Toolbox talk before work"/>
    <s v="Conduct refresher training"/>
    <n v="3"/>
    <n v="3"/>
    <n v="9"/>
    <s v="Reduced"/>
    <s v="Medium"/>
    <s v="Implemented"/>
    <s v="HSE Officer"/>
    <x v="205"/>
  </r>
  <r>
    <s v="RA0310"/>
    <d v="2025-08-22T00:00:00"/>
    <x v="0"/>
    <s v="Warehouse"/>
    <x v="13"/>
    <s v="Moving machinery and dust"/>
    <s v="Mechanical"/>
    <s v="Crush injury"/>
    <n v="5"/>
    <n v="4"/>
    <n v="20"/>
    <x v="2"/>
    <s v="Emergency response equipment available"/>
    <s v="Update risk assessment and procedure"/>
    <n v="4"/>
    <n v="4"/>
    <n v="16"/>
    <s v="Reduced"/>
    <s v="High"/>
    <s v="Implemented"/>
    <s v="HSE Engineer"/>
    <x v="252"/>
  </r>
  <r>
    <s v="RA0311"/>
    <d v="2025-06-25T00:00:00"/>
    <x v="6"/>
    <s v="Plant Area B"/>
    <x v="14"/>
    <s v="High pressure release"/>
    <s v="Pressure"/>
    <s v="Fatal injury"/>
    <n v="5"/>
    <n v="3"/>
    <n v="15"/>
    <x v="1"/>
    <s v="Toolbox talk before work"/>
    <s v="Conduct refresher training"/>
    <n v="4"/>
    <n v="2"/>
    <n v="8"/>
    <s v="Reduced"/>
    <s v="Medium"/>
    <s v="Partially Implemented"/>
    <s v="Department Supervisor"/>
    <x v="260"/>
  </r>
  <r>
    <s v="RA0312"/>
    <d v="2025-10-11T00:00:00"/>
    <x v="0"/>
    <s v="Office"/>
    <x v="13"/>
    <s v="Moving machinery and dust"/>
    <s v="Mechanical"/>
    <s v="Serious injury"/>
    <n v="2"/>
    <n v="5"/>
    <n v="10"/>
    <x v="1"/>
    <s v="Machine guarding and routine inspection"/>
    <s v="Conduct refresher training"/>
    <n v="1"/>
    <n v="5"/>
    <n v="5"/>
    <s v="Reduced"/>
    <s v="Medium"/>
    <s v="Partially Implemented"/>
    <s v="Maintenance Supervisor"/>
    <x v="261"/>
  </r>
  <r>
    <s v="RA0313"/>
    <d v="2026-11-14T00:00:00"/>
    <x v="4"/>
    <s v="Utilities Area"/>
    <x v="17"/>
    <s v="Oxygen deficiency / toxic atmosphere"/>
    <s v="Confined Space"/>
    <s v="Serious injury"/>
    <n v="2"/>
    <n v="5"/>
    <n v="10"/>
    <x v="1"/>
    <s v="Standard operating procedure and supervision"/>
    <s v="Improve supervision and monitoring"/>
    <n v="1"/>
    <n v="5"/>
    <n v="5"/>
    <s v="Reduced"/>
    <s v="Medium"/>
    <s v="Pending"/>
    <s v="Maintenance Supervisor"/>
    <x v="73"/>
  </r>
  <r>
    <s v="RA0314"/>
    <d v="2025-01-25T00:00:00"/>
    <x v="3"/>
    <s v="Warehouse"/>
    <x v="3"/>
    <s v="Ergonomic hazards and slips/trips"/>
    <s v="Ergonomic"/>
    <s v="Musculoskeletal strain"/>
    <n v="5"/>
    <n v="2"/>
    <n v="10"/>
    <x v="1"/>
    <s v="PPE provided and mandatory"/>
    <s v="Implement engineering control"/>
    <n v="4"/>
    <n v="2"/>
    <n v="8"/>
    <s v="Reduced"/>
    <s v="Medium"/>
    <s v="Implemented"/>
    <s v="HSE Engineer"/>
    <x v="262"/>
  </r>
  <r>
    <s v="RA0315"/>
    <d v="2026-09-22T00:00:00"/>
    <x v="4"/>
    <s v="Laboratory"/>
    <x v="4"/>
    <s v="Unexpected equipment movement"/>
    <s v="Mechanical"/>
    <s v="Serious injury"/>
    <n v="5"/>
    <n v="3"/>
    <n v="15"/>
    <x v="1"/>
    <s v="Standard operating procedure and supervision"/>
    <s v="Verify PTW and isolation before work"/>
    <n v="4"/>
    <n v="3"/>
    <n v="12"/>
    <s v="Reduced"/>
    <s v="High"/>
    <s v="Pending"/>
    <s v="HSE Officer"/>
    <x v="118"/>
  </r>
  <r>
    <s v="RA0316"/>
    <d v="2026-04-06T00:00:00"/>
    <x v="7"/>
    <s v="Plant Area A"/>
    <x v="16"/>
    <s v="Falling objects"/>
    <s v="Physical"/>
    <s v="Serious injury"/>
    <n v="4"/>
    <n v="4"/>
    <n v="16"/>
    <x v="1"/>
    <s v="Standard operating procedure and supervision"/>
    <s v="Install warning signs and barriers"/>
    <n v="3"/>
    <n v="3"/>
    <n v="9"/>
    <s v="Reduced"/>
    <s v="Medium"/>
    <s v="Partially Implemented"/>
    <s v="HSE Officer"/>
    <x v="94"/>
  </r>
  <r>
    <s v="RA0317"/>
    <d v="2025-08-27T00:00:00"/>
    <x v="7"/>
    <s v="Utilities Area"/>
    <x v="15"/>
    <s v="Vehicle-pedestrian interaction"/>
    <s v="Vehicle / Traffic"/>
    <s v="Collision"/>
    <n v="5"/>
    <n v="2"/>
    <n v="10"/>
    <x v="1"/>
    <s v="Machine guarding and routine inspection"/>
    <s v="Install additional physical guard"/>
    <n v="4"/>
    <n v="2"/>
    <n v="8"/>
    <s v="Reduced"/>
    <s v="Medium"/>
    <s v="Pending"/>
    <s v="HSE Officer"/>
    <x v="263"/>
  </r>
  <r>
    <s v="RA0318"/>
    <d v="2025-06-24T00:00:00"/>
    <x v="0"/>
    <s v="Laboratory"/>
    <x v="13"/>
    <s v="Moving machinery and dust"/>
    <s v="Mechanical"/>
    <s v="Cuts"/>
    <n v="5"/>
    <n v="3"/>
    <n v="15"/>
    <x v="1"/>
    <s v="Safety signage and restricted access"/>
    <s v="Install warning signs and barriers"/>
    <n v="4"/>
    <n v="3"/>
    <n v="12"/>
    <s v="Reduced"/>
    <s v="High"/>
    <s v="Implemented"/>
    <s v="Department Supervisor"/>
    <x v="264"/>
  </r>
  <r>
    <s v="RA0319"/>
    <d v="2025-10-12T00:00:00"/>
    <x v="5"/>
    <s v="Plant Area A"/>
    <x v="5"/>
    <s v="Electric shock and arc flash"/>
    <s v="Electrical"/>
    <s v="Electric shock"/>
    <n v="5"/>
    <n v="5"/>
    <n v="25"/>
    <x v="2"/>
    <s v="Emergency response equipment available"/>
    <s v="Improve supervision and monitoring"/>
    <n v="4"/>
    <n v="4"/>
    <n v="16"/>
    <s v="Reduced"/>
    <s v="High"/>
    <s v="Implemented"/>
    <s v="HSE Engineer"/>
    <x v="265"/>
  </r>
  <r>
    <s v="RA0320"/>
    <d v="2025-03-14T00:00:00"/>
    <x v="0"/>
    <s v="Workshop"/>
    <x v="13"/>
    <s v="Moving machinery and dust"/>
    <s v="Mechanical"/>
    <s v="Amputation"/>
    <n v="5"/>
    <n v="3"/>
    <n v="15"/>
    <x v="1"/>
    <s v="Machine guarding and routine inspection"/>
    <s v="Implement engineering control"/>
    <n v="3"/>
    <n v="3"/>
    <n v="9"/>
    <s v="Reduced"/>
    <s v="Medium"/>
    <s v="Pending"/>
    <s v="HSE Engineer"/>
    <x v="266"/>
  </r>
  <r>
    <s v="RA0321"/>
    <d v="2025-05-11T00:00:00"/>
    <x v="0"/>
    <s v="Warehouse"/>
    <x v="13"/>
    <s v="Moving machinery and dust"/>
    <s v="Mechanical"/>
    <s v="Amputation"/>
    <n v="2"/>
    <n v="4"/>
    <n v="8"/>
    <x v="0"/>
    <s v="Standard operating procedure and supervision"/>
    <s v="Provide specialized PPE"/>
    <n v="1"/>
    <n v="4"/>
    <n v="4"/>
    <s v="Reduced"/>
    <s v="Low"/>
    <s v="Pending"/>
    <s v="Maintenance Supervisor"/>
    <x v="267"/>
  </r>
  <r>
    <s v="RA0322"/>
    <d v="2025-03-22T00:00:00"/>
    <x v="4"/>
    <s v="Office"/>
    <x v="8"/>
    <s v="Stored energy and moving parts"/>
    <s v="Mechanical"/>
    <s v="Amputation"/>
    <n v="3"/>
    <n v="2"/>
    <n v="6"/>
    <x v="0"/>
    <s v="Machine guarding and routine inspection"/>
    <s v="Increase inspection frequency"/>
    <n v="2"/>
    <n v="2"/>
    <n v="4"/>
    <s v="Reduced"/>
    <s v="Low"/>
    <s v="Partially Implemented"/>
    <s v="Department Supervisor"/>
    <x v="268"/>
  </r>
  <r>
    <s v="RA0323"/>
    <d v="2026-09-16T00:00:00"/>
    <x v="0"/>
    <s v="Utilities Area"/>
    <x v="6"/>
    <s v="Fall from height"/>
    <s v="Work at Height"/>
    <s v="Fatal injury"/>
    <n v="4"/>
    <n v="4"/>
    <n v="16"/>
    <x v="1"/>
    <s v="Safety signage and restricted access"/>
    <s v="Install warning signs and barriers"/>
    <n v="2"/>
    <n v="3"/>
    <n v="6"/>
    <s v="Reduced"/>
    <s v="Medium"/>
    <s v="Pending"/>
    <s v="Department Supervisor"/>
    <x v="269"/>
  </r>
  <r>
    <s v="RA0324"/>
    <d v="2025-11-18T00:00:00"/>
    <x v="1"/>
    <s v="Plant Area B"/>
    <x v="12"/>
    <s v="Stored pressure and rotating parts"/>
    <s v="Mechanical"/>
    <s v="Crush injury"/>
    <n v="5"/>
    <n v="5"/>
    <n v="25"/>
    <x v="2"/>
    <s v="Standard operating procedure and supervision"/>
    <s v="Update risk assessment and procedure"/>
    <n v="3"/>
    <n v="4"/>
    <n v="12"/>
    <s v="Reduced"/>
    <s v="High"/>
    <s v="Implemented"/>
    <s v="HSE Engineer"/>
    <x v="270"/>
  </r>
  <r>
    <s v="RA0325"/>
    <d v="2026-01-23T00:00:00"/>
    <x v="2"/>
    <s v="Workshop"/>
    <x v="2"/>
    <s v="Chemical exposure"/>
    <s v="Chemical"/>
    <s v="Eye injury"/>
    <n v="3"/>
    <n v="3"/>
    <n v="9"/>
    <x v="0"/>
    <s v="Trained and authorized personnel only"/>
    <s v="Implement engineering control"/>
    <n v="2"/>
    <n v="3"/>
    <n v="6"/>
    <s v="Reduced"/>
    <s v="Medium"/>
    <s v="Pending"/>
    <s v="Maintenance Supervisor"/>
    <x v="70"/>
  </r>
  <r>
    <s v="RA0326"/>
    <d v="2025-07-11T00:00:00"/>
    <x v="1"/>
    <s v="Office"/>
    <x v="1"/>
    <s v="Fire, fumes and hot work"/>
    <s v="Fire / Chemical"/>
    <s v="Burn"/>
    <n v="5"/>
    <n v="5"/>
    <n v="25"/>
    <x v="2"/>
    <s v="PPE provided and mandatory"/>
    <s v="Provide specialized PPE"/>
    <n v="4"/>
    <n v="4"/>
    <n v="16"/>
    <s v="Reduced"/>
    <s v="High"/>
    <s v="Pending"/>
    <s v="HSE Engineer"/>
    <x v="271"/>
  </r>
  <r>
    <s v="RA0327"/>
    <d v="2026-09-16T00:00:00"/>
    <x v="4"/>
    <s v="Plant Area A"/>
    <x v="17"/>
    <s v="Oxygen deficiency / toxic atmosphere"/>
    <s v="Confined Space"/>
    <s v="Asphyxiation risk"/>
    <n v="5"/>
    <n v="2"/>
    <n v="10"/>
    <x v="1"/>
    <s v="Machine guarding and routine inspection"/>
    <s v="Install warning signs and barriers"/>
    <n v="4"/>
    <n v="2"/>
    <n v="8"/>
    <s v="Reduced"/>
    <s v="Medium"/>
    <s v="Implemented"/>
    <s v="HSE Officer"/>
    <x v="269"/>
  </r>
  <r>
    <s v="RA0328"/>
    <d v="2025-03-01T00:00:00"/>
    <x v="2"/>
    <s v="Utilities Area"/>
    <x v="2"/>
    <s v="Chemical exposure"/>
    <s v="Chemical"/>
    <s v="Respiratory irritation"/>
    <n v="3"/>
    <n v="4"/>
    <n v="12"/>
    <x v="1"/>
    <s v="Toolbox talk before work"/>
    <s v="Implement engineering control"/>
    <n v="2"/>
    <n v="3"/>
    <n v="6"/>
    <s v="Reduced"/>
    <s v="Medium"/>
    <s v="Partially Implemented"/>
    <s v="Maintenance Supervisor"/>
    <x v="272"/>
  </r>
  <r>
    <s v="RA0329"/>
    <d v="2025-08-25T00:00:00"/>
    <x v="3"/>
    <s v="Workshop"/>
    <x v="3"/>
    <s v="Ergonomic hazards and slips/trips"/>
    <s v="Ergonomic"/>
    <s v="Musculoskeletal strain"/>
    <n v="2"/>
    <n v="4"/>
    <n v="8"/>
    <x v="0"/>
    <s v="Trained and authorized personnel only"/>
    <s v="Update risk assessment and procedure"/>
    <n v="1"/>
    <n v="3"/>
    <n v="3"/>
    <s v="Reduced"/>
    <s v="Low"/>
    <s v="Implemented"/>
    <s v="Maintenance Supervisor"/>
    <x v="273"/>
  </r>
  <r>
    <s v="RA0330"/>
    <d v="2026-08-23T00:00:00"/>
    <x v="5"/>
    <s v="Workshop"/>
    <x v="5"/>
    <s v="Electric shock and arc flash"/>
    <s v="Electrical"/>
    <s v="Serious injury"/>
    <n v="4"/>
    <n v="2"/>
    <n v="8"/>
    <x v="0"/>
    <s v="Toolbox talk before work"/>
    <s v="Provide specialized PPE"/>
    <n v="3"/>
    <n v="1"/>
    <n v="3"/>
    <s v="Reduced"/>
    <s v="Low"/>
    <s v="Pending"/>
    <s v="Maintenance Supervisor"/>
    <x v="274"/>
  </r>
  <r>
    <s v="RA0331"/>
    <d v="2025-09-23T00:00:00"/>
    <x v="2"/>
    <s v="Utilities Area"/>
    <x v="2"/>
    <s v="Chemical exposure"/>
    <s v="Chemical"/>
    <s v="Skin irritation"/>
    <n v="2"/>
    <n v="5"/>
    <n v="10"/>
    <x v="1"/>
    <s v="PPE provided and mandatory"/>
    <s v="Update risk assessment and procedure"/>
    <n v="1"/>
    <n v="5"/>
    <n v="5"/>
    <s v="Reduced"/>
    <s v="Medium"/>
    <s v="Pending"/>
    <s v="Production Supervisor"/>
    <x v="275"/>
  </r>
  <r>
    <s v="RA0332"/>
    <d v="2026-02-05T00:00:00"/>
    <x v="4"/>
    <s v="Office"/>
    <x v="4"/>
    <s v="Unexpected equipment movement"/>
    <s v="Mechanical"/>
    <s v="Amputation"/>
    <n v="4"/>
    <n v="5"/>
    <n v="20"/>
    <x v="2"/>
    <s v="Safety signage and restricted access"/>
    <s v="Conduct refresher training"/>
    <n v="3"/>
    <n v="4"/>
    <n v="12"/>
    <s v="Reduced"/>
    <s v="High"/>
    <s v="Pending"/>
    <s v="HSE Engineer"/>
    <x v="276"/>
  </r>
  <r>
    <s v="RA0333"/>
    <d v="2025-07-15T00:00:00"/>
    <x v="4"/>
    <s v="Plant Area A"/>
    <x v="4"/>
    <s v="Unexpected equipment movement"/>
    <s v="Mechanical"/>
    <s v="Amputation"/>
    <n v="2"/>
    <n v="3"/>
    <n v="6"/>
    <x v="0"/>
    <s v="Toolbox talk before work"/>
    <s v="Update risk assessment and procedure"/>
    <n v="1"/>
    <n v="2"/>
    <n v="2"/>
    <s v="Reduced"/>
    <s v="Low"/>
    <s v="Partially Implemented"/>
    <s v="HSE Officer"/>
    <x v="277"/>
  </r>
  <r>
    <s v="RA0334"/>
    <d v="2025-12-11T00:00:00"/>
    <x v="5"/>
    <s v="Workshop"/>
    <x v="10"/>
    <s v="Electric shock and trip hazards"/>
    <s v="Electrical"/>
    <s v="Burn"/>
    <n v="5"/>
    <n v="2"/>
    <n v="10"/>
    <x v="1"/>
    <s v="Trained and authorized personnel only"/>
    <s v="Improve supervision and monitoring"/>
    <n v="4"/>
    <n v="2"/>
    <n v="8"/>
    <s v="Reduced"/>
    <s v="Medium"/>
    <s v="Pending"/>
    <s v="Maintenance Supervisor"/>
    <x v="278"/>
  </r>
  <r>
    <s v="RA0335"/>
    <d v="2025-03-01T00:00:00"/>
    <x v="5"/>
    <s v="Laboratory"/>
    <x v="5"/>
    <s v="Electric shock and arc flash"/>
    <s v="Electrical"/>
    <s v="Burn"/>
    <n v="3"/>
    <n v="2"/>
    <n v="6"/>
    <x v="0"/>
    <s v="Safety signage and restricted access"/>
    <s v="Install additional physical guard"/>
    <n v="2"/>
    <n v="1"/>
    <n v="2"/>
    <s v="Reduced"/>
    <s v="Low"/>
    <s v="Pending"/>
    <s v="HSE Officer"/>
    <x v="272"/>
  </r>
  <r>
    <s v="RA0336"/>
    <d v="2026-04-06T00:00:00"/>
    <x v="1"/>
    <s v="Laboratory"/>
    <x v="12"/>
    <s v="Stored pressure and rotating parts"/>
    <s v="Mechanical"/>
    <s v="Serious injury"/>
    <n v="2"/>
    <n v="5"/>
    <n v="10"/>
    <x v="1"/>
    <s v="PPE provided and mandatory"/>
    <s v="Conduct emergency drill"/>
    <n v="1"/>
    <n v="4"/>
    <n v="4"/>
    <s v="Reduced"/>
    <s v="Low"/>
    <s v="Partially Implemented"/>
    <s v="Maintenance Supervisor"/>
    <x v="23"/>
  </r>
  <r>
    <s v="RA0337"/>
    <d v="2025-05-12T00:00:00"/>
    <x v="6"/>
    <s v="Warehouse"/>
    <x v="18"/>
    <s v="High pressure and hot surfaces"/>
    <s v="Pressure / Thermal"/>
    <s v="Burn"/>
    <n v="2"/>
    <n v="3"/>
    <n v="6"/>
    <x v="0"/>
    <s v="Standard operating procedure and supervision"/>
    <s v="Conduct refresher training"/>
    <n v="1"/>
    <n v="2"/>
    <n v="2"/>
    <s v="Reduced"/>
    <s v="Low"/>
    <s v="Implemented"/>
    <s v="Maintenance Supervisor"/>
    <x v="279"/>
  </r>
  <r>
    <s v="RA0338"/>
    <d v="2025-02-05T00:00:00"/>
    <x v="7"/>
    <s v="Laboratory"/>
    <x v="15"/>
    <s v="Vehicle-pedestrian interaction"/>
    <s v="Vehicle / Traffic"/>
    <s v="Serious injury"/>
    <n v="4"/>
    <n v="2"/>
    <n v="8"/>
    <x v="0"/>
    <s v="Toolbox talk before work"/>
    <s v="Conduct emergency drill"/>
    <n v="2"/>
    <n v="2"/>
    <n v="4"/>
    <s v="Reduced"/>
    <s v="Low"/>
    <s v="Partially Implemented"/>
    <s v="HSE Officer"/>
    <x v="276"/>
  </r>
  <r>
    <s v="RA0339"/>
    <d v="2025-10-28T00:00:00"/>
    <x v="4"/>
    <s v="Warehouse"/>
    <x v="17"/>
    <s v="Oxygen deficiency / toxic atmosphere"/>
    <s v="Confined Space"/>
    <s v="Asphyxiation risk"/>
    <n v="5"/>
    <n v="3"/>
    <n v="15"/>
    <x v="1"/>
    <s v="Standard operating procedure and supervision"/>
    <s v="Verify PTW and isolation before work"/>
    <n v="5"/>
    <n v="3"/>
    <n v="15"/>
    <s v="Reduced"/>
    <s v="High"/>
    <s v="Partially Implemented"/>
    <s v="HSE Engineer"/>
    <x v="52"/>
  </r>
  <r>
    <s v="RA0340"/>
    <d v="2025-04-12T00:00:00"/>
    <x v="0"/>
    <s v="Plant Area B"/>
    <x v="6"/>
    <s v="Fall from height"/>
    <s v="Work at Height"/>
    <s v="Serious injury"/>
    <n v="4"/>
    <n v="3"/>
    <n v="12"/>
    <x v="1"/>
    <s v="Machine guarding and routine inspection"/>
    <s v="Conduct emergency drill"/>
    <n v="4"/>
    <n v="2"/>
    <n v="8"/>
    <s v="Reduced"/>
    <s v="Medium"/>
    <s v="Pending"/>
    <s v="Maintenance Supervisor"/>
    <x v="280"/>
  </r>
  <r>
    <s v="RA0341"/>
    <d v="2026-03-24T00:00:00"/>
    <x v="0"/>
    <s v="Laboratory"/>
    <x v="11"/>
    <s v="Collapse and underground services"/>
    <s v="Excavation"/>
    <s v="Collapse injury"/>
    <n v="4"/>
    <n v="4"/>
    <n v="16"/>
    <x v="1"/>
    <s v="Standard operating procedure and supervision"/>
    <s v="Update risk assessment and procedure"/>
    <n v="2"/>
    <n v="4"/>
    <n v="8"/>
    <s v="Reduced"/>
    <s v="Medium"/>
    <s v="Pending"/>
    <s v="Production Supervisor"/>
    <x v="13"/>
  </r>
  <r>
    <s v="RA0342"/>
    <d v="2025-11-05T00:00:00"/>
    <x v="1"/>
    <s v="Workshop"/>
    <x v="1"/>
    <s v="Fire, fumes and hot work"/>
    <s v="Fire / Chemical"/>
    <s v="Respiratory irritation"/>
    <n v="4"/>
    <n v="4"/>
    <n v="16"/>
    <x v="1"/>
    <s v="Machine guarding and routine inspection"/>
    <s v="Provide specialized PPE"/>
    <n v="4"/>
    <n v="3"/>
    <n v="12"/>
    <s v="Reduced"/>
    <s v="High"/>
    <s v="Pending"/>
    <s v="HSE Engineer"/>
    <x v="6"/>
  </r>
  <r>
    <s v="RA0343"/>
    <d v="2025-04-25T00:00:00"/>
    <x v="1"/>
    <s v="Plant Area B"/>
    <x v="1"/>
    <s v="Fire, fumes and hot work"/>
    <s v="Fire / Chemical"/>
    <s v="Fire-related injury"/>
    <n v="2"/>
    <n v="2"/>
    <n v="4"/>
    <x v="3"/>
    <s v="Standard operating procedure and supervision"/>
    <s v="Provide specialized PPE"/>
    <n v="1"/>
    <n v="1"/>
    <n v="1"/>
    <s v="Reduced"/>
    <s v="Low"/>
    <s v="Implemented"/>
    <s v="Production Supervisor"/>
    <x v="33"/>
  </r>
  <r>
    <s v="RA0344"/>
    <d v="2025-04-01T00:00:00"/>
    <x v="1"/>
    <s v="Laboratory"/>
    <x v="1"/>
    <s v="Fire, fumes and hot work"/>
    <s v="Fire / Chemical"/>
    <s v="Burn"/>
    <n v="2"/>
    <n v="5"/>
    <n v="10"/>
    <x v="1"/>
    <s v="PPE provided and mandatory"/>
    <s v="Verify PTW and isolation before work"/>
    <n v="1"/>
    <n v="4"/>
    <n v="4"/>
    <s v="Reduced"/>
    <s v="Low"/>
    <s v="Partially Implemented"/>
    <s v="Production Supervisor"/>
    <x v="281"/>
  </r>
  <r>
    <s v="RA0345"/>
    <d v="2025-07-07T00:00:00"/>
    <x v="1"/>
    <s v="Office"/>
    <x v="1"/>
    <s v="Fire, fumes and hot work"/>
    <s v="Fire / Chemical"/>
    <s v="Respiratory irritation"/>
    <n v="3"/>
    <n v="5"/>
    <n v="15"/>
    <x v="1"/>
    <s v="Emergency response equipment available"/>
    <s v="Verify PTW and isolation before work"/>
    <n v="2"/>
    <n v="4"/>
    <n v="8"/>
    <s v="Reduced"/>
    <s v="Medium"/>
    <s v="Partially Implemented"/>
    <s v="Maintenance Supervisor"/>
    <x v="282"/>
  </r>
  <r>
    <s v="RA0346"/>
    <d v="2025-06-29T00:00:00"/>
    <x v="4"/>
    <s v="Laboratory"/>
    <x v="4"/>
    <s v="Unexpected equipment movement"/>
    <s v="Mechanical"/>
    <s v="Serious injury"/>
    <n v="4"/>
    <n v="2"/>
    <n v="8"/>
    <x v="0"/>
    <s v="PPE provided and mandatory"/>
    <s v="Verify PTW and isolation before work"/>
    <n v="3"/>
    <n v="1"/>
    <n v="3"/>
    <s v="Reduced"/>
    <s v="Low"/>
    <s v="Implemented"/>
    <s v="Department Supervisor"/>
    <x v="57"/>
  </r>
  <r>
    <s v="RA0347"/>
    <d v="2026-05-27T00:00:00"/>
    <x v="0"/>
    <s v="Warehouse"/>
    <x v="13"/>
    <s v="Moving machinery and dust"/>
    <s v="Mechanical"/>
    <s v="Amputation"/>
    <n v="3"/>
    <n v="4"/>
    <n v="12"/>
    <x v="1"/>
    <s v="PPE provided and mandatory"/>
    <s v="Implement engineering control"/>
    <n v="1"/>
    <n v="4"/>
    <n v="4"/>
    <s v="Reduced"/>
    <s v="Low"/>
    <s v="Pending"/>
    <s v="Maintenance Supervisor"/>
    <x v="108"/>
  </r>
  <r>
    <s v="RA0348"/>
    <d v="2026-05-10T00:00:00"/>
    <x v="4"/>
    <s v="Office"/>
    <x v="4"/>
    <s v="Unexpected equipment movement"/>
    <s v="Mechanical"/>
    <s v="Serious injury"/>
    <n v="5"/>
    <n v="5"/>
    <n v="25"/>
    <x v="2"/>
    <s v="Trained and authorized personnel only"/>
    <s v="Provide specialized PPE"/>
    <n v="4"/>
    <n v="5"/>
    <n v="20"/>
    <s v="Reduced"/>
    <s v="Critical"/>
    <s v="Implemented"/>
    <s v="HSE Officer"/>
    <x v="283"/>
  </r>
  <r>
    <s v="RA0349"/>
    <d v="2025-08-06T00:00:00"/>
    <x v="1"/>
    <s v="Plant Area A"/>
    <x v="1"/>
    <s v="Fire, fumes and hot work"/>
    <s v="Fire / Chemical"/>
    <s v="Fire-related injury"/>
    <n v="4"/>
    <n v="4"/>
    <n v="16"/>
    <x v="1"/>
    <s v="Toolbox talk before work"/>
    <s v="Increase inspection frequency"/>
    <n v="4"/>
    <n v="4"/>
    <n v="16"/>
    <s v="Reduced"/>
    <s v="High"/>
    <s v="Partially Implemented"/>
    <s v="Production Supervisor"/>
    <x v="85"/>
  </r>
  <r>
    <s v="RA0350"/>
    <d v="2025-10-09T00:00:00"/>
    <x v="2"/>
    <s v="Office"/>
    <x v="2"/>
    <s v="Chemical exposure"/>
    <s v="Chemical"/>
    <s v="Respiratory irritation"/>
    <n v="4"/>
    <n v="4"/>
    <n v="16"/>
    <x v="1"/>
    <s v="Trained and authorized personnel only"/>
    <s v="Conduct emergency drill"/>
    <n v="2"/>
    <n v="3"/>
    <n v="6"/>
    <s v="Reduced"/>
    <s v="Medium"/>
    <s v="Partially Implemented"/>
    <s v="Department Supervisor"/>
    <x v="27"/>
  </r>
  <r>
    <s v="RA0351"/>
    <d v="2025-10-06T00:00:00"/>
    <x v="6"/>
    <s v="Utilities Area"/>
    <x v="18"/>
    <s v="High pressure and hot surfaces"/>
    <s v="Pressure / Thermal"/>
    <s v="Pressure-related injury"/>
    <n v="2"/>
    <n v="2"/>
    <n v="4"/>
    <x v="3"/>
    <s v="Toolbox talk before work"/>
    <s v="Increase inspection frequency"/>
    <n v="1"/>
    <n v="1"/>
    <n v="1"/>
    <s v="Reduced"/>
    <s v="Low"/>
    <s v="Implemented"/>
    <s v="Production Supervisor"/>
    <x v="284"/>
  </r>
  <r>
    <s v="RA0352"/>
    <d v="2025-01-20T00:00:00"/>
    <x v="6"/>
    <s v="Plant Area A"/>
    <x v="18"/>
    <s v="High pressure and hot surfaces"/>
    <s v="Pressure / Thermal"/>
    <s v="Pressure-related injury"/>
    <n v="4"/>
    <n v="4"/>
    <n v="16"/>
    <x v="1"/>
    <s v="Preventive maintenance program"/>
    <s v="Install additional physical guard"/>
    <n v="2"/>
    <n v="4"/>
    <n v="8"/>
    <s v="Reduced"/>
    <s v="Medium"/>
    <s v="Implemented"/>
    <s v="Maintenance Supervisor"/>
    <x v="285"/>
  </r>
  <r>
    <s v="RA0353"/>
    <d v="2026-08-29T00:00:00"/>
    <x v="4"/>
    <s v="Plant Area A"/>
    <x v="4"/>
    <s v="Unexpected equipment movement"/>
    <s v="Mechanical"/>
    <s v="Serious injury"/>
    <n v="4"/>
    <n v="3"/>
    <n v="12"/>
    <x v="1"/>
    <s v="Machine guarding and routine inspection"/>
    <s v="Conduct emergency drill"/>
    <n v="4"/>
    <n v="3"/>
    <n v="12"/>
    <s v="No Reduction"/>
    <s v="High"/>
    <s v="Pending"/>
    <s v="Department Supervisor"/>
    <x v="286"/>
  </r>
  <r>
    <s v="RA0354"/>
    <d v="2026-03-18T00:00:00"/>
    <x v="5"/>
    <s v="Office"/>
    <x v="5"/>
    <s v="Electric shock and arc flash"/>
    <s v="Electrical"/>
    <s v="Serious injury"/>
    <n v="4"/>
    <n v="3"/>
    <n v="12"/>
    <x v="1"/>
    <s v="Machine guarding and routine inspection"/>
    <s v="Install warning signs and barriers"/>
    <n v="3"/>
    <n v="3"/>
    <n v="9"/>
    <s v="Reduced"/>
    <s v="Medium"/>
    <s v="Pending"/>
    <s v="Maintenance Supervisor"/>
    <x v="287"/>
  </r>
  <r>
    <s v="RA0355"/>
    <d v="2026-08-20T00:00:00"/>
    <x v="3"/>
    <s v="Utilities Area"/>
    <x v="3"/>
    <s v="Ergonomic hazards and slips/trips"/>
    <s v="Ergonomic"/>
    <s v="Musculoskeletal strain"/>
    <n v="3"/>
    <n v="4"/>
    <n v="12"/>
    <x v="1"/>
    <s v="Safety signage and restricted access"/>
    <s v="Install additional physical guard"/>
    <n v="3"/>
    <n v="4"/>
    <n v="12"/>
    <s v="No Reduction"/>
    <s v="High"/>
    <s v="Implemented"/>
    <s v="Production Supervisor"/>
    <x v="288"/>
  </r>
  <r>
    <s v="RA0356"/>
    <d v="2025-10-12T00:00:00"/>
    <x v="4"/>
    <s v="Workshop"/>
    <x v="4"/>
    <s v="Unexpected equipment movement"/>
    <s v="Mechanical"/>
    <s v="Amputation"/>
    <n v="4"/>
    <n v="5"/>
    <n v="20"/>
    <x v="2"/>
    <s v="Toolbox talk before work"/>
    <s v="Verify PTW and isolation before work"/>
    <n v="4"/>
    <n v="5"/>
    <n v="20"/>
    <s v="Reduced"/>
    <s v="Critical"/>
    <s v="Implemented"/>
    <s v="HSE Engineer"/>
    <x v="265"/>
  </r>
  <r>
    <s v="RA0357"/>
    <d v="2025-01-13T00:00:00"/>
    <x v="0"/>
    <s v="Plant Area B"/>
    <x v="0"/>
    <s v="Hot surfaces and high temperature"/>
    <s v="Thermal"/>
    <s v="Heat stress"/>
    <n v="2"/>
    <n v="2"/>
    <n v="4"/>
    <x v="3"/>
    <s v="Emergency response equipment available"/>
    <s v="Conduct refresher training"/>
    <n v="1"/>
    <n v="1"/>
    <n v="1"/>
    <s v="Reduced"/>
    <s v="Low"/>
    <s v="Pending"/>
    <s v="Maintenance Supervisor"/>
    <x v="289"/>
  </r>
  <r>
    <s v="RA0358"/>
    <d v="2026-07-10T00:00:00"/>
    <x v="0"/>
    <s v="Plant Area A"/>
    <x v="13"/>
    <s v="Moving machinery and dust"/>
    <s v="Mechanical"/>
    <s v="Cuts"/>
    <n v="2"/>
    <n v="3"/>
    <n v="6"/>
    <x v="0"/>
    <s v="Standard operating procedure and supervision"/>
    <s v="Update risk assessment and procedure"/>
    <n v="1"/>
    <n v="2"/>
    <n v="2"/>
    <s v="Reduced"/>
    <s v="Low"/>
    <s v="Pending"/>
    <s v="HSE Engineer"/>
    <x v="290"/>
  </r>
  <r>
    <s v="RA0359"/>
    <d v="2026-10-27T00:00:00"/>
    <x v="7"/>
    <s v="Laboratory"/>
    <x v="16"/>
    <s v="Falling objects"/>
    <s v="Physical"/>
    <s v="Head injury"/>
    <n v="4"/>
    <n v="4"/>
    <n v="16"/>
    <x v="1"/>
    <s v="Trained and authorized personnel only"/>
    <s v="Improve supervision and monitoring"/>
    <n v="3"/>
    <n v="4"/>
    <n v="12"/>
    <s v="Reduced"/>
    <s v="High"/>
    <s v="Implemented"/>
    <s v="HSE Officer"/>
    <x v="92"/>
  </r>
  <r>
    <s v="RA0360"/>
    <d v="2025-06-14T00:00:00"/>
    <x v="5"/>
    <s v="Plant Area B"/>
    <x v="5"/>
    <s v="Electric shock and arc flash"/>
    <s v="Electrical"/>
    <s v="Electric shock"/>
    <n v="5"/>
    <n v="3"/>
    <n v="15"/>
    <x v="1"/>
    <s v="Safety signage and restricted access"/>
    <s v="Conduct refresher training"/>
    <n v="4"/>
    <n v="3"/>
    <n v="12"/>
    <s v="Reduced"/>
    <s v="High"/>
    <s v="Implemented"/>
    <s v="HSE Engineer"/>
    <x v="154"/>
  </r>
  <r>
    <s v="RA0361"/>
    <d v="2026-08-06T00:00:00"/>
    <x v="0"/>
    <s v="Plant Area A"/>
    <x v="6"/>
    <s v="Fall from height"/>
    <s v="Work at Height"/>
    <s v="Fatal injury"/>
    <n v="3"/>
    <n v="5"/>
    <n v="15"/>
    <x v="1"/>
    <s v="PPE provided and mandatory"/>
    <s v="Install warning signs and barriers"/>
    <n v="2"/>
    <n v="4"/>
    <n v="8"/>
    <s v="Reduced"/>
    <s v="Medium"/>
    <s v="Pending"/>
    <s v="Maintenance Supervisor"/>
    <x v="291"/>
  </r>
  <r>
    <s v="RA0362"/>
    <d v="2025-10-08T00:00:00"/>
    <x v="4"/>
    <s v="Plant Area B"/>
    <x v="4"/>
    <s v="Unexpected equipment movement"/>
    <s v="Mechanical"/>
    <s v="Crush injury"/>
    <n v="4"/>
    <n v="5"/>
    <n v="20"/>
    <x v="2"/>
    <s v="Trained and authorized personnel only"/>
    <s v="Conduct emergency drill"/>
    <n v="3"/>
    <n v="5"/>
    <n v="15"/>
    <s v="Reduced"/>
    <s v="High"/>
    <s v="Implemented"/>
    <s v="Maintenance Supervisor"/>
    <x v="198"/>
  </r>
  <r>
    <s v="RA0363"/>
    <d v="2026-08-05T00:00:00"/>
    <x v="4"/>
    <s v="Laboratory"/>
    <x v="17"/>
    <s v="Oxygen deficiency / toxic atmosphere"/>
    <s v="Confined Space"/>
    <s v="Asphyxiation risk"/>
    <n v="5"/>
    <n v="5"/>
    <n v="25"/>
    <x v="2"/>
    <s v="Machine guarding and routine inspection"/>
    <s v="Conduct emergency drill"/>
    <n v="4"/>
    <n v="5"/>
    <n v="20"/>
    <s v="Reduced"/>
    <s v="Critical"/>
    <s v="Implemented"/>
    <s v="HSE Officer"/>
    <x v="292"/>
  </r>
  <r>
    <s v="RA0364"/>
    <d v="2025-08-31T00:00:00"/>
    <x v="4"/>
    <s v="Plant Area A"/>
    <x v="4"/>
    <s v="Unexpected equipment movement"/>
    <s v="Mechanical"/>
    <s v="Amputation"/>
    <n v="4"/>
    <n v="5"/>
    <n v="20"/>
    <x v="2"/>
    <s v="Emergency response equipment available"/>
    <s v="Provide specialized PPE"/>
    <n v="3"/>
    <n v="4"/>
    <n v="12"/>
    <s v="Reduced"/>
    <s v="High"/>
    <s v="Pending"/>
    <s v="Department Supervisor"/>
    <x v="293"/>
  </r>
  <r>
    <s v="RA0365"/>
    <d v="2025-04-06T00:00:00"/>
    <x v="1"/>
    <s v="Office"/>
    <x v="12"/>
    <s v="Stored pressure and rotating parts"/>
    <s v="Mechanical"/>
    <s v="Serious injury"/>
    <n v="5"/>
    <n v="3"/>
    <n v="15"/>
    <x v="1"/>
    <s v="Safety signage and restricted access"/>
    <s v="Update risk assessment and procedure"/>
    <n v="5"/>
    <n v="3"/>
    <n v="15"/>
    <s v="Reduced"/>
    <s v="High"/>
    <s v="Implemented"/>
    <s v="Maintenance Supervisor"/>
    <x v="228"/>
  </r>
  <r>
    <s v="RA0366"/>
    <d v="2026-08-10T00:00:00"/>
    <x v="4"/>
    <s v="Utilities Area"/>
    <x v="4"/>
    <s v="Unexpected equipment movement"/>
    <s v="Mechanical"/>
    <s v="Crush injury"/>
    <n v="5"/>
    <n v="4"/>
    <n v="20"/>
    <x v="2"/>
    <s v="Trained and authorized personnel only"/>
    <s v="Conduct refresher training"/>
    <n v="3"/>
    <n v="3"/>
    <n v="9"/>
    <s v="Reduced"/>
    <s v="Medium"/>
    <s v="Partially Implemented"/>
    <s v="Department Supervisor"/>
    <x v="235"/>
  </r>
  <r>
    <s v="RA0367"/>
    <d v="2025-04-16T00:00:00"/>
    <x v="6"/>
    <s v="Utilities Area"/>
    <x v="14"/>
    <s v="High pressure release"/>
    <s v="Pressure"/>
    <s v="Fatal injury"/>
    <n v="3"/>
    <n v="5"/>
    <n v="15"/>
    <x v="1"/>
    <s v="PPE provided and mandatory"/>
    <s v="Update risk assessment and procedure"/>
    <n v="3"/>
    <n v="5"/>
    <n v="15"/>
    <s v="Reduced"/>
    <s v="High"/>
    <s v="Implemented"/>
    <s v="HSE Engineer"/>
    <x v="185"/>
  </r>
  <r>
    <s v="RA0368"/>
    <d v="2026-09-30T00:00:00"/>
    <x v="5"/>
    <s v="Plant Area B"/>
    <x v="5"/>
    <s v="Electric shock and arc flash"/>
    <s v="Electrical"/>
    <s v="Burn"/>
    <n v="5"/>
    <n v="4"/>
    <n v="20"/>
    <x v="2"/>
    <s v="PPE provided and mandatory"/>
    <s v="Update risk assessment and procedure"/>
    <n v="5"/>
    <n v="3"/>
    <n v="15"/>
    <s v="Reduced"/>
    <s v="High"/>
    <s v="Implemented"/>
    <s v="Production Supervisor"/>
    <x v="294"/>
  </r>
  <r>
    <s v="RA0369"/>
    <d v="2025-09-08T00:00:00"/>
    <x v="7"/>
    <s v="Plant Area B"/>
    <x v="16"/>
    <s v="Falling objects"/>
    <s v="Physical"/>
    <s v="Head injury"/>
    <n v="4"/>
    <n v="3"/>
    <n v="12"/>
    <x v="1"/>
    <s v="Toolbox talk before work"/>
    <s v="Provide specialized PPE"/>
    <n v="3"/>
    <n v="2"/>
    <n v="6"/>
    <s v="Reduced"/>
    <s v="Medium"/>
    <s v="Partially Implemented"/>
    <s v="HSE Officer"/>
    <x v="295"/>
  </r>
  <r>
    <s v="RA0370"/>
    <d v="2025-03-25T00:00:00"/>
    <x v="0"/>
    <s v="Utilities Area"/>
    <x v="9"/>
    <s v="Moving equipment / conveyor"/>
    <s v="Mechanical"/>
    <s v="Cuts"/>
    <n v="3"/>
    <n v="2"/>
    <n v="6"/>
    <x v="0"/>
    <s v="Emergency response equipment available"/>
    <s v="Conduct refresher training"/>
    <n v="2"/>
    <n v="1"/>
    <n v="2"/>
    <s v="Reduced"/>
    <s v="Low"/>
    <s v="Partially Implemented"/>
    <s v="HSE Engineer"/>
    <x v="296"/>
  </r>
  <r>
    <s v="RA0371"/>
    <d v="2026-05-04T00:00:00"/>
    <x v="3"/>
    <s v="Workshop"/>
    <x v="3"/>
    <s v="Ergonomic hazards and slips/trips"/>
    <s v="Ergonomic"/>
    <s v="Musculoskeletal strain"/>
    <n v="5"/>
    <n v="2"/>
    <n v="10"/>
    <x v="1"/>
    <s v="Toolbox talk before work"/>
    <s v="Update risk assessment and procedure"/>
    <n v="5"/>
    <n v="1"/>
    <n v="5"/>
    <s v="Reduced"/>
    <s v="Medium"/>
    <s v="Partially Implemented"/>
    <s v="HSE Engineer"/>
    <x v="297"/>
  </r>
  <r>
    <s v="RA0372"/>
    <d v="2025-07-20T00:00:00"/>
    <x v="2"/>
    <s v="Plant Area A"/>
    <x v="2"/>
    <s v="Chemical exposure"/>
    <s v="Chemical"/>
    <s v="Eye injury"/>
    <n v="3"/>
    <n v="2"/>
    <n v="6"/>
    <x v="0"/>
    <s v="Preventive maintenance program"/>
    <s v="Implement engineering control"/>
    <n v="2"/>
    <n v="2"/>
    <n v="4"/>
    <s v="Reduced"/>
    <s v="Low"/>
    <s v="Partially Implemented"/>
    <s v="Maintenance Supervisor"/>
    <x v="298"/>
  </r>
  <r>
    <s v="RA0373"/>
    <d v="2026-10-24T00:00:00"/>
    <x v="6"/>
    <s v="Laboratory"/>
    <x v="14"/>
    <s v="High pressure release"/>
    <s v="Pressure"/>
    <s v="Fatal injury"/>
    <n v="4"/>
    <n v="5"/>
    <n v="20"/>
    <x v="2"/>
    <s v="Safety signage and restricted access"/>
    <s v="Install warning signs and barriers"/>
    <n v="2"/>
    <n v="5"/>
    <n v="10"/>
    <s v="Reduced"/>
    <s v="High"/>
    <s v="Implemented"/>
    <s v="Production Supervisor"/>
    <x v="299"/>
  </r>
  <r>
    <s v="RA0374"/>
    <d v="2025-04-08T00:00:00"/>
    <x v="7"/>
    <s v="Utilities Area"/>
    <x v="16"/>
    <s v="Falling objects"/>
    <s v="Physical"/>
    <s v="Serious injury"/>
    <n v="2"/>
    <n v="3"/>
    <n v="6"/>
    <x v="0"/>
    <s v="Trained and authorized personnel only"/>
    <s v="Conduct refresher training"/>
    <n v="1"/>
    <n v="3"/>
    <n v="3"/>
    <s v="Reduced"/>
    <s v="Low"/>
    <s v="Implemented"/>
    <s v="Department Supervisor"/>
    <x v="300"/>
  </r>
  <r>
    <s v="RA0375"/>
    <d v="2025-08-13T00:00:00"/>
    <x v="6"/>
    <s v="Workshop"/>
    <x v="7"/>
    <s v="Chemical exposure and spills"/>
    <s v="Chemical"/>
    <s v="Respiratory irritation"/>
    <n v="3"/>
    <n v="2"/>
    <n v="6"/>
    <x v="0"/>
    <s v="Toolbox talk before work"/>
    <s v="Verify PTW and isolation before work"/>
    <n v="2"/>
    <n v="2"/>
    <n v="4"/>
    <s v="Reduced"/>
    <s v="Low"/>
    <s v="Partially Implemented"/>
    <s v="HSE Engineer"/>
    <x v="301"/>
  </r>
  <r>
    <s v="RA0376"/>
    <d v="2026-02-16T00:00:00"/>
    <x v="7"/>
    <s v="Utilities Area"/>
    <x v="16"/>
    <s v="Falling objects"/>
    <s v="Physical"/>
    <s v="Head injury"/>
    <n v="3"/>
    <n v="5"/>
    <n v="15"/>
    <x v="1"/>
    <s v="Standard operating procedure and supervision"/>
    <s v="Improve supervision and monitoring"/>
    <n v="2"/>
    <n v="4"/>
    <n v="8"/>
    <s v="Reduced"/>
    <s v="Medium"/>
    <s v="Partially Implemented"/>
    <s v="Department Supervisor"/>
    <x v="302"/>
  </r>
  <r>
    <s v="RA0377"/>
    <d v="2026-11-02T00:00:00"/>
    <x v="0"/>
    <s v="Plant Area B"/>
    <x v="0"/>
    <s v="Hot surfaces and high temperature"/>
    <s v="Thermal"/>
    <s v="Serious burn"/>
    <n v="2"/>
    <n v="3"/>
    <n v="6"/>
    <x v="0"/>
    <s v="Trained and authorized personnel only"/>
    <s v="Improve supervision and monitoring"/>
    <n v="1"/>
    <n v="3"/>
    <n v="3"/>
    <s v="Reduced"/>
    <s v="Low"/>
    <s v="Partially Implemented"/>
    <s v="HSE Engineer"/>
    <x v="303"/>
  </r>
  <r>
    <s v="RA0378"/>
    <d v="2026-05-13T00:00:00"/>
    <x v="2"/>
    <s v="Plant Area B"/>
    <x v="2"/>
    <s v="Chemical exposure"/>
    <s v="Chemical"/>
    <s v="Skin irritation"/>
    <n v="2"/>
    <n v="4"/>
    <n v="8"/>
    <x v="0"/>
    <s v="Safety signage and restricted access"/>
    <s v="Update risk assessment and procedure"/>
    <n v="1"/>
    <n v="4"/>
    <n v="4"/>
    <s v="Reduced"/>
    <s v="Low"/>
    <s v="Pending"/>
    <s v="Department Supervisor"/>
    <x v="304"/>
  </r>
  <r>
    <s v="RA0379"/>
    <d v="2025-12-24T00:00:00"/>
    <x v="4"/>
    <s v="Office"/>
    <x v="17"/>
    <s v="Oxygen deficiency / toxic atmosphere"/>
    <s v="Confined Space"/>
    <s v="Toxic exposure"/>
    <n v="3"/>
    <n v="4"/>
    <n v="12"/>
    <x v="1"/>
    <s v="Toolbox talk before work"/>
    <s v="Conduct refresher training"/>
    <n v="2"/>
    <n v="4"/>
    <n v="8"/>
    <s v="Reduced"/>
    <s v="Medium"/>
    <s v="Pending"/>
    <s v="HSE Officer"/>
    <x v="305"/>
  </r>
  <r>
    <s v="RA0380"/>
    <d v="2025-07-16T00:00:00"/>
    <x v="7"/>
    <s v="Workshop"/>
    <x v="16"/>
    <s v="Falling objects"/>
    <s v="Physical"/>
    <s v="Head injury"/>
    <n v="4"/>
    <n v="2"/>
    <n v="8"/>
    <x v="0"/>
    <s v="Safety signage and restricted access"/>
    <s v="Update risk assessment and procedure"/>
    <n v="4"/>
    <n v="2"/>
    <n v="8"/>
    <s v="No Reduction"/>
    <s v="Medium"/>
    <s v="Partially Implemented"/>
    <s v="HSE Engineer"/>
    <x v="306"/>
  </r>
  <r>
    <s v="RA0381"/>
    <d v="2026-09-09T00:00:00"/>
    <x v="3"/>
    <s v="Laboratory"/>
    <x v="3"/>
    <s v="Ergonomic hazards and slips/trips"/>
    <s v="Ergonomic"/>
    <s v="Slip/trip injury"/>
    <n v="3"/>
    <n v="5"/>
    <n v="15"/>
    <x v="1"/>
    <s v="Preventive maintenance program"/>
    <s v="Implement engineering control"/>
    <n v="1"/>
    <n v="4"/>
    <n v="4"/>
    <s v="Reduced"/>
    <s v="Low"/>
    <s v="Implemented"/>
    <s v="Production Supervisor"/>
    <x v="307"/>
  </r>
  <r>
    <s v="RA0382"/>
    <d v="2025-11-30T00:00:00"/>
    <x v="7"/>
    <s v="Office"/>
    <x v="15"/>
    <s v="Vehicle-pedestrian interaction"/>
    <s v="Vehicle / Traffic"/>
    <s v="Serious injury"/>
    <n v="3"/>
    <n v="5"/>
    <n v="15"/>
    <x v="1"/>
    <s v="Machine guarding and routine inspection"/>
    <s v="Improve supervision and monitoring"/>
    <n v="1"/>
    <n v="5"/>
    <n v="5"/>
    <s v="Reduced"/>
    <s v="Medium"/>
    <s v="Pending"/>
    <s v="HSE Officer"/>
    <x v="308"/>
  </r>
  <r>
    <s v="RA0383"/>
    <d v="2026-08-19T00:00:00"/>
    <x v="0"/>
    <s v="Utilities Area"/>
    <x v="0"/>
    <s v="Hot surfaces and high temperature"/>
    <s v="Thermal"/>
    <s v="Serious burn"/>
    <n v="4"/>
    <n v="5"/>
    <n v="20"/>
    <x v="2"/>
    <s v="PPE provided and mandatory"/>
    <s v="Install additional physical guard"/>
    <n v="3"/>
    <n v="4"/>
    <n v="12"/>
    <s v="Reduced"/>
    <s v="High"/>
    <s v="Implemented"/>
    <s v="HSE Engineer"/>
    <x v="309"/>
  </r>
  <r>
    <s v="RA0384"/>
    <d v="2025-07-31T00:00:00"/>
    <x v="5"/>
    <s v="Laboratory"/>
    <x v="10"/>
    <s v="Electric shock and trip hazards"/>
    <s v="Electrical"/>
    <s v="Electric shock"/>
    <n v="3"/>
    <n v="4"/>
    <n v="12"/>
    <x v="1"/>
    <s v="Trained and authorized personnel only"/>
    <s v="Install additional physical guard"/>
    <n v="2"/>
    <n v="4"/>
    <n v="8"/>
    <s v="Reduced"/>
    <s v="Medium"/>
    <s v="Implemented"/>
    <s v="Production Supervisor"/>
    <x v="32"/>
  </r>
  <r>
    <s v="RA0385"/>
    <d v="2025-09-11T00:00:00"/>
    <x v="5"/>
    <s v="Workshop"/>
    <x v="10"/>
    <s v="Electric shock and trip hazards"/>
    <s v="Electrical"/>
    <s v="Serious injury"/>
    <n v="5"/>
    <n v="2"/>
    <n v="10"/>
    <x v="1"/>
    <s v="Preventive maintenance program"/>
    <s v="Install warning signs and barriers"/>
    <n v="5"/>
    <n v="1"/>
    <n v="5"/>
    <s v="Reduced"/>
    <s v="Medium"/>
    <s v="Partially Implemented"/>
    <s v="Maintenance Supervisor"/>
    <x v="310"/>
  </r>
  <r>
    <s v="RA0386"/>
    <d v="2025-10-08T00:00:00"/>
    <x v="6"/>
    <s v="Workshop"/>
    <x v="14"/>
    <s v="High pressure release"/>
    <s v="Pressure"/>
    <s v="Fatal injury"/>
    <n v="2"/>
    <n v="2"/>
    <n v="4"/>
    <x v="3"/>
    <s v="Emergency response equipment available"/>
    <s v="Conduct emergency drill"/>
    <n v="2"/>
    <n v="2"/>
    <n v="4"/>
    <s v="Reduced"/>
    <s v="Low"/>
    <s v="Pending"/>
    <s v="Production Supervisor"/>
    <x v="198"/>
  </r>
  <r>
    <s v="RA0387"/>
    <d v="2025-04-26T00:00:00"/>
    <x v="3"/>
    <s v="Workshop"/>
    <x v="3"/>
    <s v="Ergonomic hazards and slips/trips"/>
    <s v="Ergonomic"/>
    <s v="Musculoskeletal strain"/>
    <n v="5"/>
    <n v="5"/>
    <n v="25"/>
    <x v="2"/>
    <s v="Toolbox talk before work"/>
    <s v="Update risk assessment and procedure"/>
    <n v="4"/>
    <n v="5"/>
    <n v="20"/>
    <s v="Reduced"/>
    <s v="Critical"/>
    <s v="Pending"/>
    <s v="HSE Officer"/>
    <x v="52"/>
  </r>
  <r>
    <s v="RA0388"/>
    <d v="2025-04-07T00:00:00"/>
    <x v="0"/>
    <s v="Utilities Area"/>
    <x v="13"/>
    <s v="Moving machinery and dust"/>
    <s v="Mechanical"/>
    <s v="Serious injury"/>
    <n v="5"/>
    <n v="5"/>
    <n v="25"/>
    <x v="2"/>
    <s v="Safety signage and restricted access"/>
    <s v="Provide specialized PPE"/>
    <n v="4"/>
    <n v="4"/>
    <n v="16"/>
    <s v="Reduced"/>
    <s v="High"/>
    <s v="Implemented"/>
    <s v="Department Supervisor"/>
    <x v="311"/>
  </r>
  <r>
    <s v="RA0389"/>
    <d v="2026-06-29T00:00:00"/>
    <x v="6"/>
    <s v="Warehouse"/>
    <x v="7"/>
    <s v="Chemical exposure and spills"/>
    <s v="Chemical"/>
    <s v="Eye injury"/>
    <n v="4"/>
    <n v="4"/>
    <n v="16"/>
    <x v="1"/>
    <s v="Trained and authorized personnel only"/>
    <s v="Verify PTW and isolation before work"/>
    <n v="3"/>
    <n v="3"/>
    <n v="9"/>
    <s v="Reduced"/>
    <s v="Medium"/>
    <s v="Implemented"/>
    <s v="Department Supervisor"/>
    <x v="43"/>
  </r>
  <r>
    <s v="RA0390"/>
    <d v="2025-01-02T00:00:00"/>
    <x v="0"/>
    <s v="Utilities Area"/>
    <x v="13"/>
    <s v="Moving machinery and dust"/>
    <s v="Mechanical"/>
    <s v="Serious injury"/>
    <n v="5"/>
    <n v="5"/>
    <n v="25"/>
    <x v="2"/>
    <s v="Standard operating procedure and supervision"/>
    <s v="Conduct refresher training"/>
    <n v="4"/>
    <n v="5"/>
    <n v="20"/>
    <s v="Reduced"/>
    <s v="Critical"/>
    <s v="Pending"/>
    <s v="Department Supervisor"/>
    <x v="312"/>
  </r>
  <r>
    <s v="RA0391"/>
    <d v="2025-12-01T00:00:00"/>
    <x v="6"/>
    <s v="Warehouse"/>
    <x v="18"/>
    <s v="High pressure and hot surfaces"/>
    <s v="Pressure / Thermal"/>
    <s v="Burn"/>
    <n v="4"/>
    <n v="5"/>
    <n v="20"/>
    <x v="2"/>
    <s v="Safety signage and restricted access"/>
    <s v="Update risk assessment and procedure"/>
    <n v="3"/>
    <n v="5"/>
    <n v="15"/>
    <s v="Reduced"/>
    <s v="High"/>
    <s v="Partially Implemented"/>
    <s v="Maintenance Supervisor"/>
    <x v="313"/>
  </r>
  <r>
    <s v="RA0392"/>
    <d v="2025-05-10T00:00:00"/>
    <x v="0"/>
    <s v="Office"/>
    <x v="13"/>
    <s v="Moving machinery and dust"/>
    <s v="Mechanical"/>
    <s v="Crush injury"/>
    <n v="4"/>
    <n v="5"/>
    <n v="20"/>
    <x v="2"/>
    <s v="PPE provided and mandatory"/>
    <s v="Update risk assessment and procedure"/>
    <n v="2"/>
    <n v="5"/>
    <n v="10"/>
    <s v="Reduced"/>
    <s v="High"/>
    <s v="Pending"/>
    <s v="HSE Officer"/>
    <x v="314"/>
  </r>
  <r>
    <s v="RA0393"/>
    <d v="2025-09-18T00:00:00"/>
    <x v="6"/>
    <s v="Laboratory"/>
    <x v="18"/>
    <s v="High pressure and hot surfaces"/>
    <s v="Pressure / Thermal"/>
    <s v="Pressure-related injury"/>
    <n v="5"/>
    <n v="5"/>
    <n v="25"/>
    <x v="2"/>
    <s v="Emergency response equipment available"/>
    <s v="Provide specialized PPE"/>
    <n v="4"/>
    <n v="5"/>
    <n v="20"/>
    <s v="Reduced"/>
    <s v="Critical"/>
    <s v="Pending"/>
    <s v="Production Supervisor"/>
    <x v="315"/>
  </r>
  <r>
    <s v="RA0394"/>
    <d v="2026-09-10T00:00:00"/>
    <x v="6"/>
    <s v="Workshop"/>
    <x v="18"/>
    <s v="High pressure and hot surfaces"/>
    <s v="Pressure / Thermal"/>
    <s v="Serious injury"/>
    <n v="4"/>
    <n v="5"/>
    <n v="20"/>
    <x v="2"/>
    <s v="Toolbox talk before work"/>
    <s v="Install additional physical guard"/>
    <n v="3"/>
    <n v="5"/>
    <n v="15"/>
    <s v="Reduced"/>
    <s v="High"/>
    <s v="Pending"/>
    <s v="Production Supervisor"/>
    <x v="316"/>
  </r>
  <r>
    <s v="RA0395"/>
    <d v="2025-09-02T00:00:00"/>
    <x v="6"/>
    <s v="Plant Area B"/>
    <x v="7"/>
    <s v="Chemical exposure and spills"/>
    <s v="Chemical"/>
    <s v="Respiratory irritation"/>
    <n v="2"/>
    <n v="4"/>
    <n v="8"/>
    <x v="0"/>
    <s v="Preventive maintenance program"/>
    <s v="Install additional physical guard"/>
    <n v="1"/>
    <n v="3"/>
    <n v="3"/>
    <s v="Reduced"/>
    <s v="Low"/>
    <s v="Pending"/>
    <s v="Maintenance Supervisor"/>
    <x v="317"/>
  </r>
  <r>
    <s v="RA0396"/>
    <d v="2025-07-25T00:00:00"/>
    <x v="7"/>
    <s v="Utilities Area"/>
    <x v="16"/>
    <s v="Falling objects"/>
    <s v="Physical"/>
    <s v="Serious injury"/>
    <n v="3"/>
    <n v="2"/>
    <n v="6"/>
    <x v="0"/>
    <s v="Trained and authorized personnel only"/>
    <s v="Implement engineering control"/>
    <n v="2"/>
    <n v="1"/>
    <n v="2"/>
    <s v="Reduced"/>
    <s v="Low"/>
    <s v="Partially Implemented"/>
    <s v="Maintenance Supervisor"/>
    <x v="218"/>
  </r>
  <r>
    <s v="RA0397"/>
    <d v="2026-08-12T00:00:00"/>
    <x v="7"/>
    <s v="Utilities Area"/>
    <x v="15"/>
    <s v="Vehicle-pedestrian interaction"/>
    <s v="Vehicle / Traffic"/>
    <s v="Serious injury"/>
    <n v="5"/>
    <n v="5"/>
    <n v="25"/>
    <x v="2"/>
    <s v="Trained and authorized personnel only"/>
    <s v="Conduct emergency drill"/>
    <n v="4"/>
    <n v="5"/>
    <n v="20"/>
    <s v="Reduced"/>
    <s v="Critical"/>
    <s v="Pending"/>
    <s v="Maintenance Supervisor"/>
    <x v="194"/>
  </r>
  <r>
    <s v="RA0398"/>
    <d v="2026-05-10T00:00:00"/>
    <x v="0"/>
    <s v="Plant Area A"/>
    <x v="11"/>
    <s v="Collapse and underground services"/>
    <s v="Excavation"/>
    <s v="Collapse injury"/>
    <n v="3"/>
    <n v="4"/>
    <n v="12"/>
    <x v="1"/>
    <s v="PPE provided and mandatory"/>
    <s v="Update risk assessment and procedure"/>
    <n v="3"/>
    <n v="3"/>
    <n v="9"/>
    <s v="Reduced"/>
    <s v="Medium"/>
    <s v="Partially Implemented"/>
    <s v="HSE Officer"/>
    <x v="120"/>
  </r>
  <r>
    <s v="RA0399"/>
    <d v="2025-01-21T00:00:00"/>
    <x v="5"/>
    <s v="Office"/>
    <x v="10"/>
    <s v="Electric shock and trip hazards"/>
    <s v="Electrical"/>
    <s v="Burn"/>
    <n v="4"/>
    <n v="2"/>
    <n v="8"/>
    <x v="0"/>
    <s v="Standard operating procedure and supervision"/>
    <s v="Conduct refresher training"/>
    <n v="3"/>
    <n v="1"/>
    <n v="3"/>
    <s v="Reduced"/>
    <s v="Low"/>
    <s v="Implemented"/>
    <s v="HSE Officer"/>
    <x v="318"/>
  </r>
  <r>
    <s v="RA0400"/>
    <d v="2025-05-16T00:00:00"/>
    <x v="6"/>
    <s v="Office"/>
    <x v="18"/>
    <s v="High pressure and hot surfaces"/>
    <s v="Pressure / Thermal"/>
    <s v="Serious injury"/>
    <n v="2"/>
    <n v="3"/>
    <n v="6"/>
    <x v="0"/>
    <s v="Machine guarding and routine inspection"/>
    <s v="Update risk assessment and procedure"/>
    <n v="2"/>
    <n v="2"/>
    <n v="4"/>
    <s v="Reduced"/>
    <s v="Low"/>
    <s v="Partially Implemented"/>
    <s v="Maintenance Supervisor"/>
    <x v="67"/>
  </r>
  <r>
    <s v="RA0401"/>
    <d v="2026-01-23T00:00:00"/>
    <x v="1"/>
    <s v="Laboratory"/>
    <x v="12"/>
    <s v="Stored pressure and rotating parts"/>
    <s v="Mechanical"/>
    <s v="Serious injury"/>
    <n v="4"/>
    <n v="2"/>
    <n v="8"/>
    <x v="0"/>
    <s v="PPE provided and mandatory"/>
    <s v="Verify PTW and isolation before work"/>
    <n v="3"/>
    <n v="2"/>
    <n v="6"/>
    <s v="Reduced"/>
    <s v="Medium"/>
    <s v="Pending"/>
    <s v="Department Supervisor"/>
    <x v="241"/>
  </r>
  <r>
    <s v="RA0402"/>
    <d v="2026-01-20T00:00:00"/>
    <x v="0"/>
    <s v="Warehouse"/>
    <x v="11"/>
    <s v="Collapse and underground services"/>
    <s v="Excavation"/>
    <s v="Serious injury"/>
    <n v="3"/>
    <n v="5"/>
    <n v="15"/>
    <x v="1"/>
    <s v="Standard operating procedure and supervision"/>
    <s v="Update risk assessment and procedure"/>
    <n v="2"/>
    <n v="4"/>
    <n v="8"/>
    <s v="Reduced"/>
    <s v="Medium"/>
    <s v="Implemented"/>
    <s v="Production Supervisor"/>
    <x v="285"/>
  </r>
  <r>
    <s v="RA0403"/>
    <d v="2025-02-18T00:00:00"/>
    <x v="0"/>
    <s v="Utilities Area"/>
    <x v="11"/>
    <s v="Collapse and underground services"/>
    <s v="Excavation"/>
    <s v="Fatal injury"/>
    <n v="4"/>
    <n v="2"/>
    <n v="8"/>
    <x v="0"/>
    <s v="Machine guarding and routine inspection"/>
    <s v="Conduct refresher training"/>
    <n v="2"/>
    <n v="2"/>
    <n v="4"/>
    <s v="Reduced"/>
    <s v="Low"/>
    <s v="Implemented"/>
    <s v="Department Supervisor"/>
    <x v="319"/>
  </r>
  <r>
    <s v="RA0404"/>
    <d v="2025-02-04T00:00:00"/>
    <x v="5"/>
    <s v="Utilities Area"/>
    <x v="5"/>
    <s v="Electric shock and arc flash"/>
    <s v="Electrical"/>
    <s v="Electric shock"/>
    <n v="4"/>
    <n v="4"/>
    <n v="16"/>
    <x v="1"/>
    <s v="Trained and authorized personnel only"/>
    <s v="Provide specialized PPE"/>
    <n v="3"/>
    <n v="4"/>
    <n v="12"/>
    <s v="Reduced"/>
    <s v="High"/>
    <s v="Partially Implemented"/>
    <s v="HSE Officer"/>
    <x v="320"/>
  </r>
  <r>
    <s v="RA0405"/>
    <d v="2025-08-21T00:00:00"/>
    <x v="7"/>
    <s v="Laboratory"/>
    <x v="15"/>
    <s v="Vehicle-pedestrian interaction"/>
    <s v="Vehicle / Traffic"/>
    <s v="Fatal injury"/>
    <n v="4"/>
    <n v="4"/>
    <n v="16"/>
    <x v="1"/>
    <s v="Standard operating procedure and supervision"/>
    <s v="Increase inspection frequency"/>
    <n v="4"/>
    <n v="3"/>
    <n v="12"/>
    <s v="Reduced"/>
    <s v="High"/>
    <s v="Partially Implemented"/>
    <s v="HSE Engineer"/>
    <x v="321"/>
  </r>
  <r>
    <s v="RA0406"/>
    <d v="2025-10-01T00:00:00"/>
    <x v="7"/>
    <s v="Office"/>
    <x v="15"/>
    <s v="Vehicle-pedestrian interaction"/>
    <s v="Vehicle / Traffic"/>
    <s v="Serious injury"/>
    <n v="2"/>
    <n v="3"/>
    <n v="6"/>
    <x v="0"/>
    <s v="Emergency response equipment available"/>
    <s v="Conduct emergency drill"/>
    <n v="1"/>
    <n v="2"/>
    <n v="2"/>
    <s v="Reduced"/>
    <s v="Low"/>
    <s v="Pending"/>
    <s v="Production Supervisor"/>
    <x v="322"/>
  </r>
  <r>
    <s v="RA0407"/>
    <d v="2025-01-04T00:00:00"/>
    <x v="1"/>
    <s v="Laboratory"/>
    <x v="1"/>
    <s v="Fire, fumes and hot work"/>
    <s v="Fire / Chemical"/>
    <s v="Respiratory irritation"/>
    <n v="2"/>
    <n v="2"/>
    <n v="4"/>
    <x v="3"/>
    <s v="Emergency response equipment available"/>
    <s v="Install warning signs and barriers"/>
    <n v="1"/>
    <n v="2"/>
    <n v="2"/>
    <s v="Reduced"/>
    <s v="Low"/>
    <s v="Partially Implemented"/>
    <s v="Maintenance Supervisor"/>
    <x v="323"/>
  </r>
  <r>
    <s v="RA0408"/>
    <d v="2025-12-10T00:00:00"/>
    <x v="7"/>
    <s v="Warehouse"/>
    <x v="16"/>
    <s v="Falling objects"/>
    <s v="Physical"/>
    <s v="Head injury"/>
    <n v="5"/>
    <n v="3"/>
    <n v="15"/>
    <x v="1"/>
    <s v="PPE provided and mandatory"/>
    <s v="Install warning signs and barriers"/>
    <n v="4"/>
    <n v="3"/>
    <n v="12"/>
    <s v="Reduced"/>
    <s v="High"/>
    <s v="Partially Implemented"/>
    <s v="HSE Engineer"/>
    <x v="324"/>
  </r>
  <r>
    <s v="RA0409"/>
    <d v="2025-01-29T00:00:00"/>
    <x v="0"/>
    <s v="Warehouse"/>
    <x v="9"/>
    <s v="Moving equipment / conveyor"/>
    <s v="Mechanical"/>
    <s v="Serious injury"/>
    <n v="5"/>
    <n v="5"/>
    <n v="25"/>
    <x v="2"/>
    <s v="Safety signage and restricted access"/>
    <s v="Update risk assessment and procedure"/>
    <n v="3"/>
    <n v="4"/>
    <n v="12"/>
    <s v="Reduced"/>
    <s v="High"/>
    <s v="Partially Implemented"/>
    <s v="HSE Engineer"/>
    <x v="186"/>
  </r>
  <r>
    <s v="RA0410"/>
    <d v="2025-07-26T00:00:00"/>
    <x v="1"/>
    <s v="Warehouse"/>
    <x v="1"/>
    <s v="Fire, fumes and hot work"/>
    <s v="Fire / Chemical"/>
    <s v="Burn"/>
    <n v="3"/>
    <n v="5"/>
    <n v="15"/>
    <x v="1"/>
    <s v="PPE provided and mandatory"/>
    <s v="Conduct refresher training"/>
    <n v="3"/>
    <n v="4"/>
    <n v="12"/>
    <s v="Reduced"/>
    <s v="High"/>
    <s v="Partially Implemented"/>
    <s v="Maintenance Supervisor"/>
    <x v="208"/>
  </r>
  <r>
    <s v="RA0411"/>
    <d v="2026-10-15T00:00:00"/>
    <x v="0"/>
    <s v="Laboratory"/>
    <x v="9"/>
    <s v="Moving equipment / conveyor"/>
    <s v="Mechanical"/>
    <s v="Amputation"/>
    <n v="3"/>
    <n v="2"/>
    <n v="6"/>
    <x v="0"/>
    <s v="PPE provided and mandatory"/>
    <s v="Verify PTW and isolation before work"/>
    <n v="2"/>
    <n v="2"/>
    <n v="4"/>
    <s v="Reduced"/>
    <s v="Low"/>
    <s v="Implemented"/>
    <s v="Maintenance Supervisor"/>
    <x v="96"/>
  </r>
  <r>
    <s v="RA0412"/>
    <d v="2026-10-08T00:00:00"/>
    <x v="5"/>
    <s v="Laboratory"/>
    <x v="5"/>
    <s v="Electric shock and arc flash"/>
    <s v="Electrical"/>
    <s v="Electric shock"/>
    <n v="4"/>
    <n v="3"/>
    <n v="12"/>
    <x v="1"/>
    <s v="Toolbox talk before work"/>
    <s v="Conduct emergency drill"/>
    <n v="3"/>
    <n v="3"/>
    <n v="9"/>
    <s v="Reduced"/>
    <s v="Medium"/>
    <s v="Partially Implemented"/>
    <s v="Production Supervisor"/>
    <x v="325"/>
  </r>
  <r>
    <s v="RA0413"/>
    <d v="2026-02-15T00:00:00"/>
    <x v="0"/>
    <s v="Workshop"/>
    <x v="11"/>
    <s v="Collapse and underground services"/>
    <s v="Excavation"/>
    <s v="Collapse injury"/>
    <n v="4"/>
    <n v="2"/>
    <n v="8"/>
    <x v="0"/>
    <s v="Toolbox talk before work"/>
    <s v="Install additional physical guard"/>
    <n v="4"/>
    <n v="2"/>
    <n v="8"/>
    <s v="No Reduction"/>
    <s v="Medium"/>
    <s v="Implemented"/>
    <s v="Production Supervisor"/>
    <x v="42"/>
  </r>
  <r>
    <s v="RA0414"/>
    <d v="2026-05-27T00:00:00"/>
    <x v="0"/>
    <s v="Plant Area A"/>
    <x v="11"/>
    <s v="Collapse and underground services"/>
    <s v="Excavation"/>
    <s v="Fatal injury"/>
    <n v="3"/>
    <n v="4"/>
    <n v="12"/>
    <x v="1"/>
    <s v="Emergency response equipment available"/>
    <s v="Improve supervision and monitoring"/>
    <n v="2"/>
    <n v="3"/>
    <n v="6"/>
    <s v="Reduced"/>
    <s v="Medium"/>
    <s v="Pending"/>
    <s v="HSE Officer"/>
    <x v="108"/>
  </r>
  <r>
    <s v="RA0415"/>
    <d v="2025-02-28T00:00:00"/>
    <x v="4"/>
    <s v="Warehouse"/>
    <x v="8"/>
    <s v="Stored energy and moving parts"/>
    <s v="Mechanical"/>
    <s v="Crush injury"/>
    <n v="3"/>
    <n v="5"/>
    <n v="15"/>
    <x v="1"/>
    <s v="Emergency response equipment available"/>
    <s v="Conduct refresher training"/>
    <n v="2"/>
    <n v="5"/>
    <n v="10"/>
    <s v="Reduced"/>
    <s v="High"/>
    <s v="Partially Implemented"/>
    <s v="Department Supervisor"/>
    <x v="326"/>
  </r>
  <r>
    <s v="RA0416"/>
    <d v="2026-06-26T00:00:00"/>
    <x v="7"/>
    <s v="Warehouse"/>
    <x v="15"/>
    <s v="Vehicle-pedestrian interaction"/>
    <s v="Vehicle / Traffic"/>
    <s v="Collision"/>
    <n v="4"/>
    <n v="3"/>
    <n v="12"/>
    <x v="1"/>
    <s v="Emergency response equipment available"/>
    <s v="Provide specialized PPE"/>
    <n v="3"/>
    <n v="2"/>
    <n v="6"/>
    <s v="Reduced"/>
    <s v="Medium"/>
    <s v="Pending"/>
    <s v="Production Supervisor"/>
    <x v="327"/>
  </r>
  <r>
    <s v="RA0417"/>
    <d v="2025-09-06T00:00:00"/>
    <x v="1"/>
    <s v="Laboratory"/>
    <x v="1"/>
    <s v="Fire, fumes and hot work"/>
    <s v="Fire / Chemical"/>
    <s v="Fire-related injury"/>
    <n v="3"/>
    <n v="5"/>
    <n v="15"/>
    <x v="1"/>
    <s v="Machine guarding and routine inspection"/>
    <s v="Install additional physical guard"/>
    <n v="1"/>
    <n v="5"/>
    <n v="5"/>
    <s v="Reduced"/>
    <s v="Medium"/>
    <s v="Pending"/>
    <s v="Maintenance Supervisor"/>
    <x v="21"/>
  </r>
  <r>
    <s v="RA0418"/>
    <d v="2025-12-02T00:00:00"/>
    <x v="2"/>
    <s v="Warehouse"/>
    <x v="2"/>
    <s v="Chemical exposure"/>
    <s v="Chemical"/>
    <s v="Eye injury"/>
    <n v="3"/>
    <n v="2"/>
    <n v="6"/>
    <x v="0"/>
    <s v="Preventive maintenance program"/>
    <s v="Conduct emergency drill"/>
    <n v="2"/>
    <n v="1"/>
    <n v="2"/>
    <s v="Reduced"/>
    <s v="Low"/>
    <s v="Partially Implemented"/>
    <s v="HSE Engineer"/>
    <x v="328"/>
  </r>
  <r>
    <s v="RA0419"/>
    <d v="2025-08-08T00:00:00"/>
    <x v="5"/>
    <s v="Utilities Area"/>
    <x v="5"/>
    <s v="Electric shock and arc flash"/>
    <s v="Electrical"/>
    <s v="Serious injury"/>
    <n v="4"/>
    <n v="2"/>
    <n v="8"/>
    <x v="0"/>
    <s v="PPE provided and mandatory"/>
    <s v="Improve supervision and monitoring"/>
    <n v="4"/>
    <n v="2"/>
    <n v="8"/>
    <s v="Reduced"/>
    <s v="Medium"/>
    <s v="Pending"/>
    <s v="Production Supervisor"/>
    <x v="320"/>
  </r>
  <r>
    <s v="RA0420"/>
    <d v="2025-01-21T00:00:00"/>
    <x v="6"/>
    <s v="Plant Area A"/>
    <x v="14"/>
    <s v="High pressure release"/>
    <s v="Pressure"/>
    <s v="Serious injury"/>
    <n v="5"/>
    <n v="4"/>
    <n v="20"/>
    <x v="2"/>
    <s v="PPE provided and mandatory"/>
    <s v="Improve supervision and monitoring"/>
    <n v="5"/>
    <n v="3"/>
    <n v="15"/>
    <s v="Reduced"/>
    <s v="High"/>
    <s v="Implemented"/>
    <s v="Maintenance Supervisor"/>
    <x v="329"/>
  </r>
  <r>
    <s v="RA0421"/>
    <d v="2025-06-16T00:00:00"/>
    <x v="6"/>
    <s v="Warehouse"/>
    <x v="14"/>
    <s v="High pressure release"/>
    <s v="Pressure"/>
    <s v="Fatal injury"/>
    <n v="2"/>
    <n v="3"/>
    <n v="6"/>
    <x v="0"/>
    <s v="Preventive maintenance program"/>
    <s v="Provide specialized PPE"/>
    <n v="1"/>
    <n v="2"/>
    <n v="2"/>
    <s v="Reduced"/>
    <s v="Low"/>
    <s v="Pending"/>
    <s v="Production Supervisor"/>
    <x v="330"/>
  </r>
  <r>
    <s v="RA0422"/>
    <d v="2025-10-11T00:00:00"/>
    <x v="5"/>
    <s v="Office"/>
    <x v="5"/>
    <s v="Electric shock and arc flash"/>
    <s v="Electrical"/>
    <s v="Electric shock"/>
    <n v="5"/>
    <n v="4"/>
    <n v="20"/>
    <x v="2"/>
    <s v="Emergency response equipment available"/>
    <s v="Conduct refresher training"/>
    <n v="4"/>
    <n v="4"/>
    <n v="16"/>
    <s v="Reduced"/>
    <s v="High"/>
    <s v="Partially Implemented"/>
    <s v="Maintenance Supervisor"/>
    <x v="261"/>
  </r>
  <r>
    <s v="RA0423"/>
    <d v="2025-07-11T00:00:00"/>
    <x v="6"/>
    <s v="Utilities Area"/>
    <x v="7"/>
    <s v="Chemical exposure and spills"/>
    <s v="Chemical"/>
    <s v="Respiratory irritation"/>
    <n v="2"/>
    <n v="3"/>
    <n v="6"/>
    <x v="0"/>
    <s v="Preventive maintenance program"/>
    <s v="Verify PTW and isolation before work"/>
    <n v="1"/>
    <n v="3"/>
    <n v="3"/>
    <s v="Reduced"/>
    <s v="Low"/>
    <s v="Partially Implemented"/>
    <s v="Maintenance Supervisor"/>
    <x v="331"/>
  </r>
  <r>
    <s v="RA0424"/>
    <d v="2025-11-25T00:00:00"/>
    <x v="2"/>
    <s v="Plant Area B"/>
    <x v="2"/>
    <s v="Chemical exposure"/>
    <s v="Chemical"/>
    <s v="Skin irritation"/>
    <n v="2"/>
    <n v="2"/>
    <n v="4"/>
    <x v="3"/>
    <s v="Trained and authorized personnel only"/>
    <s v="Verify PTW and isolation before work"/>
    <n v="1"/>
    <n v="2"/>
    <n v="2"/>
    <s v="Reduced"/>
    <s v="Low"/>
    <s v="Implemented"/>
    <s v="HSE Engineer"/>
    <x v="179"/>
  </r>
  <r>
    <s v="RA0425"/>
    <d v="2026-11-27T00:00:00"/>
    <x v="4"/>
    <s v="Workshop"/>
    <x v="8"/>
    <s v="Stored energy and moving parts"/>
    <s v="Mechanical"/>
    <s v="Amputation"/>
    <n v="3"/>
    <n v="4"/>
    <n v="12"/>
    <x v="1"/>
    <s v="Safety signage and restricted access"/>
    <s v="Verify PTW and isolation before work"/>
    <n v="2"/>
    <n v="3"/>
    <n v="6"/>
    <s v="Reduced"/>
    <s v="Medium"/>
    <s v="Pending"/>
    <s v="HSE Engineer"/>
    <x v="332"/>
  </r>
  <r>
    <s v="RA0426"/>
    <d v="2025-10-14T00:00:00"/>
    <x v="1"/>
    <s v="Plant Area B"/>
    <x v="1"/>
    <s v="Fire, fumes and hot work"/>
    <s v="Fire / Chemical"/>
    <s v="Burn"/>
    <n v="5"/>
    <n v="4"/>
    <n v="20"/>
    <x v="2"/>
    <s v="Machine guarding and routine inspection"/>
    <s v="Increase inspection frequency"/>
    <n v="3"/>
    <n v="4"/>
    <n v="12"/>
    <s v="Reduced"/>
    <s v="High"/>
    <s v="Implemented"/>
    <s v="Department Supervisor"/>
    <x v="333"/>
  </r>
  <r>
    <s v="RA0427"/>
    <d v="2026-09-17T00:00:00"/>
    <x v="1"/>
    <s v="Office"/>
    <x v="1"/>
    <s v="Fire, fumes and hot work"/>
    <s v="Fire / Chemical"/>
    <s v="Burn"/>
    <n v="3"/>
    <n v="5"/>
    <n v="15"/>
    <x v="1"/>
    <s v="Toolbox talk before work"/>
    <s v="Implement engineering control"/>
    <n v="2"/>
    <n v="4"/>
    <n v="8"/>
    <s v="Reduced"/>
    <s v="Medium"/>
    <s v="Implemented"/>
    <s v="HSE Officer"/>
    <x v="334"/>
  </r>
  <r>
    <s v="RA0428"/>
    <d v="2025-05-13T00:00:00"/>
    <x v="6"/>
    <s v="Plant Area B"/>
    <x v="18"/>
    <s v="High pressure and hot surfaces"/>
    <s v="Pressure / Thermal"/>
    <s v="Pressure-related injury"/>
    <n v="2"/>
    <n v="3"/>
    <n v="6"/>
    <x v="0"/>
    <s v="Preventive maintenance program"/>
    <s v="Install warning signs and barriers"/>
    <n v="1"/>
    <n v="3"/>
    <n v="3"/>
    <s v="Reduced"/>
    <s v="Low"/>
    <s v="Pending"/>
    <s v="Department Supervisor"/>
    <x v="161"/>
  </r>
  <r>
    <s v="RA0429"/>
    <d v="2025-01-15T00:00:00"/>
    <x v="2"/>
    <s v="Utilities Area"/>
    <x v="2"/>
    <s v="Chemical exposure"/>
    <s v="Chemical"/>
    <s v="Skin irritation"/>
    <n v="5"/>
    <n v="3"/>
    <n v="15"/>
    <x v="1"/>
    <s v="Machine guarding and routine inspection"/>
    <s v="Install warning signs and barriers"/>
    <n v="4"/>
    <n v="3"/>
    <n v="12"/>
    <s v="Reduced"/>
    <s v="High"/>
    <s v="Pending"/>
    <s v="Production Supervisor"/>
    <x v="335"/>
  </r>
  <r>
    <s v="RA0430"/>
    <d v="2026-05-18T00:00:00"/>
    <x v="7"/>
    <s v="Office"/>
    <x v="16"/>
    <s v="Falling objects"/>
    <s v="Physical"/>
    <s v="Head injury"/>
    <n v="4"/>
    <n v="5"/>
    <n v="20"/>
    <x v="2"/>
    <s v="Trained and authorized personnel only"/>
    <s v="Conduct refresher training"/>
    <n v="4"/>
    <n v="5"/>
    <n v="20"/>
    <s v="No Reduction"/>
    <s v="Critical"/>
    <s v="Implemented"/>
    <s v="Department Supervisor"/>
    <x v="336"/>
  </r>
  <r>
    <s v="RA0431"/>
    <d v="2026-09-14T00:00:00"/>
    <x v="6"/>
    <s v="Plant Area A"/>
    <x v="14"/>
    <s v="High pressure release"/>
    <s v="Pressure"/>
    <s v="Impact injury"/>
    <n v="5"/>
    <n v="2"/>
    <n v="10"/>
    <x v="1"/>
    <s v="Standard operating procedure and supervision"/>
    <s v="Improve supervision and monitoring"/>
    <n v="4"/>
    <n v="1"/>
    <n v="4"/>
    <s v="Reduced"/>
    <s v="Low"/>
    <s v="Implemented"/>
    <s v="Production Supervisor"/>
    <x v="337"/>
  </r>
  <r>
    <s v="RA0432"/>
    <d v="2025-03-14T00:00:00"/>
    <x v="1"/>
    <s v="Laboratory"/>
    <x v="12"/>
    <s v="Stored pressure and rotating parts"/>
    <s v="Mechanical"/>
    <s v="Serious injury"/>
    <n v="2"/>
    <n v="5"/>
    <n v="10"/>
    <x v="1"/>
    <s v="Safety signage and restricted access"/>
    <s v="Conduct refresher training"/>
    <n v="2"/>
    <n v="4"/>
    <n v="8"/>
    <s v="Reduced"/>
    <s v="Medium"/>
    <s v="Partially Implemented"/>
    <s v="HSE Engineer"/>
    <x v="266"/>
  </r>
  <r>
    <s v="RA0433"/>
    <d v="2026-12-13T00:00:00"/>
    <x v="7"/>
    <s v="Office"/>
    <x v="15"/>
    <s v="Vehicle-pedestrian interaction"/>
    <s v="Vehicle / Traffic"/>
    <s v="Collision"/>
    <n v="5"/>
    <n v="5"/>
    <n v="25"/>
    <x v="2"/>
    <s v="Toolbox talk before work"/>
    <s v="Conduct emergency drill"/>
    <n v="5"/>
    <n v="4"/>
    <n v="20"/>
    <s v="Reduced"/>
    <s v="Critical"/>
    <s v="Implemented"/>
    <s v="HSE Officer"/>
    <x v="338"/>
  </r>
  <r>
    <s v="RA0434"/>
    <d v="2025-11-14T00:00:00"/>
    <x v="0"/>
    <s v="Utilities Area"/>
    <x v="0"/>
    <s v="Hot surfaces and high temperature"/>
    <s v="Thermal"/>
    <s v="Heat stress"/>
    <n v="4"/>
    <n v="3"/>
    <n v="12"/>
    <x v="1"/>
    <s v="Emergency response equipment available"/>
    <s v="Conduct emergency drill"/>
    <n v="3"/>
    <n v="3"/>
    <n v="9"/>
    <s v="Reduced"/>
    <s v="Medium"/>
    <s v="Partially Implemented"/>
    <s v="HSE Officer"/>
    <x v="339"/>
  </r>
  <r>
    <s v="RA0435"/>
    <d v="2025-11-21T00:00:00"/>
    <x v="6"/>
    <s v="Laboratory"/>
    <x v="18"/>
    <s v="High pressure and hot surfaces"/>
    <s v="Pressure / Thermal"/>
    <s v="Burn"/>
    <n v="4"/>
    <n v="4"/>
    <n v="16"/>
    <x v="1"/>
    <s v="Trained and authorized personnel only"/>
    <s v="Improve supervision and monitoring"/>
    <n v="4"/>
    <n v="3"/>
    <n v="12"/>
    <s v="Reduced"/>
    <s v="High"/>
    <s v="Pending"/>
    <s v="HSE Officer"/>
    <x v="151"/>
  </r>
  <r>
    <s v="RA0436"/>
    <d v="2026-02-27T00:00:00"/>
    <x v="0"/>
    <s v="Office"/>
    <x v="11"/>
    <s v="Collapse and underground services"/>
    <s v="Excavation"/>
    <s v="Collapse injury"/>
    <n v="4"/>
    <n v="3"/>
    <n v="12"/>
    <x v="1"/>
    <s v="Toolbox talk before work"/>
    <s v="Install additional physical guard"/>
    <n v="4"/>
    <n v="2"/>
    <n v="8"/>
    <s v="Reduced"/>
    <s v="Medium"/>
    <s v="Partially Implemented"/>
    <s v="Department Supervisor"/>
    <x v="220"/>
  </r>
  <r>
    <s v="RA0437"/>
    <d v="2026-12-31T00:00:00"/>
    <x v="6"/>
    <s v="Laboratory"/>
    <x v="18"/>
    <s v="High pressure and hot surfaces"/>
    <s v="Pressure / Thermal"/>
    <s v="Burn"/>
    <n v="3"/>
    <n v="2"/>
    <n v="6"/>
    <x v="0"/>
    <s v="Preventive maintenance program"/>
    <s v="Conduct emergency drill"/>
    <n v="1"/>
    <n v="2"/>
    <n v="2"/>
    <s v="Reduced"/>
    <s v="Low"/>
    <s v="Implemented"/>
    <s v="Maintenance Supervisor"/>
    <x v="340"/>
  </r>
  <r>
    <s v="RA0438"/>
    <d v="2025-05-12T00:00:00"/>
    <x v="4"/>
    <s v="Utilities Area"/>
    <x v="4"/>
    <s v="Unexpected equipment movement"/>
    <s v="Mechanical"/>
    <s v="Crush injury"/>
    <n v="5"/>
    <n v="3"/>
    <n v="15"/>
    <x v="1"/>
    <s v="Preventive maintenance program"/>
    <s v="Increase inspection frequency"/>
    <n v="3"/>
    <n v="2"/>
    <n v="6"/>
    <s v="Reduced"/>
    <s v="Medium"/>
    <s v="Pending"/>
    <s v="Production Supervisor"/>
    <x v="279"/>
  </r>
  <r>
    <s v="RA0439"/>
    <d v="2025-01-27T00:00:00"/>
    <x v="6"/>
    <s v="Laboratory"/>
    <x v="7"/>
    <s v="Chemical exposure and spills"/>
    <s v="Chemical"/>
    <s v="Respiratory irritation"/>
    <n v="4"/>
    <n v="3"/>
    <n v="12"/>
    <x v="1"/>
    <s v="Preventive maintenance program"/>
    <s v="Verify PTW and isolation before work"/>
    <n v="3"/>
    <n v="2"/>
    <n v="6"/>
    <s v="Reduced"/>
    <s v="Medium"/>
    <s v="Pending"/>
    <s v="HSE Engineer"/>
    <x v="81"/>
  </r>
  <r>
    <s v="RA0440"/>
    <d v="2026-05-08T00:00:00"/>
    <x v="5"/>
    <s v="Plant Area B"/>
    <x v="10"/>
    <s v="Electric shock and trip hazards"/>
    <s v="Electrical"/>
    <s v="Electric shock"/>
    <n v="5"/>
    <n v="3"/>
    <n v="15"/>
    <x v="1"/>
    <s v="Trained and authorized personnel only"/>
    <s v="Increase inspection frequency"/>
    <n v="4"/>
    <n v="2"/>
    <n v="8"/>
    <s v="Reduced"/>
    <s v="Medium"/>
    <s v="Partially Implemented"/>
    <s v="HSE Engineer"/>
    <x v="341"/>
  </r>
  <r>
    <s v="RA0441"/>
    <d v="2026-03-17T00:00:00"/>
    <x v="0"/>
    <s v="Office"/>
    <x v="0"/>
    <s v="Hot surfaces and high temperature"/>
    <s v="Thermal"/>
    <s v="Heat stress"/>
    <n v="3"/>
    <n v="4"/>
    <n v="12"/>
    <x v="1"/>
    <s v="Standard operating procedure and supervision"/>
    <s v="Conduct emergency drill"/>
    <n v="2"/>
    <n v="4"/>
    <n v="8"/>
    <s v="Reduced"/>
    <s v="Medium"/>
    <s v="Partially Implemented"/>
    <s v="HSE Engineer"/>
    <x v="342"/>
  </r>
  <r>
    <s v="RA0442"/>
    <d v="2026-04-13T00:00:00"/>
    <x v="0"/>
    <s v="Plant Area B"/>
    <x v="11"/>
    <s v="Collapse and underground services"/>
    <s v="Excavation"/>
    <s v="Fatal injury"/>
    <n v="4"/>
    <n v="5"/>
    <n v="20"/>
    <x v="2"/>
    <s v="PPE provided and mandatory"/>
    <s v="Install warning signs and barriers"/>
    <n v="4"/>
    <n v="5"/>
    <n v="20"/>
    <s v="No Reduction"/>
    <s v="Critical"/>
    <s v="Pending"/>
    <s v="HSE Officer"/>
    <x v="96"/>
  </r>
  <r>
    <s v="RA0443"/>
    <d v="2026-01-04T00:00:00"/>
    <x v="5"/>
    <s v="Laboratory"/>
    <x v="5"/>
    <s v="Electric shock and arc flash"/>
    <s v="Electrical"/>
    <s v="Burn"/>
    <n v="5"/>
    <n v="5"/>
    <n v="25"/>
    <x v="2"/>
    <s v="Standard operating procedure and supervision"/>
    <s v="Install warning signs and barriers"/>
    <n v="4"/>
    <n v="5"/>
    <n v="20"/>
    <s v="Reduced"/>
    <s v="Critical"/>
    <s v="Implemented"/>
    <s v="HSE Engineer"/>
    <x v="343"/>
  </r>
  <r>
    <s v="RA0444"/>
    <d v="2025-02-07T00:00:00"/>
    <x v="4"/>
    <s v="Plant Area A"/>
    <x v="17"/>
    <s v="Oxygen deficiency / toxic atmosphere"/>
    <s v="Confined Space"/>
    <s v="Serious injury"/>
    <n v="3"/>
    <n v="2"/>
    <n v="6"/>
    <x v="0"/>
    <s v="Safety signage and restricted access"/>
    <s v="Conduct refresher training"/>
    <n v="1"/>
    <n v="1"/>
    <n v="1"/>
    <s v="Reduced"/>
    <s v="Low"/>
    <s v="Implemented"/>
    <s v="Department Supervisor"/>
    <x v="344"/>
  </r>
  <r>
    <s v="RA0445"/>
    <d v="2025-06-28T00:00:00"/>
    <x v="3"/>
    <s v="Warehouse"/>
    <x v="3"/>
    <s v="Ergonomic hazards and slips/trips"/>
    <s v="Ergonomic"/>
    <s v="Musculoskeletal strain"/>
    <n v="5"/>
    <n v="2"/>
    <n v="10"/>
    <x v="1"/>
    <s v="Machine guarding and routine inspection"/>
    <s v="Improve supervision and monitoring"/>
    <n v="4"/>
    <n v="2"/>
    <n v="8"/>
    <s v="Reduced"/>
    <s v="Medium"/>
    <s v="Implemented"/>
    <s v="HSE Engineer"/>
    <x v="345"/>
  </r>
  <r>
    <s v="RA0446"/>
    <d v="2026-07-16T00:00:00"/>
    <x v="1"/>
    <s v="Warehouse"/>
    <x v="1"/>
    <s v="Fire, fumes and hot work"/>
    <s v="Fire / Chemical"/>
    <s v="Fire-related injury"/>
    <n v="3"/>
    <n v="4"/>
    <n v="12"/>
    <x v="1"/>
    <s v="Standard operating procedure and supervision"/>
    <s v="Conduct refresher training"/>
    <n v="3"/>
    <n v="3"/>
    <n v="9"/>
    <s v="Reduced"/>
    <s v="Medium"/>
    <s v="Pending"/>
    <s v="HSE Engineer"/>
    <x v="306"/>
  </r>
  <r>
    <s v="RA0447"/>
    <d v="2026-04-18T00:00:00"/>
    <x v="7"/>
    <s v="Plant Area A"/>
    <x v="16"/>
    <s v="Falling objects"/>
    <s v="Physical"/>
    <s v="Head injury"/>
    <n v="4"/>
    <n v="3"/>
    <n v="12"/>
    <x v="1"/>
    <s v="Trained and authorized personnel only"/>
    <s v="Install warning signs and barriers"/>
    <n v="3"/>
    <n v="3"/>
    <n v="9"/>
    <s v="Reduced"/>
    <s v="Medium"/>
    <s v="Partially Implemented"/>
    <s v="HSE Officer"/>
    <x v="346"/>
  </r>
  <r>
    <s v="RA0448"/>
    <d v="2025-03-08T00:00:00"/>
    <x v="1"/>
    <s v="Workshop"/>
    <x v="1"/>
    <s v="Fire, fumes and hot work"/>
    <s v="Fire / Chemical"/>
    <s v="Respiratory irritation"/>
    <n v="2"/>
    <n v="3"/>
    <n v="6"/>
    <x v="0"/>
    <s v="Machine guarding and routine inspection"/>
    <s v="Provide specialized PPE"/>
    <n v="1"/>
    <n v="2"/>
    <n v="2"/>
    <s v="Reduced"/>
    <s v="Low"/>
    <s v="Pending"/>
    <s v="HSE Engineer"/>
    <x v="347"/>
  </r>
  <r>
    <s v="RA0449"/>
    <d v="2025-03-31T00:00:00"/>
    <x v="7"/>
    <s v="Plant Area B"/>
    <x v="16"/>
    <s v="Falling objects"/>
    <s v="Physical"/>
    <s v="Head injury"/>
    <n v="5"/>
    <n v="5"/>
    <n v="25"/>
    <x v="2"/>
    <s v="PPE provided and mandatory"/>
    <s v="Conduct emergency drill"/>
    <n v="4"/>
    <n v="5"/>
    <n v="20"/>
    <s v="Reduced"/>
    <s v="Critical"/>
    <s v="Pending"/>
    <s v="HSE Engineer"/>
    <x v="95"/>
  </r>
  <r>
    <s v="RA0450"/>
    <d v="2025-07-08T00:00:00"/>
    <x v="2"/>
    <s v="Warehouse"/>
    <x v="2"/>
    <s v="Chemical exposure"/>
    <s v="Chemical"/>
    <s v="Respiratory irritation"/>
    <n v="3"/>
    <n v="4"/>
    <n v="12"/>
    <x v="1"/>
    <s v="Trained and authorized personnel only"/>
    <s v="Improve supervision and monitoring"/>
    <n v="1"/>
    <n v="4"/>
    <n v="4"/>
    <s v="Reduced"/>
    <s v="Low"/>
    <s v="Partially Implemented"/>
    <s v="HSE Engineer"/>
    <x v="348"/>
  </r>
  <r>
    <s v="RA0451"/>
    <d v="2026-07-18T00:00:00"/>
    <x v="0"/>
    <s v="Workshop"/>
    <x v="9"/>
    <s v="Moving equipment / conveyor"/>
    <s v="Mechanical"/>
    <s v="Crush injury"/>
    <n v="2"/>
    <n v="4"/>
    <n v="8"/>
    <x v="0"/>
    <s v="Preventive maintenance program"/>
    <s v="Install warning signs and barriers"/>
    <n v="1"/>
    <n v="3"/>
    <n v="3"/>
    <s v="Reduced"/>
    <s v="Low"/>
    <s v="Partially Implemented"/>
    <s v="Maintenance Supervisor"/>
    <x v="349"/>
  </r>
  <r>
    <s v="RA0452"/>
    <d v="2025-01-02T00:00:00"/>
    <x v="7"/>
    <s v="Office"/>
    <x v="16"/>
    <s v="Falling objects"/>
    <s v="Physical"/>
    <s v="Serious injury"/>
    <n v="4"/>
    <n v="2"/>
    <n v="8"/>
    <x v="0"/>
    <s v="Emergency response equipment available"/>
    <s v="Implement engineering control"/>
    <n v="2"/>
    <n v="2"/>
    <n v="4"/>
    <s v="Reduced"/>
    <s v="Low"/>
    <s v="Partially Implemented"/>
    <s v="Production Supervisor"/>
    <x v="350"/>
  </r>
  <r>
    <s v="RA0453"/>
    <d v="2026-07-08T00:00:00"/>
    <x v="0"/>
    <s v="Warehouse"/>
    <x v="11"/>
    <s v="Collapse and underground services"/>
    <s v="Excavation"/>
    <s v="Serious injury"/>
    <n v="5"/>
    <n v="5"/>
    <n v="25"/>
    <x v="2"/>
    <s v="Trained and authorized personnel only"/>
    <s v="Install additional physical guard"/>
    <n v="5"/>
    <n v="4"/>
    <n v="20"/>
    <s v="Reduced"/>
    <s v="Critical"/>
    <s v="Partially Implemented"/>
    <s v="Department Supervisor"/>
    <x v="351"/>
  </r>
  <r>
    <s v="RA0454"/>
    <d v="2026-08-27T00:00:00"/>
    <x v="6"/>
    <s v="Utilities Area"/>
    <x v="14"/>
    <s v="High pressure release"/>
    <s v="Pressure"/>
    <s v="Serious injury"/>
    <n v="5"/>
    <n v="4"/>
    <n v="20"/>
    <x v="2"/>
    <s v="Emergency response equipment available"/>
    <s v="Conduct emergency drill"/>
    <n v="4"/>
    <n v="4"/>
    <n v="16"/>
    <s v="Reduced"/>
    <s v="High"/>
    <s v="Partially Implemented"/>
    <s v="HSE Engineer"/>
    <x v="352"/>
  </r>
  <r>
    <s v="RA0455"/>
    <d v="2025-12-01T00:00:00"/>
    <x v="6"/>
    <s v="Office"/>
    <x v="7"/>
    <s v="Chemical exposure and spills"/>
    <s v="Chemical"/>
    <s v="Skin irritation"/>
    <n v="2"/>
    <n v="3"/>
    <n v="6"/>
    <x v="0"/>
    <s v="Safety signage and restricted access"/>
    <s v="Verify PTW and isolation before work"/>
    <n v="1"/>
    <n v="2"/>
    <n v="2"/>
    <s v="Reduced"/>
    <s v="Low"/>
    <s v="Pending"/>
    <s v="Department Supervisor"/>
    <x v="353"/>
  </r>
  <r>
    <s v="RA0456"/>
    <d v="2025-03-10T00:00:00"/>
    <x v="5"/>
    <s v="Warehouse"/>
    <x v="5"/>
    <s v="Electric shock and arc flash"/>
    <s v="Electrical"/>
    <s v="Burn"/>
    <n v="4"/>
    <n v="5"/>
    <n v="20"/>
    <x v="2"/>
    <s v="Emergency response equipment available"/>
    <s v="Install additional physical guard"/>
    <n v="3"/>
    <n v="5"/>
    <n v="15"/>
    <s v="Reduced"/>
    <s v="High"/>
    <s v="Partially Implemented"/>
    <s v="HSE Engineer"/>
    <x v="34"/>
  </r>
  <r>
    <s v="RA0457"/>
    <d v="2026-11-07T00:00:00"/>
    <x v="0"/>
    <s v="Plant Area B"/>
    <x v="9"/>
    <s v="Moving equipment / conveyor"/>
    <s v="Mechanical"/>
    <s v="Crush injury"/>
    <n v="4"/>
    <n v="5"/>
    <n v="20"/>
    <x v="2"/>
    <s v="Toolbox talk before work"/>
    <s v="Install additional physical guard"/>
    <n v="3"/>
    <n v="4"/>
    <n v="12"/>
    <s v="Reduced"/>
    <s v="High"/>
    <s v="Pending"/>
    <s v="HSE Engineer"/>
    <x v="69"/>
  </r>
  <r>
    <s v="RA0458"/>
    <d v="2025-06-05T00:00:00"/>
    <x v="7"/>
    <s v="Plant Area B"/>
    <x v="15"/>
    <s v="Vehicle-pedestrian interaction"/>
    <s v="Vehicle / Traffic"/>
    <s v="Collision"/>
    <n v="3"/>
    <n v="4"/>
    <n v="12"/>
    <x v="1"/>
    <s v="Preventive maintenance program"/>
    <s v="Install warning signs and barriers"/>
    <n v="2"/>
    <n v="4"/>
    <n v="8"/>
    <s v="Reduced"/>
    <s v="Medium"/>
    <s v="Implemented"/>
    <s v="Department Supervisor"/>
    <x v="354"/>
  </r>
  <r>
    <s v="RA0459"/>
    <d v="2026-07-04T00:00:00"/>
    <x v="0"/>
    <s v="Laboratory"/>
    <x v="9"/>
    <s v="Moving equipment / conveyor"/>
    <s v="Mechanical"/>
    <s v="Serious injury"/>
    <n v="2"/>
    <n v="3"/>
    <n v="6"/>
    <x v="0"/>
    <s v="Trained and authorized personnel only"/>
    <s v="Implement engineering control"/>
    <n v="1"/>
    <n v="3"/>
    <n v="3"/>
    <s v="Reduced"/>
    <s v="Low"/>
    <s v="Pending"/>
    <s v="HSE Officer"/>
    <x v="355"/>
  </r>
  <r>
    <s v="RA0460"/>
    <d v="2025-07-22T00:00:00"/>
    <x v="0"/>
    <s v="Utilities Area"/>
    <x v="6"/>
    <s v="Fall from height"/>
    <s v="Work at Height"/>
    <s v="Fall injury"/>
    <n v="2"/>
    <n v="2"/>
    <n v="4"/>
    <x v="3"/>
    <s v="Emergency response equipment available"/>
    <s v="Increase inspection frequency"/>
    <n v="1"/>
    <n v="1"/>
    <n v="1"/>
    <s v="Reduced"/>
    <s v="Low"/>
    <s v="Pending"/>
    <s v="HSE Engineer"/>
    <x v="356"/>
  </r>
  <r>
    <s v="RA0461"/>
    <d v="2026-04-22T00:00:00"/>
    <x v="7"/>
    <s v="Office"/>
    <x v="16"/>
    <s v="Falling objects"/>
    <s v="Physical"/>
    <s v="Serious injury"/>
    <n v="5"/>
    <n v="2"/>
    <n v="10"/>
    <x v="1"/>
    <s v="Standard operating procedure and supervision"/>
    <s v="Implement engineering control"/>
    <n v="4"/>
    <n v="2"/>
    <n v="8"/>
    <s v="Reduced"/>
    <s v="Medium"/>
    <s v="Implemented"/>
    <s v="HSE Engineer"/>
    <x v="357"/>
  </r>
  <r>
    <s v="RA0462"/>
    <d v="2026-12-30T00:00:00"/>
    <x v="0"/>
    <s v="Utilities Area"/>
    <x v="9"/>
    <s v="Moving equipment / conveyor"/>
    <s v="Mechanical"/>
    <s v="Cuts"/>
    <n v="2"/>
    <n v="5"/>
    <n v="10"/>
    <x v="1"/>
    <s v="Safety signage and restricted access"/>
    <s v="Update risk assessment and procedure"/>
    <n v="1"/>
    <n v="5"/>
    <n v="5"/>
    <s v="Reduced"/>
    <s v="Medium"/>
    <s v="Pending"/>
    <s v="HSE Engineer"/>
    <x v="358"/>
  </r>
  <r>
    <s v="RA0463"/>
    <d v="2025-08-19T00:00:00"/>
    <x v="3"/>
    <s v="Plant Area A"/>
    <x v="3"/>
    <s v="Ergonomic hazards and slips/trips"/>
    <s v="Ergonomic"/>
    <s v="Slip/trip injury"/>
    <n v="5"/>
    <n v="3"/>
    <n v="15"/>
    <x v="1"/>
    <s v="Emergency response equipment available"/>
    <s v="Provide specialized PPE"/>
    <n v="3"/>
    <n v="2"/>
    <n v="6"/>
    <s v="Reduced"/>
    <s v="Medium"/>
    <s v="Pending"/>
    <s v="Production Supervisor"/>
    <x v="359"/>
  </r>
  <r>
    <s v="RA0464"/>
    <d v="2025-09-14T00:00:00"/>
    <x v="0"/>
    <s v="Office"/>
    <x v="13"/>
    <s v="Moving machinery and dust"/>
    <s v="Mechanical"/>
    <s v="Crush injury"/>
    <n v="3"/>
    <n v="3"/>
    <n v="9"/>
    <x v="0"/>
    <s v="PPE provided and mandatory"/>
    <s v="Install warning signs and barriers"/>
    <n v="1"/>
    <n v="2"/>
    <n v="2"/>
    <s v="Reduced"/>
    <s v="Low"/>
    <s v="Partially Implemented"/>
    <s v="Production Supervisor"/>
    <x v="360"/>
  </r>
  <r>
    <s v="RA0465"/>
    <d v="2025-10-20T00:00:00"/>
    <x v="7"/>
    <s v="Workshop"/>
    <x v="16"/>
    <s v="Falling objects"/>
    <s v="Physical"/>
    <s v="Serious injury"/>
    <n v="5"/>
    <n v="2"/>
    <n v="10"/>
    <x v="1"/>
    <s v="Preventive maintenance program"/>
    <s v="Conduct emergency drill"/>
    <n v="3"/>
    <n v="2"/>
    <n v="6"/>
    <s v="Reduced"/>
    <s v="Medium"/>
    <s v="Partially Implemented"/>
    <s v="HSE Officer"/>
    <x v="51"/>
  </r>
  <r>
    <s v="RA0466"/>
    <d v="2026-12-17T00:00:00"/>
    <x v="2"/>
    <s v="Utilities Area"/>
    <x v="2"/>
    <s v="Chemical exposure"/>
    <s v="Chemical"/>
    <s v="Skin irritation"/>
    <n v="2"/>
    <n v="5"/>
    <n v="10"/>
    <x v="1"/>
    <s v="Safety signage and restricted access"/>
    <s v="Improve supervision and monitoring"/>
    <n v="2"/>
    <n v="5"/>
    <n v="10"/>
    <s v="No Reduction"/>
    <s v="High"/>
    <s v="Pending"/>
    <s v="Production Supervisor"/>
    <x v="361"/>
  </r>
  <r>
    <s v="RA0467"/>
    <d v="2026-10-29T00:00:00"/>
    <x v="4"/>
    <s v="Utilities Area"/>
    <x v="17"/>
    <s v="Oxygen deficiency / toxic atmosphere"/>
    <s v="Confined Space"/>
    <s v="Serious injury"/>
    <n v="5"/>
    <n v="4"/>
    <n v="20"/>
    <x v="2"/>
    <s v="Machine guarding and routine inspection"/>
    <s v="Improve supervision and monitoring"/>
    <n v="4"/>
    <n v="3"/>
    <n v="12"/>
    <s v="Reduced"/>
    <s v="High"/>
    <s v="Partially Implemented"/>
    <s v="HSE Engineer"/>
    <x v="362"/>
  </r>
  <r>
    <s v="RA0468"/>
    <d v="2025-06-09T00:00:00"/>
    <x v="4"/>
    <s v="Utilities Area"/>
    <x v="17"/>
    <s v="Oxygen deficiency / toxic atmosphere"/>
    <s v="Confined Space"/>
    <s v="Asphyxiation risk"/>
    <n v="5"/>
    <n v="5"/>
    <n v="25"/>
    <x v="2"/>
    <s v="Emergency response equipment available"/>
    <s v="Implement engineering control"/>
    <n v="3"/>
    <n v="5"/>
    <n v="15"/>
    <s v="Reduced"/>
    <s v="High"/>
    <s v="Implemented"/>
    <s v="Department Supervisor"/>
    <x v="363"/>
  </r>
  <r>
    <s v="RA0469"/>
    <d v="2025-03-10T00:00:00"/>
    <x v="7"/>
    <s v="Plant Area A"/>
    <x v="15"/>
    <s v="Vehicle-pedestrian interaction"/>
    <s v="Vehicle / Traffic"/>
    <s v="Serious injury"/>
    <n v="4"/>
    <n v="2"/>
    <n v="8"/>
    <x v="0"/>
    <s v="Standard operating procedure and supervision"/>
    <s v="Verify PTW and isolation before work"/>
    <n v="3"/>
    <n v="1"/>
    <n v="3"/>
    <s v="Reduced"/>
    <s v="Low"/>
    <s v="Pending"/>
    <s v="Department Supervisor"/>
    <x v="34"/>
  </r>
  <r>
    <s v="RA0470"/>
    <d v="2025-09-13T00:00:00"/>
    <x v="0"/>
    <s v="Plant Area A"/>
    <x v="0"/>
    <s v="Hot surfaces and high temperature"/>
    <s v="Thermal"/>
    <s v="Serious burn"/>
    <n v="4"/>
    <n v="5"/>
    <n v="20"/>
    <x v="2"/>
    <s v="Preventive maintenance program"/>
    <s v="Install additional physical guard"/>
    <n v="3"/>
    <n v="5"/>
    <n v="15"/>
    <s v="Reduced"/>
    <s v="High"/>
    <s v="Implemented"/>
    <s v="Department Supervisor"/>
    <x v="364"/>
  </r>
  <r>
    <s v="RA0471"/>
    <d v="2025-01-24T00:00:00"/>
    <x v="2"/>
    <s v="Plant Area B"/>
    <x v="2"/>
    <s v="Chemical exposure"/>
    <s v="Chemical"/>
    <s v="Eye injury"/>
    <n v="3"/>
    <n v="2"/>
    <n v="6"/>
    <x v="0"/>
    <s v="Preventive maintenance program"/>
    <s v="Install additional physical guard"/>
    <n v="2"/>
    <n v="2"/>
    <n v="4"/>
    <s v="Reduced"/>
    <s v="Low"/>
    <s v="Partially Implemented"/>
    <s v="Maintenance Supervisor"/>
    <x v="223"/>
  </r>
  <r>
    <s v="RA0472"/>
    <d v="2026-08-25T00:00:00"/>
    <x v="7"/>
    <s v="Utilities Area"/>
    <x v="15"/>
    <s v="Vehicle-pedestrian interaction"/>
    <s v="Vehicle / Traffic"/>
    <s v="Collision"/>
    <n v="4"/>
    <n v="4"/>
    <n v="16"/>
    <x v="1"/>
    <s v="Safety signage and restricted access"/>
    <s v="Improve supervision and monitoring"/>
    <n v="3"/>
    <n v="3"/>
    <n v="9"/>
    <s v="Reduced"/>
    <s v="Medium"/>
    <s v="Partially Implemented"/>
    <s v="HSE Engineer"/>
    <x v="365"/>
  </r>
  <r>
    <s v="RA0473"/>
    <d v="2025-06-02T00:00:00"/>
    <x v="1"/>
    <s v="Office"/>
    <x v="1"/>
    <s v="Fire, fumes and hot work"/>
    <s v="Fire / Chemical"/>
    <s v="Burn"/>
    <n v="3"/>
    <n v="2"/>
    <n v="6"/>
    <x v="0"/>
    <s v="Standard operating procedure and supervision"/>
    <s v="Update risk assessment and procedure"/>
    <n v="1"/>
    <n v="1"/>
    <n v="1"/>
    <s v="Reduced"/>
    <s v="Low"/>
    <s v="Implemented"/>
    <s v="Maintenance Supervisor"/>
    <x v="111"/>
  </r>
  <r>
    <s v="RA0474"/>
    <d v="2026-09-11T00:00:00"/>
    <x v="4"/>
    <s v="Plant Area A"/>
    <x v="17"/>
    <s v="Oxygen deficiency / toxic atmosphere"/>
    <s v="Confined Space"/>
    <s v="Serious injury"/>
    <n v="3"/>
    <n v="2"/>
    <n v="6"/>
    <x v="0"/>
    <s v="Standard operating procedure and supervision"/>
    <s v="Increase inspection frequency"/>
    <n v="2"/>
    <n v="1"/>
    <n v="2"/>
    <s v="Reduced"/>
    <s v="Low"/>
    <s v="Implemented"/>
    <s v="Maintenance Supervisor"/>
    <x v="366"/>
  </r>
  <r>
    <s v="RA0475"/>
    <d v="2026-02-02T00:00:00"/>
    <x v="4"/>
    <s v="Utilities Area"/>
    <x v="4"/>
    <s v="Unexpected equipment movement"/>
    <s v="Mechanical"/>
    <s v="Amputation"/>
    <n v="5"/>
    <n v="4"/>
    <n v="20"/>
    <x v="2"/>
    <s v="Standard operating procedure and supervision"/>
    <s v="Install additional physical guard"/>
    <n v="4"/>
    <n v="4"/>
    <n v="16"/>
    <s v="Reduced"/>
    <s v="High"/>
    <s v="Partially Implemented"/>
    <s v="HSE Officer"/>
    <x v="238"/>
  </r>
  <r>
    <s v="RA0476"/>
    <d v="2026-12-11T00:00:00"/>
    <x v="4"/>
    <s v="Office"/>
    <x v="8"/>
    <s v="Stored energy and moving parts"/>
    <s v="Mechanical"/>
    <s v="Amputation"/>
    <n v="4"/>
    <n v="5"/>
    <n v="20"/>
    <x v="2"/>
    <s v="Trained and authorized personnel only"/>
    <s v="Implement engineering control"/>
    <n v="3"/>
    <n v="5"/>
    <n v="15"/>
    <s v="Reduced"/>
    <s v="High"/>
    <s v="Partially Implemented"/>
    <s v="HSE Engineer"/>
    <x v="367"/>
  </r>
  <r>
    <s v="RA0477"/>
    <d v="2025-10-15T00:00:00"/>
    <x v="4"/>
    <s v="Laboratory"/>
    <x v="4"/>
    <s v="Unexpected equipment movement"/>
    <s v="Mechanical"/>
    <s v="Cuts"/>
    <n v="2"/>
    <n v="4"/>
    <n v="8"/>
    <x v="0"/>
    <s v="Trained and authorized personnel only"/>
    <s v="Improve supervision and monitoring"/>
    <n v="1"/>
    <n v="4"/>
    <n v="4"/>
    <s v="Reduced"/>
    <s v="Low"/>
    <s v="Partially Implemented"/>
    <s v="Maintenance Supervisor"/>
    <x v="368"/>
  </r>
  <r>
    <s v="RA0478"/>
    <d v="2025-01-23T00:00:00"/>
    <x v="6"/>
    <s v="Utilities Area"/>
    <x v="18"/>
    <s v="High pressure and hot surfaces"/>
    <s v="Pressure / Thermal"/>
    <s v="Pressure-related injury"/>
    <n v="5"/>
    <n v="4"/>
    <n v="20"/>
    <x v="2"/>
    <s v="Preventive maintenance program"/>
    <s v="Verify PTW and isolation before work"/>
    <n v="3"/>
    <n v="3"/>
    <n v="9"/>
    <s v="Reduced"/>
    <s v="Medium"/>
    <s v="Implemented"/>
    <s v="Maintenance Supervisor"/>
    <x v="369"/>
  </r>
  <r>
    <s v="RA0479"/>
    <d v="2026-09-23T00:00:00"/>
    <x v="6"/>
    <s v="Laboratory"/>
    <x v="18"/>
    <s v="High pressure and hot surfaces"/>
    <s v="Pressure / Thermal"/>
    <s v="Burn"/>
    <n v="4"/>
    <n v="5"/>
    <n v="20"/>
    <x v="2"/>
    <s v="Safety signage and restricted access"/>
    <s v="Provide specialized PPE"/>
    <n v="3"/>
    <n v="5"/>
    <n v="15"/>
    <s v="Reduced"/>
    <s v="High"/>
    <s v="Partially Implemented"/>
    <s v="Maintenance Supervisor"/>
    <x v="370"/>
  </r>
  <r>
    <s v="RA0480"/>
    <d v="2025-05-10T00:00:00"/>
    <x v="3"/>
    <s v="Laboratory"/>
    <x v="3"/>
    <s v="Ergonomic hazards and slips/trips"/>
    <s v="Ergonomic"/>
    <s v="Slip/trip injury"/>
    <n v="3"/>
    <n v="3"/>
    <n v="9"/>
    <x v="0"/>
    <s v="Emergency response equipment available"/>
    <s v="Provide specialized PPE"/>
    <n v="2"/>
    <n v="2"/>
    <n v="4"/>
    <s v="Reduced"/>
    <s v="Low"/>
    <s v="Implemented"/>
    <s v="Maintenance Supervisor"/>
    <x v="120"/>
  </r>
  <r>
    <s v="RA0481"/>
    <d v="2025-12-25T00:00:00"/>
    <x v="4"/>
    <s v="Workshop"/>
    <x v="4"/>
    <s v="Unexpected equipment movement"/>
    <s v="Mechanical"/>
    <s v="Amputation"/>
    <n v="3"/>
    <n v="4"/>
    <n v="12"/>
    <x v="1"/>
    <s v="Trained and authorized personnel only"/>
    <s v="Install additional physical guard"/>
    <n v="1"/>
    <n v="4"/>
    <n v="4"/>
    <s v="Reduced"/>
    <s v="Low"/>
    <s v="Pending"/>
    <s v="HSE Engineer"/>
    <x v="371"/>
  </r>
  <r>
    <s v="RA0482"/>
    <d v="2026-03-07T00:00:00"/>
    <x v="0"/>
    <s v="Office"/>
    <x v="13"/>
    <s v="Moving machinery and dust"/>
    <s v="Mechanical"/>
    <s v="Serious injury"/>
    <n v="3"/>
    <n v="2"/>
    <n v="6"/>
    <x v="0"/>
    <s v="Safety signage and restricted access"/>
    <s v="Improve supervision and monitoring"/>
    <n v="3"/>
    <n v="1"/>
    <n v="3"/>
    <s v="Reduced"/>
    <s v="Low"/>
    <s v="Implemented"/>
    <s v="Maintenance Supervisor"/>
    <x v="372"/>
  </r>
  <r>
    <s v="RA0483"/>
    <d v="2026-07-13T00:00:00"/>
    <x v="6"/>
    <s v="Warehouse"/>
    <x v="18"/>
    <s v="High pressure and hot surfaces"/>
    <s v="Pressure / Thermal"/>
    <s v="Serious injury"/>
    <n v="3"/>
    <n v="4"/>
    <n v="12"/>
    <x v="1"/>
    <s v="Preventive maintenance program"/>
    <s v="Provide specialized PPE"/>
    <n v="2"/>
    <n v="4"/>
    <n v="8"/>
    <s v="Reduced"/>
    <s v="Medium"/>
    <s v="Partially Implemented"/>
    <s v="Department Supervisor"/>
    <x v="373"/>
  </r>
  <r>
    <s v="RA0484"/>
    <d v="2025-08-13T00:00:00"/>
    <x v="4"/>
    <s v="Workshop"/>
    <x v="4"/>
    <s v="Unexpected equipment movement"/>
    <s v="Mechanical"/>
    <s v="Cuts"/>
    <n v="4"/>
    <n v="2"/>
    <n v="8"/>
    <x v="0"/>
    <s v="Toolbox talk before work"/>
    <s v="Implement engineering control"/>
    <n v="2"/>
    <n v="2"/>
    <n v="4"/>
    <s v="Reduced"/>
    <s v="Low"/>
    <s v="Pending"/>
    <s v="HSE Engineer"/>
    <x v="374"/>
  </r>
  <r>
    <s v="RA0485"/>
    <d v="2025-07-31T00:00:00"/>
    <x v="0"/>
    <s v="Plant Area A"/>
    <x v="11"/>
    <s v="Collapse and underground services"/>
    <s v="Excavation"/>
    <s v="Collapse injury"/>
    <n v="2"/>
    <n v="2"/>
    <n v="4"/>
    <x v="3"/>
    <s v="Safety signage and restricted access"/>
    <s v="Update risk assessment and procedure"/>
    <n v="1"/>
    <n v="2"/>
    <n v="2"/>
    <s v="Reduced"/>
    <s v="Low"/>
    <s v="Pending"/>
    <s v="Production Supervisor"/>
    <x v="375"/>
  </r>
  <r>
    <s v="RA0486"/>
    <d v="2026-04-07T00:00:00"/>
    <x v="5"/>
    <s v="Plant Area B"/>
    <x v="5"/>
    <s v="Electric shock and arc flash"/>
    <s v="Electrical"/>
    <s v="Serious injury"/>
    <n v="3"/>
    <n v="2"/>
    <n v="6"/>
    <x v="0"/>
    <s v="Toolbox talk before work"/>
    <s v="Implement engineering control"/>
    <n v="3"/>
    <n v="1"/>
    <n v="3"/>
    <s v="Reduced"/>
    <s v="Low"/>
    <s v="Pending"/>
    <s v="Maintenance Supervisor"/>
    <x v="376"/>
  </r>
  <r>
    <s v="RA0487"/>
    <d v="2025-04-10T00:00:00"/>
    <x v="7"/>
    <s v="Warehouse"/>
    <x v="16"/>
    <s v="Falling objects"/>
    <s v="Physical"/>
    <s v="Head injury"/>
    <n v="4"/>
    <n v="3"/>
    <n v="12"/>
    <x v="1"/>
    <s v="Machine guarding and routine inspection"/>
    <s v="Update risk assessment and procedure"/>
    <n v="3"/>
    <n v="3"/>
    <n v="9"/>
    <s v="Reduced"/>
    <s v="Medium"/>
    <s v="Partially Implemented"/>
    <s v="HSE Officer"/>
    <x v="377"/>
  </r>
  <r>
    <s v="RA0488"/>
    <d v="2026-12-25T00:00:00"/>
    <x v="3"/>
    <s v="Office"/>
    <x v="3"/>
    <s v="Ergonomic hazards and slips/trips"/>
    <s v="Ergonomic"/>
    <s v="Slip/trip injury"/>
    <n v="4"/>
    <n v="4"/>
    <n v="16"/>
    <x v="1"/>
    <s v="PPE provided and mandatory"/>
    <s v="Install additional physical guard"/>
    <n v="3"/>
    <n v="4"/>
    <n v="12"/>
    <s v="Reduced"/>
    <s v="High"/>
    <s v="Partially Implemented"/>
    <s v="Department Supervisor"/>
    <x v="378"/>
  </r>
  <r>
    <s v="RA0489"/>
    <d v="2025-10-24T00:00:00"/>
    <x v="0"/>
    <s v="Workshop"/>
    <x v="9"/>
    <s v="Moving equipment / conveyor"/>
    <s v="Mechanical"/>
    <s v="Amputation"/>
    <n v="2"/>
    <n v="3"/>
    <n v="6"/>
    <x v="0"/>
    <s v="Preventive maintenance program"/>
    <s v="Provide specialized PPE"/>
    <n v="2"/>
    <n v="3"/>
    <n v="6"/>
    <s v="Reduced"/>
    <s v="Medium"/>
    <s v="Implemented"/>
    <s v="Production Supervisor"/>
    <x v="379"/>
  </r>
  <r>
    <s v="RA0490"/>
    <d v="2026-03-01T00:00:00"/>
    <x v="5"/>
    <s v="Utilities Area"/>
    <x v="10"/>
    <s v="Electric shock and trip hazards"/>
    <s v="Electrical"/>
    <s v="Electric shock"/>
    <n v="4"/>
    <n v="5"/>
    <n v="20"/>
    <x v="2"/>
    <s v="PPE provided and mandatory"/>
    <s v="Install additional physical guard"/>
    <n v="4"/>
    <n v="5"/>
    <n v="20"/>
    <s v="Reduced"/>
    <s v="Critical"/>
    <s v="Implemented"/>
    <s v="HSE Officer"/>
    <x v="243"/>
  </r>
  <r>
    <s v="RA0491"/>
    <d v="2025-12-27T00:00:00"/>
    <x v="5"/>
    <s v="Utilities Area"/>
    <x v="5"/>
    <s v="Electric shock and arc flash"/>
    <s v="Electrical"/>
    <s v="Serious injury"/>
    <n v="4"/>
    <n v="3"/>
    <n v="12"/>
    <x v="1"/>
    <s v="Preventive maintenance program"/>
    <s v="Provide specialized PPE"/>
    <n v="3"/>
    <n v="3"/>
    <n v="9"/>
    <s v="Reduced"/>
    <s v="Medium"/>
    <s v="Implemented"/>
    <s v="Maintenance Supervisor"/>
    <x v="380"/>
  </r>
  <r>
    <s v="RA0492"/>
    <d v="2025-06-21T00:00:00"/>
    <x v="1"/>
    <s v="Laboratory"/>
    <x v="1"/>
    <s v="Fire, fumes and hot work"/>
    <s v="Fire / Chemical"/>
    <s v="Respiratory irritation"/>
    <n v="5"/>
    <n v="3"/>
    <n v="15"/>
    <x v="1"/>
    <s v="PPE provided and mandatory"/>
    <s v="Verify PTW and isolation before work"/>
    <n v="4"/>
    <n v="2"/>
    <n v="8"/>
    <s v="Reduced"/>
    <s v="Medium"/>
    <s v="Implemented"/>
    <s v="HSE Officer"/>
    <x v="381"/>
  </r>
  <r>
    <s v="RA0493"/>
    <d v="2026-03-06T00:00:00"/>
    <x v="0"/>
    <s v="Utilities Area"/>
    <x v="13"/>
    <s v="Moving machinery and dust"/>
    <s v="Mechanical"/>
    <s v="Cuts"/>
    <n v="5"/>
    <n v="5"/>
    <n v="25"/>
    <x v="2"/>
    <s v="Machine guarding and routine inspection"/>
    <s v="Conduct refresher training"/>
    <n v="5"/>
    <n v="5"/>
    <n v="25"/>
    <s v="Reduced"/>
    <s v="Critical"/>
    <s v="Implemented"/>
    <s v="HSE Officer"/>
    <x v="382"/>
  </r>
  <r>
    <s v="RA0494"/>
    <d v="2025-01-18T00:00:00"/>
    <x v="6"/>
    <s v="Workshop"/>
    <x v="7"/>
    <s v="Chemical exposure and spills"/>
    <s v="Chemical"/>
    <s v="Skin irritation"/>
    <n v="2"/>
    <n v="5"/>
    <n v="10"/>
    <x v="1"/>
    <s v="Emergency response equipment available"/>
    <s v="Install additional physical guard"/>
    <n v="1"/>
    <n v="5"/>
    <n v="5"/>
    <s v="Reduced"/>
    <s v="Medium"/>
    <s v="Implemented"/>
    <s v="HSE Officer"/>
    <x v="2"/>
  </r>
  <r>
    <s v="RA0495"/>
    <d v="2026-10-28T00:00:00"/>
    <x v="6"/>
    <s v="Utilities Area"/>
    <x v="18"/>
    <s v="High pressure and hot surfaces"/>
    <s v="Pressure / Thermal"/>
    <s v="Serious injury"/>
    <n v="5"/>
    <n v="3"/>
    <n v="15"/>
    <x v="1"/>
    <s v="Emergency response equipment available"/>
    <s v="Implement engineering control"/>
    <n v="4"/>
    <n v="3"/>
    <n v="12"/>
    <s v="Reduced"/>
    <s v="High"/>
    <s v="Pending"/>
    <s v="HSE Officer"/>
    <x v="383"/>
  </r>
  <r>
    <s v="RA0496"/>
    <d v="2025-08-25T00:00:00"/>
    <x v="0"/>
    <s v="Plant Area B"/>
    <x v="6"/>
    <s v="Fall from height"/>
    <s v="Work at Height"/>
    <s v="Fall injury"/>
    <n v="3"/>
    <n v="5"/>
    <n v="15"/>
    <x v="1"/>
    <s v="Trained and authorized personnel only"/>
    <s v="Improve supervision and monitoring"/>
    <n v="1"/>
    <n v="5"/>
    <n v="5"/>
    <s v="Reduced"/>
    <s v="Medium"/>
    <s v="Pending"/>
    <s v="HSE Engineer"/>
    <x v="181"/>
  </r>
  <r>
    <s v="RA0497"/>
    <d v="2025-03-18T00:00:00"/>
    <x v="0"/>
    <s v="Warehouse"/>
    <x v="9"/>
    <s v="Moving equipment / conveyor"/>
    <s v="Mechanical"/>
    <s v="Crush injury"/>
    <n v="5"/>
    <n v="5"/>
    <n v="25"/>
    <x v="2"/>
    <s v="Preventive maintenance program"/>
    <s v="Increase inspection frequency"/>
    <n v="4"/>
    <n v="4"/>
    <n v="16"/>
    <s v="Reduced"/>
    <s v="High"/>
    <s v="Partially Implemented"/>
    <s v="HSE Engineer"/>
    <x v="384"/>
  </r>
  <r>
    <s v="RA0498"/>
    <d v="2025-08-03T00:00:00"/>
    <x v="1"/>
    <s v="Office"/>
    <x v="12"/>
    <s v="Stored pressure and rotating parts"/>
    <s v="Mechanical"/>
    <s v="Amputation"/>
    <n v="3"/>
    <n v="2"/>
    <n v="6"/>
    <x v="0"/>
    <s v="Preventive maintenance program"/>
    <s v="Conduct refresher training"/>
    <n v="2"/>
    <n v="1"/>
    <n v="2"/>
    <s v="Reduced"/>
    <s v="Low"/>
    <s v="Pending"/>
    <s v="HSE Officer"/>
    <x v="247"/>
  </r>
  <r>
    <s v="RA0499"/>
    <d v="2025-03-18T00:00:00"/>
    <x v="7"/>
    <s v="Plant Area A"/>
    <x v="16"/>
    <s v="Falling objects"/>
    <s v="Physical"/>
    <s v="Serious injury"/>
    <n v="5"/>
    <n v="2"/>
    <n v="10"/>
    <x v="1"/>
    <s v="Emergency response equipment available"/>
    <s v="Provide specialized PPE"/>
    <n v="4"/>
    <n v="1"/>
    <n v="4"/>
    <s v="Reduced"/>
    <s v="Low"/>
    <s v="Pending"/>
    <s v="Maintenance Supervisor"/>
    <x v="385"/>
  </r>
  <r>
    <s v="RA0500"/>
    <d v="2025-06-03T00:00:00"/>
    <x v="4"/>
    <s v="Laboratory"/>
    <x v="8"/>
    <s v="Stored energy and moving parts"/>
    <s v="Mechanical"/>
    <s v="Cuts"/>
    <n v="3"/>
    <n v="4"/>
    <n v="12"/>
    <x v="1"/>
    <s v="Safety signage and restricted access"/>
    <s v="Increase inspection frequency"/>
    <n v="1"/>
    <n v="4"/>
    <n v="4"/>
    <s v="Reduced"/>
    <s v="Low"/>
    <s v="Partially Implemented"/>
    <s v="HSE Officer"/>
    <x v="386"/>
  </r>
  <r>
    <m/>
    <m/>
    <x v="8"/>
    <m/>
    <x v="19"/>
    <m/>
    <m/>
    <m/>
    <m/>
    <m/>
    <m/>
    <x v="4"/>
    <m/>
    <m/>
    <m/>
    <m/>
    <m/>
    <m/>
    <m/>
    <m/>
    <m/>
    <x v="387"/>
  </r>
</pivotCacheRecords>
</file>

<file path=xl/pivotCache/pivotCacheRecords2.xml><?xml version="1.0" encoding="utf-8"?>
<pivotCacheRecords xmlns="http://schemas.openxmlformats.org/spreadsheetml/2006/main" xmlns:r="http://schemas.openxmlformats.org/officeDocument/2006/relationships" count="500">
  <r>
    <s v="RA0001"/>
    <x v="0"/>
    <s v="Production"/>
    <s v="Utilities Area"/>
    <s v="Kiln Operation"/>
    <s v="Hot surfaces and high temperature"/>
    <s v="Thermal"/>
    <s v="Serious burn"/>
    <n v="2"/>
    <n v="3"/>
    <x v="0"/>
    <s v="Medium"/>
    <s v="PPE provided and mandatory"/>
    <s v="Conduct emergency drill"/>
    <n v="1"/>
    <n v="2"/>
    <x v="0"/>
    <x v="0"/>
    <s v="Low"/>
    <s v="Partially Implemented"/>
    <s v="HSE Officer"/>
    <x v="0"/>
  </r>
  <r>
    <s v="RA0002"/>
    <x v="1"/>
    <s v="Mechanical"/>
    <s v="Utilities Area"/>
    <s v="Welding and Cutting"/>
    <s v="Fire, fumes and hot work"/>
    <s v="Fire / Chemical"/>
    <s v="Respiratory irritation"/>
    <n v="4"/>
    <n v="4"/>
    <x v="1"/>
    <s v="High"/>
    <s v="Preventive maintenance program"/>
    <s v="Conduct refresher training"/>
    <n v="4"/>
    <n v="3"/>
    <x v="1"/>
    <x v="0"/>
    <s v="High"/>
    <s v="Implemented"/>
    <s v="HSE Officer"/>
    <x v="1"/>
  </r>
  <r>
    <s v="RA0003"/>
    <x v="2"/>
    <s v="Quality"/>
    <s v="Utilities Area"/>
    <s v="Laboratory Testing"/>
    <s v="Chemical exposure"/>
    <s v="Chemical"/>
    <s v="Eye injury"/>
    <n v="5"/>
    <n v="2"/>
    <x v="2"/>
    <s v="High"/>
    <s v="Trained and authorized personnel only"/>
    <s v="Install warning signs and barriers"/>
    <n v="5"/>
    <n v="1"/>
    <x v="2"/>
    <x v="0"/>
    <s v="Medium"/>
    <s v="Partially Implemented"/>
    <s v="Department Supervisor"/>
    <x v="2"/>
  </r>
  <r>
    <s v="RA0004"/>
    <x v="3"/>
    <s v="Administration"/>
    <s v="Plant Area B"/>
    <s v="Office Work"/>
    <s v="Ergonomic hazards and slips/trips"/>
    <s v="Ergonomic"/>
    <s v="Musculoskeletal strain"/>
    <n v="5"/>
    <n v="3"/>
    <x v="3"/>
    <s v="High"/>
    <s v="PPE provided and mandatory"/>
    <s v="Increase inspection frequency"/>
    <n v="3"/>
    <n v="3"/>
    <x v="3"/>
    <x v="0"/>
    <s v="Medium"/>
    <s v="Pending"/>
    <s v="Maintenance Supervisor"/>
    <x v="3"/>
  </r>
  <r>
    <s v="RA0005"/>
    <x v="4"/>
    <s v="Maintenance"/>
    <s v="Office"/>
    <s v="Mechanical Maintenance"/>
    <s v="Unexpected equipment movement"/>
    <s v="Mechanical"/>
    <s v="Serious injury"/>
    <n v="2"/>
    <n v="5"/>
    <x v="2"/>
    <s v="High"/>
    <s v="Emergency response equipment available"/>
    <s v="Improve supervision and monitoring"/>
    <n v="1"/>
    <n v="5"/>
    <x v="2"/>
    <x v="0"/>
    <s v="Medium"/>
    <s v="Partially Implemented"/>
    <s v="Production Supervisor"/>
    <x v="4"/>
  </r>
  <r>
    <s v="RA0006"/>
    <x v="5"/>
    <s v="Electrical"/>
    <s v="Plant Area A"/>
    <s v="Electrical Panel Maintenance"/>
    <s v="Electric shock and arc flash"/>
    <s v="Electrical"/>
    <s v="Electric shock"/>
    <n v="3"/>
    <n v="2"/>
    <x v="0"/>
    <s v="Medium"/>
    <s v="Safety signage and restricted access"/>
    <s v="Increase inspection frequency"/>
    <n v="3"/>
    <n v="1"/>
    <x v="4"/>
    <x v="0"/>
    <s v="Low"/>
    <s v="Partially Implemented"/>
    <s v="Department Supervisor"/>
    <x v="5"/>
  </r>
  <r>
    <s v="RA0007"/>
    <x v="6"/>
    <s v="Production"/>
    <s v="Laboratory"/>
    <s v="Work at Height"/>
    <s v="Fall from height"/>
    <s v="Work at Height"/>
    <s v="Serious injury"/>
    <n v="4"/>
    <n v="3"/>
    <x v="4"/>
    <s v="High"/>
    <s v="Machine guarding and routine inspection"/>
    <s v="Conduct refresher training"/>
    <n v="3"/>
    <n v="2"/>
    <x v="5"/>
    <x v="0"/>
    <s v="Medium"/>
    <s v="Implemented"/>
    <s v="Department Supervisor"/>
    <x v="6"/>
  </r>
  <r>
    <s v="RA0008"/>
    <x v="7"/>
    <s v="Utilities"/>
    <s v="Plant Area B"/>
    <s v="Chemical Handling"/>
    <s v="Chemical exposure and spills"/>
    <s v="Chemical"/>
    <s v="Skin irritation"/>
    <n v="5"/>
    <n v="2"/>
    <x v="2"/>
    <s v="High"/>
    <s v="Trained and authorized personnel only"/>
    <s v="Implement engineering control"/>
    <n v="4"/>
    <n v="1"/>
    <x v="6"/>
    <x v="0"/>
    <s v="Low"/>
    <s v="Implemented"/>
    <s v="HSE Officer"/>
    <x v="7"/>
  </r>
  <r>
    <s v="RA0009"/>
    <x v="8"/>
    <s v="Maintenance"/>
    <s v="Laboratory"/>
    <s v="Grinding Maintenance"/>
    <s v="Stored energy and moving parts"/>
    <s v="Mechanical"/>
    <s v="Crush injury"/>
    <n v="5"/>
    <n v="4"/>
    <x v="5"/>
    <s v="Critical"/>
    <s v="Standard operating procedure and supervision"/>
    <s v="Install warning signs and barriers"/>
    <n v="4"/>
    <n v="4"/>
    <x v="7"/>
    <x v="0"/>
    <s v="High"/>
    <s v="Pending"/>
    <s v="HSE Engineer"/>
    <x v="8"/>
  </r>
  <r>
    <s v="RA0010"/>
    <x v="9"/>
    <s v="Production"/>
    <s v="Workshop"/>
    <s v="Raw Material Handling"/>
    <s v="Moving equipment / conveyor"/>
    <s v="Mechanical"/>
    <s v="Serious injury"/>
    <n v="4"/>
    <n v="2"/>
    <x v="6"/>
    <s v="Medium"/>
    <s v="Toolbox talk before work"/>
    <s v="Install additional physical guard"/>
    <n v="2"/>
    <n v="1"/>
    <x v="0"/>
    <x v="0"/>
    <s v="Low"/>
    <s v="Implemented"/>
    <s v="Department Supervisor"/>
    <x v="9"/>
  </r>
  <r>
    <s v="RA0011"/>
    <x v="10"/>
    <s v="Electrical"/>
    <s v="Workshop"/>
    <s v="Cable Installation"/>
    <s v="Electric shock and trip hazards"/>
    <s v="Electrical"/>
    <s v="Electric shock"/>
    <n v="3"/>
    <n v="4"/>
    <x v="4"/>
    <s v="High"/>
    <s v="Safety signage and restricted access"/>
    <s v="Provide specialized PPE"/>
    <n v="1"/>
    <n v="3"/>
    <x v="4"/>
    <x v="0"/>
    <s v="Low"/>
    <s v="Pending"/>
    <s v="Department Supervisor"/>
    <x v="10"/>
  </r>
  <r>
    <s v="RA0012"/>
    <x v="11"/>
    <s v="Production"/>
    <s v="Warehouse"/>
    <s v="Excavation Work"/>
    <s v="Collapse and underground services"/>
    <s v="Excavation"/>
    <s v="Serious injury"/>
    <n v="5"/>
    <n v="5"/>
    <x v="7"/>
    <s v="Critical"/>
    <s v="Standard operating procedure and supervision"/>
    <s v="Provide specialized PPE"/>
    <n v="5"/>
    <n v="5"/>
    <x v="8"/>
    <x v="0"/>
    <s v="Critical"/>
    <s v="Pending"/>
    <s v="HSE Officer"/>
    <x v="11"/>
  </r>
  <r>
    <s v="RA0013"/>
    <x v="12"/>
    <s v="Mechanical"/>
    <s v="Warehouse"/>
    <s v="Welding and Cutting"/>
    <s v="Fire, fumes and hot work"/>
    <s v="Fire / Chemical"/>
    <s v="Fire-related injury"/>
    <n v="5"/>
    <n v="5"/>
    <x v="7"/>
    <s v="Critical"/>
    <s v="Toolbox talk before work"/>
    <s v="Conduct refresher training"/>
    <n v="4"/>
    <n v="4"/>
    <x v="7"/>
    <x v="0"/>
    <s v="High"/>
    <s v="Pending"/>
    <s v="Production Supervisor"/>
    <x v="12"/>
  </r>
  <r>
    <s v="RA0014"/>
    <x v="13"/>
    <s v="Production"/>
    <s v="Warehouse"/>
    <s v="Work at Height"/>
    <s v="Fall from height"/>
    <s v="Work at Height"/>
    <s v="Serious injury"/>
    <n v="2"/>
    <n v="4"/>
    <x v="6"/>
    <s v="Medium"/>
    <s v="Toolbox talk before work"/>
    <s v="Install additional physical guard"/>
    <n v="2"/>
    <n v="3"/>
    <x v="5"/>
    <x v="0"/>
    <s v="Medium"/>
    <s v="Partially Implemented"/>
    <s v="Department Supervisor"/>
    <x v="13"/>
  </r>
  <r>
    <s v="RA0015"/>
    <x v="14"/>
    <s v="Mechanical"/>
    <s v="Laboratory"/>
    <s v="Welding and Cutting"/>
    <s v="Fire, fumes and hot work"/>
    <s v="Fire / Chemical"/>
    <s v="Burn"/>
    <n v="3"/>
    <n v="5"/>
    <x v="3"/>
    <s v="High"/>
    <s v="Standard operating procedure and supervision"/>
    <s v="Conduct emergency drill"/>
    <n v="3"/>
    <n v="5"/>
    <x v="9"/>
    <x v="1"/>
    <s v="High"/>
    <s v="Pending"/>
    <s v="HSE Officer"/>
    <x v="14"/>
  </r>
  <r>
    <s v="RA0016"/>
    <x v="15"/>
    <s v="Production"/>
    <s v="Workshop"/>
    <s v="Kiln Operation"/>
    <s v="Hot surfaces and high temperature"/>
    <s v="Thermal"/>
    <s v="Serious burn"/>
    <n v="5"/>
    <n v="2"/>
    <x v="2"/>
    <s v="High"/>
    <s v="Preventive maintenance program"/>
    <s v="Increase inspection frequency"/>
    <n v="4"/>
    <n v="1"/>
    <x v="6"/>
    <x v="0"/>
    <s v="Low"/>
    <s v="Implemented"/>
    <s v="Department Supervisor"/>
    <x v="15"/>
  </r>
  <r>
    <s v="RA0017"/>
    <x v="16"/>
    <s v="Maintenance"/>
    <s v="Utilities Area"/>
    <s v="Mechanical Maintenance"/>
    <s v="Unexpected equipment movement"/>
    <s v="Mechanical"/>
    <s v="Serious injury"/>
    <n v="3"/>
    <n v="2"/>
    <x v="0"/>
    <s v="Medium"/>
    <s v="Preventive maintenance program"/>
    <s v="Improve supervision and monitoring"/>
    <n v="2"/>
    <n v="1"/>
    <x v="0"/>
    <x v="0"/>
    <s v="Low"/>
    <s v="Pending"/>
    <s v="HSE Officer"/>
    <x v="16"/>
  </r>
  <r>
    <s v="RA0018"/>
    <x v="17"/>
    <s v="Mechanical"/>
    <s v="Workshop"/>
    <s v="Pump Maintenance"/>
    <s v="Stored pressure and rotating parts"/>
    <s v="Mechanical"/>
    <s v="Amputation"/>
    <n v="3"/>
    <n v="4"/>
    <x v="4"/>
    <s v="High"/>
    <s v="Machine guarding and routine inspection"/>
    <s v="Conduct emergency drill"/>
    <n v="2"/>
    <n v="4"/>
    <x v="10"/>
    <x v="0"/>
    <s v="Medium"/>
    <s v="Partially Implemented"/>
    <s v="HSE Officer"/>
    <x v="17"/>
  </r>
  <r>
    <s v="RA0019"/>
    <x v="18"/>
    <s v="Electrical"/>
    <s v="Warehouse"/>
    <s v="Cable Installation"/>
    <s v="Electric shock and trip hazards"/>
    <s v="Electrical"/>
    <s v="Serious injury"/>
    <n v="2"/>
    <n v="5"/>
    <x v="2"/>
    <s v="High"/>
    <s v="Toolbox talk before work"/>
    <s v="Verify PTW and isolation before work"/>
    <n v="1"/>
    <n v="4"/>
    <x v="6"/>
    <x v="0"/>
    <s v="Low"/>
    <s v="Implemented"/>
    <s v="Production Supervisor"/>
    <x v="18"/>
  </r>
  <r>
    <s v="RA0020"/>
    <x v="19"/>
    <s v="Utilities"/>
    <s v="Warehouse"/>
    <s v="Chemical Handling"/>
    <s v="Chemical exposure and spills"/>
    <s v="Chemical"/>
    <s v="Skin irritation"/>
    <n v="3"/>
    <n v="4"/>
    <x v="4"/>
    <s v="High"/>
    <s v="PPE provided and mandatory"/>
    <s v="Provide specialized PPE"/>
    <n v="1"/>
    <n v="4"/>
    <x v="6"/>
    <x v="0"/>
    <s v="Low"/>
    <s v="Implemented"/>
    <s v="HSE Engineer"/>
    <x v="19"/>
  </r>
  <r>
    <s v="RA0021"/>
    <x v="20"/>
    <s v="Production"/>
    <s v="Utilities Area"/>
    <s v="Work at Height"/>
    <s v="Fall from height"/>
    <s v="Work at Height"/>
    <s v="Fall injury"/>
    <n v="5"/>
    <n v="2"/>
    <x v="2"/>
    <s v="High"/>
    <s v="Machine guarding and routine inspection"/>
    <s v="Update risk assessment and procedure"/>
    <n v="4"/>
    <n v="1"/>
    <x v="6"/>
    <x v="0"/>
    <s v="Low"/>
    <s v="Implemented"/>
    <s v="Department Supervisor"/>
    <x v="20"/>
  </r>
  <r>
    <s v="RA0022"/>
    <x v="21"/>
    <s v="Mechanical"/>
    <s v="Plant Area B"/>
    <s v="Pump Maintenance"/>
    <s v="Stored pressure and rotating parts"/>
    <s v="Mechanical"/>
    <s v="Serious injury"/>
    <n v="3"/>
    <n v="5"/>
    <x v="3"/>
    <s v="High"/>
    <s v="Standard operating procedure and supervision"/>
    <s v="Increase inspection frequency"/>
    <n v="2"/>
    <n v="4"/>
    <x v="10"/>
    <x v="0"/>
    <s v="Medium"/>
    <s v="Partially Implemented"/>
    <s v="HSE Officer"/>
    <x v="21"/>
  </r>
  <r>
    <s v="RA0023"/>
    <x v="22"/>
    <s v="Mechanical"/>
    <s v="Utilities Area"/>
    <s v="Welding and Cutting"/>
    <s v="Fire, fumes and hot work"/>
    <s v="Fire / Chemical"/>
    <s v="Fire-related injury"/>
    <n v="5"/>
    <n v="4"/>
    <x v="5"/>
    <s v="Critical"/>
    <s v="Safety signage and restricted access"/>
    <s v="Install additional physical guard"/>
    <n v="4"/>
    <n v="3"/>
    <x v="1"/>
    <x v="0"/>
    <s v="High"/>
    <s v="Implemented"/>
    <s v="HSE Officer"/>
    <x v="22"/>
  </r>
  <r>
    <s v="RA0024"/>
    <x v="23"/>
    <s v="Production"/>
    <s v="Laboratory"/>
    <s v="Kiln Operation"/>
    <s v="Hot surfaces and high temperature"/>
    <s v="Thermal"/>
    <s v="Serious burn"/>
    <n v="2"/>
    <n v="5"/>
    <x v="2"/>
    <s v="High"/>
    <s v="Emergency response equipment available"/>
    <s v="Implement engineering control"/>
    <n v="2"/>
    <n v="5"/>
    <x v="11"/>
    <x v="1"/>
    <s v="High"/>
    <s v="Partially Implemented"/>
    <s v="Department Supervisor"/>
    <x v="23"/>
  </r>
  <r>
    <s v="RA0025"/>
    <x v="22"/>
    <s v="Mechanical"/>
    <s v="Laboratory"/>
    <s v="Welding and Cutting"/>
    <s v="Fire, fumes and hot work"/>
    <s v="Fire / Chemical"/>
    <s v="Burn"/>
    <n v="2"/>
    <n v="2"/>
    <x v="8"/>
    <s v="Low"/>
    <s v="Toolbox talk before work"/>
    <s v="Verify PTW and isolation before work"/>
    <n v="2"/>
    <n v="1"/>
    <x v="0"/>
    <x v="0"/>
    <s v="Low"/>
    <s v="Partially Implemented"/>
    <s v="Department Supervisor"/>
    <x v="22"/>
  </r>
  <r>
    <s v="RA0026"/>
    <x v="24"/>
    <s v="Production"/>
    <s v="Workshop"/>
    <s v="Work at Height"/>
    <s v="Fall from height"/>
    <s v="Work at Height"/>
    <s v="Fall injury"/>
    <n v="3"/>
    <n v="2"/>
    <x v="0"/>
    <s v="Medium"/>
    <s v="Machine guarding and routine inspection"/>
    <s v="Update risk assessment and procedure"/>
    <n v="1"/>
    <n v="2"/>
    <x v="0"/>
    <x v="0"/>
    <s v="Low"/>
    <s v="Pending"/>
    <s v="Maintenance Supervisor"/>
    <x v="24"/>
  </r>
  <r>
    <s v="RA0027"/>
    <x v="25"/>
    <s v="Production"/>
    <s v="Laboratory"/>
    <s v="Packing Operation"/>
    <s v="Moving machinery and dust"/>
    <s v="Mechanical"/>
    <s v="Cuts"/>
    <n v="5"/>
    <n v="3"/>
    <x v="3"/>
    <s v="High"/>
    <s v="Trained and authorized personnel only"/>
    <s v="Increase inspection frequency"/>
    <n v="3"/>
    <n v="3"/>
    <x v="3"/>
    <x v="0"/>
    <s v="Medium"/>
    <s v="Pending"/>
    <s v="Production Supervisor"/>
    <x v="25"/>
  </r>
  <r>
    <s v="RA0028"/>
    <x v="26"/>
    <s v="Production"/>
    <s v="Plant Area B"/>
    <s v="Packing Operation"/>
    <s v="Moving machinery and dust"/>
    <s v="Mechanical"/>
    <s v="Crush injury"/>
    <n v="4"/>
    <n v="2"/>
    <x v="6"/>
    <s v="Medium"/>
    <s v="Standard operating procedure and supervision"/>
    <s v="Conduct emergency drill"/>
    <n v="3"/>
    <n v="1"/>
    <x v="4"/>
    <x v="0"/>
    <s v="Low"/>
    <s v="Pending"/>
    <s v="Maintenance Supervisor"/>
    <x v="26"/>
  </r>
  <r>
    <s v="RA0029"/>
    <x v="27"/>
    <s v="Utilities"/>
    <s v="Plant Area A"/>
    <s v="Compressed Air System"/>
    <s v="High pressure release"/>
    <s v="Pressure"/>
    <s v="Fatal injury"/>
    <n v="3"/>
    <n v="4"/>
    <x v="4"/>
    <s v="High"/>
    <s v="Machine guarding and routine inspection"/>
    <s v="Implement engineering control"/>
    <n v="1"/>
    <n v="4"/>
    <x v="6"/>
    <x v="0"/>
    <s v="Low"/>
    <s v="Partially Implemented"/>
    <s v="Maintenance Supervisor"/>
    <x v="27"/>
  </r>
  <r>
    <s v="RA0030"/>
    <x v="28"/>
    <s v="Production"/>
    <s v="Utilities Area"/>
    <s v="Work at Height"/>
    <s v="Fall from height"/>
    <s v="Work at Height"/>
    <s v="Fall injury"/>
    <n v="2"/>
    <n v="5"/>
    <x v="2"/>
    <s v="High"/>
    <s v="Safety signage and restricted access"/>
    <s v="Provide specialized PPE"/>
    <n v="1"/>
    <n v="5"/>
    <x v="2"/>
    <x v="0"/>
    <s v="Medium"/>
    <s v="Pending"/>
    <s v="Production Supervisor"/>
    <x v="28"/>
  </r>
  <r>
    <s v="RA0031"/>
    <x v="29"/>
    <s v="Mechanical"/>
    <s v="Plant Area B"/>
    <s v="Welding and Cutting"/>
    <s v="Fire, fumes and hot work"/>
    <s v="Fire / Chemical"/>
    <s v="Respiratory irritation"/>
    <n v="5"/>
    <n v="4"/>
    <x v="5"/>
    <s v="Critical"/>
    <s v="Machine guarding and routine inspection"/>
    <s v="Install warning signs and barriers"/>
    <n v="5"/>
    <n v="3"/>
    <x v="9"/>
    <x v="0"/>
    <s v="High"/>
    <s v="Pending"/>
    <s v="HSE Engineer"/>
    <x v="29"/>
  </r>
  <r>
    <s v="RA0032"/>
    <x v="30"/>
    <s v="Mechanical"/>
    <s v="Laboratory"/>
    <s v="Pump Maintenance"/>
    <s v="Stored pressure and rotating parts"/>
    <s v="Mechanical"/>
    <s v="Cuts"/>
    <n v="2"/>
    <n v="4"/>
    <x v="6"/>
    <s v="Medium"/>
    <s v="Standard operating procedure and supervision"/>
    <s v="Provide specialized PPE"/>
    <n v="1"/>
    <n v="3"/>
    <x v="4"/>
    <x v="0"/>
    <s v="Low"/>
    <s v="Pending"/>
    <s v="Maintenance Supervisor"/>
    <x v="30"/>
  </r>
  <r>
    <s v="RA0033"/>
    <x v="31"/>
    <s v="Production"/>
    <s v="Plant Area B"/>
    <s v="Kiln Operation"/>
    <s v="Hot surfaces and high temperature"/>
    <s v="Thermal"/>
    <s v="Burn"/>
    <n v="2"/>
    <n v="5"/>
    <x v="2"/>
    <s v="High"/>
    <s v="Safety signage and restricted access"/>
    <s v="Increase inspection frequency"/>
    <n v="1"/>
    <n v="4"/>
    <x v="6"/>
    <x v="0"/>
    <s v="Low"/>
    <s v="Partially Implemented"/>
    <s v="Department Supervisor"/>
    <x v="31"/>
  </r>
  <r>
    <s v="RA0034"/>
    <x v="32"/>
    <s v="Warehouse"/>
    <s v="Office"/>
    <s v="Forklift Operation"/>
    <s v="Vehicle-pedestrian interaction"/>
    <s v="Vehicle / Traffic"/>
    <s v="Fatal injury"/>
    <n v="5"/>
    <n v="5"/>
    <x v="7"/>
    <s v="Critical"/>
    <s v="Preventive maintenance program"/>
    <s v="Provide specialized PPE"/>
    <n v="4"/>
    <n v="4"/>
    <x v="7"/>
    <x v="0"/>
    <s v="High"/>
    <s v="Pending"/>
    <s v="HSE Engineer"/>
    <x v="32"/>
  </r>
  <r>
    <s v="RA0035"/>
    <x v="33"/>
    <s v="Utilities"/>
    <s v="Workshop"/>
    <s v="Compressed Air System"/>
    <s v="High pressure release"/>
    <s v="Pressure"/>
    <s v="Impact injury"/>
    <n v="3"/>
    <n v="2"/>
    <x v="0"/>
    <s v="Medium"/>
    <s v="Toolbox talk before work"/>
    <s v="Verify PTW and isolation before work"/>
    <n v="2"/>
    <n v="2"/>
    <x v="6"/>
    <x v="0"/>
    <s v="Low"/>
    <s v="Pending"/>
    <s v="Department Supervisor"/>
    <x v="33"/>
  </r>
  <r>
    <s v="RA0036"/>
    <x v="34"/>
    <s v="Quality"/>
    <s v="Office"/>
    <s v="Laboratory Testing"/>
    <s v="Chemical exposure"/>
    <s v="Chemical"/>
    <s v="Eye injury"/>
    <n v="5"/>
    <n v="5"/>
    <x v="7"/>
    <s v="Critical"/>
    <s v="Toolbox talk before work"/>
    <s v="Increase inspection frequency"/>
    <n v="4"/>
    <n v="5"/>
    <x v="12"/>
    <x v="0"/>
    <s v="Critical"/>
    <s v="Implemented"/>
    <s v="Department Supervisor"/>
    <x v="34"/>
  </r>
  <r>
    <s v="RA0037"/>
    <x v="35"/>
    <s v="Maintenance"/>
    <s v="Workshop"/>
    <s v="Grinding Maintenance"/>
    <s v="Stored energy and moving parts"/>
    <s v="Mechanical"/>
    <s v="Amputation"/>
    <n v="4"/>
    <n v="5"/>
    <x v="5"/>
    <s v="Critical"/>
    <s v="Machine guarding and routine inspection"/>
    <s v="Install warning signs and barriers"/>
    <n v="3"/>
    <n v="4"/>
    <x v="1"/>
    <x v="0"/>
    <s v="High"/>
    <s v="Partially Implemented"/>
    <s v="Department Supervisor"/>
    <x v="35"/>
  </r>
  <r>
    <s v="RA0038"/>
    <x v="36"/>
    <s v="Production"/>
    <s v="Utilities Area"/>
    <s v="Excavation Work"/>
    <s v="Collapse and underground services"/>
    <s v="Excavation"/>
    <s v="Fatal injury"/>
    <n v="2"/>
    <n v="5"/>
    <x v="2"/>
    <s v="High"/>
    <s v="PPE provided and mandatory"/>
    <s v="Conduct emergency drill"/>
    <n v="2"/>
    <n v="4"/>
    <x v="10"/>
    <x v="0"/>
    <s v="Medium"/>
    <s v="Pending"/>
    <s v="HSE Engineer"/>
    <x v="36"/>
  </r>
  <r>
    <s v="RA0039"/>
    <x v="37"/>
    <s v="Utilities"/>
    <s v="Office"/>
    <s v="Compressed Air System"/>
    <s v="High pressure release"/>
    <s v="Pressure"/>
    <s v="Impact injury"/>
    <n v="5"/>
    <n v="5"/>
    <x v="7"/>
    <s v="Critical"/>
    <s v="Emergency response equipment available"/>
    <s v="Install additional physical guard"/>
    <n v="4"/>
    <n v="4"/>
    <x v="7"/>
    <x v="0"/>
    <s v="High"/>
    <s v="Implemented"/>
    <s v="Maintenance Supervisor"/>
    <x v="37"/>
  </r>
  <r>
    <s v="RA0040"/>
    <x v="38"/>
    <s v="Administration"/>
    <s v="Warehouse"/>
    <s v="Office Work"/>
    <s v="Ergonomic hazards and slips/trips"/>
    <s v="Ergonomic"/>
    <s v="Musculoskeletal strain"/>
    <n v="4"/>
    <n v="4"/>
    <x v="1"/>
    <s v="High"/>
    <s v="PPE provided and mandatory"/>
    <s v="Improve supervision and monitoring"/>
    <n v="2"/>
    <n v="3"/>
    <x v="5"/>
    <x v="0"/>
    <s v="Medium"/>
    <s v="Pending"/>
    <s v="HSE Engineer"/>
    <x v="38"/>
  </r>
  <r>
    <s v="RA0041"/>
    <x v="39"/>
    <s v="Electrical"/>
    <s v="Utilities Area"/>
    <s v="Electrical Panel Maintenance"/>
    <s v="Electric shock and arc flash"/>
    <s v="Electrical"/>
    <s v="Serious injury"/>
    <n v="2"/>
    <n v="5"/>
    <x v="2"/>
    <s v="High"/>
    <s v="Safety signage and restricted access"/>
    <s v="Implement engineering control"/>
    <n v="2"/>
    <n v="4"/>
    <x v="10"/>
    <x v="0"/>
    <s v="Medium"/>
    <s v="Partially Implemented"/>
    <s v="HSE Engineer"/>
    <x v="39"/>
  </r>
  <r>
    <s v="RA0042"/>
    <x v="40"/>
    <s v="Quality"/>
    <s v="Warehouse"/>
    <s v="Laboratory Testing"/>
    <s v="Chemical exposure"/>
    <s v="Chemical"/>
    <s v="Skin irritation"/>
    <n v="4"/>
    <n v="4"/>
    <x v="1"/>
    <s v="High"/>
    <s v="PPE provided and mandatory"/>
    <s v="Verify PTW and isolation before work"/>
    <n v="4"/>
    <n v="3"/>
    <x v="1"/>
    <x v="0"/>
    <s v="High"/>
    <s v="Partially Implemented"/>
    <s v="HSE Engineer"/>
    <x v="40"/>
  </r>
  <r>
    <s v="RA0043"/>
    <x v="12"/>
    <s v="Warehouse"/>
    <s v="Workshop"/>
    <s v="Material Stacking"/>
    <s v="Falling objects"/>
    <s v="Physical"/>
    <s v="Serious injury"/>
    <n v="4"/>
    <n v="2"/>
    <x v="6"/>
    <s v="Medium"/>
    <s v="Emergency response equipment available"/>
    <s v="Conduct refresher training"/>
    <n v="2"/>
    <n v="2"/>
    <x v="6"/>
    <x v="0"/>
    <s v="Low"/>
    <s v="Pending"/>
    <s v="HSE Engineer"/>
    <x v="41"/>
  </r>
  <r>
    <s v="RA0044"/>
    <x v="41"/>
    <s v="Production"/>
    <s v="Utilities Area"/>
    <s v="Work at Height"/>
    <s v="Fall from height"/>
    <s v="Work at Height"/>
    <s v="Serious injury"/>
    <n v="3"/>
    <n v="2"/>
    <x v="0"/>
    <s v="Medium"/>
    <s v="PPE provided and mandatory"/>
    <s v="Conduct refresher training"/>
    <n v="2"/>
    <n v="1"/>
    <x v="0"/>
    <x v="0"/>
    <s v="Low"/>
    <s v="Implemented"/>
    <s v="Department Supervisor"/>
    <x v="42"/>
  </r>
  <r>
    <s v="RA0045"/>
    <x v="42"/>
    <s v="Maintenance"/>
    <s v="Workshop"/>
    <s v="Mechanical Maintenance"/>
    <s v="Unexpected equipment movement"/>
    <s v="Mechanical"/>
    <s v="Crush injury"/>
    <n v="4"/>
    <n v="3"/>
    <x v="4"/>
    <s v="High"/>
    <s v="Toolbox talk before work"/>
    <s v="Update risk assessment and procedure"/>
    <n v="3"/>
    <n v="2"/>
    <x v="5"/>
    <x v="0"/>
    <s v="Medium"/>
    <s v="Pending"/>
    <s v="HSE Engineer"/>
    <x v="43"/>
  </r>
  <r>
    <s v="RA0046"/>
    <x v="43"/>
    <s v="Production"/>
    <s v="Office"/>
    <s v="Work at Height"/>
    <s v="Fall from height"/>
    <s v="Work at Height"/>
    <s v="Serious injury"/>
    <n v="5"/>
    <n v="2"/>
    <x v="2"/>
    <s v="High"/>
    <s v="Trained and authorized personnel only"/>
    <s v="Install warning signs and barriers"/>
    <n v="3"/>
    <n v="2"/>
    <x v="5"/>
    <x v="0"/>
    <s v="Medium"/>
    <s v="Pending"/>
    <s v="HSE Officer"/>
    <x v="44"/>
  </r>
  <r>
    <s v="RA0047"/>
    <x v="44"/>
    <s v="Production"/>
    <s v="Laboratory"/>
    <s v="Excavation Work"/>
    <s v="Collapse and underground services"/>
    <s v="Excavation"/>
    <s v="Fatal injury"/>
    <n v="2"/>
    <n v="2"/>
    <x v="8"/>
    <s v="Low"/>
    <s v="Toolbox talk before work"/>
    <s v="Increase inspection frequency"/>
    <n v="1"/>
    <n v="2"/>
    <x v="0"/>
    <x v="0"/>
    <s v="Low"/>
    <s v="Partially Implemented"/>
    <s v="HSE Engineer"/>
    <x v="45"/>
  </r>
  <r>
    <s v="RA0048"/>
    <x v="45"/>
    <s v="Electrical"/>
    <s v="Warehouse"/>
    <s v="Cable Installation"/>
    <s v="Electric shock and trip hazards"/>
    <s v="Electrical"/>
    <s v="Serious injury"/>
    <n v="3"/>
    <n v="5"/>
    <x v="3"/>
    <s v="High"/>
    <s v="Standard operating procedure and supervision"/>
    <s v="Verify PTW and isolation before work"/>
    <n v="1"/>
    <n v="4"/>
    <x v="6"/>
    <x v="0"/>
    <s v="Low"/>
    <s v="Partially Implemented"/>
    <s v="Maintenance Supervisor"/>
    <x v="46"/>
  </r>
  <r>
    <s v="RA0049"/>
    <x v="46"/>
    <s v="Administration"/>
    <s v="Laboratory"/>
    <s v="Office Work"/>
    <s v="Ergonomic hazards and slips/trips"/>
    <s v="Ergonomic"/>
    <s v="Musculoskeletal strain"/>
    <n v="5"/>
    <n v="2"/>
    <x v="2"/>
    <s v="High"/>
    <s v="Toolbox talk before work"/>
    <s v="Improve supervision and monitoring"/>
    <n v="5"/>
    <n v="1"/>
    <x v="2"/>
    <x v="0"/>
    <s v="Medium"/>
    <s v="Partially Implemented"/>
    <s v="HSE Officer"/>
    <x v="47"/>
  </r>
  <r>
    <s v="RA0050"/>
    <x v="47"/>
    <s v="Production"/>
    <s v="Workshop"/>
    <s v="Work at Height"/>
    <s v="Fall from height"/>
    <s v="Work at Height"/>
    <s v="Serious injury"/>
    <n v="3"/>
    <n v="5"/>
    <x v="3"/>
    <s v="High"/>
    <s v="Standard operating procedure and supervision"/>
    <s v="Update risk assessment and procedure"/>
    <n v="1"/>
    <n v="4"/>
    <x v="6"/>
    <x v="0"/>
    <s v="Low"/>
    <s v="Partially Implemented"/>
    <s v="Maintenance Supervisor"/>
    <x v="48"/>
  </r>
  <r>
    <s v="RA0051"/>
    <x v="48"/>
    <s v="Production"/>
    <s v="Utilities Area"/>
    <s v="Excavation Work"/>
    <s v="Collapse and underground services"/>
    <s v="Excavation"/>
    <s v="Fatal injury"/>
    <n v="5"/>
    <n v="4"/>
    <x v="5"/>
    <s v="Critical"/>
    <s v="Standard operating procedure and supervision"/>
    <s v="Conduct emergency drill"/>
    <n v="4"/>
    <n v="3"/>
    <x v="1"/>
    <x v="0"/>
    <s v="High"/>
    <s v="Partially Implemented"/>
    <s v="HSE Engineer"/>
    <x v="3"/>
  </r>
  <r>
    <s v="RA0052"/>
    <x v="49"/>
    <s v="Maintenance"/>
    <s v="Warehouse"/>
    <s v="Confined Space Entry"/>
    <s v="Oxygen deficiency / toxic atmosphere"/>
    <s v="Confined Space"/>
    <s v="Toxic exposure"/>
    <n v="2"/>
    <n v="3"/>
    <x v="0"/>
    <s v="Medium"/>
    <s v="Trained and authorized personnel only"/>
    <s v="Install additional physical guard"/>
    <n v="1"/>
    <n v="3"/>
    <x v="4"/>
    <x v="0"/>
    <s v="Low"/>
    <s v="Partially Implemented"/>
    <s v="HSE Engineer"/>
    <x v="49"/>
  </r>
  <r>
    <s v="RA0053"/>
    <x v="50"/>
    <s v="Production"/>
    <s v="Utilities Area"/>
    <s v="Packing Operation"/>
    <s v="Moving machinery and dust"/>
    <s v="Mechanical"/>
    <s v="Cuts"/>
    <n v="4"/>
    <n v="3"/>
    <x v="4"/>
    <s v="High"/>
    <s v="Standard operating procedure and supervision"/>
    <s v="Implement engineering control"/>
    <n v="2"/>
    <n v="2"/>
    <x v="6"/>
    <x v="0"/>
    <s v="Low"/>
    <s v="Implemented"/>
    <s v="Department Supervisor"/>
    <x v="50"/>
  </r>
  <r>
    <s v="RA0054"/>
    <x v="51"/>
    <s v="Production"/>
    <s v="Laboratory"/>
    <s v="Packing Operation"/>
    <s v="Moving machinery and dust"/>
    <s v="Mechanical"/>
    <s v="Cuts"/>
    <n v="5"/>
    <n v="4"/>
    <x v="5"/>
    <s v="Critical"/>
    <s v="Safety signage and restricted access"/>
    <s v="Increase inspection frequency"/>
    <n v="4"/>
    <n v="4"/>
    <x v="7"/>
    <x v="0"/>
    <s v="High"/>
    <s v="Implemented"/>
    <s v="Department Supervisor"/>
    <x v="51"/>
  </r>
  <r>
    <s v="RA0055"/>
    <x v="52"/>
    <s v="Electrical"/>
    <s v="Utilities Area"/>
    <s v="Cable Installation"/>
    <s v="Electric shock and trip hazards"/>
    <s v="Electrical"/>
    <s v="Burn"/>
    <n v="2"/>
    <n v="2"/>
    <x v="8"/>
    <s v="Low"/>
    <s v="Emergency response equipment available"/>
    <s v="Install additional physical guard"/>
    <n v="1"/>
    <n v="1"/>
    <x v="13"/>
    <x v="0"/>
    <s v="Low"/>
    <s v="Partially Implemented"/>
    <s v="HSE Officer"/>
    <x v="52"/>
  </r>
  <r>
    <s v="RA0056"/>
    <x v="53"/>
    <s v="Production"/>
    <s v="Laboratory"/>
    <s v="Raw Material Handling"/>
    <s v="Moving equipment / conveyor"/>
    <s v="Mechanical"/>
    <s v="Amputation"/>
    <n v="2"/>
    <n v="3"/>
    <x v="0"/>
    <s v="Medium"/>
    <s v="Standard operating procedure and supervision"/>
    <s v="Install additional physical guard"/>
    <n v="1"/>
    <n v="2"/>
    <x v="0"/>
    <x v="0"/>
    <s v="Low"/>
    <s v="Pending"/>
    <s v="HSE Engineer"/>
    <x v="53"/>
  </r>
  <r>
    <s v="RA0057"/>
    <x v="54"/>
    <s v="Production"/>
    <s v="Workshop"/>
    <s v="Raw Material Handling"/>
    <s v="Moving equipment / conveyor"/>
    <s v="Mechanical"/>
    <s v="Crush injury"/>
    <n v="3"/>
    <n v="4"/>
    <x v="4"/>
    <s v="High"/>
    <s v="Safety signage and restricted access"/>
    <s v="Update risk assessment and procedure"/>
    <n v="2"/>
    <n v="3"/>
    <x v="5"/>
    <x v="0"/>
    <s v="Medium"/>
    <s v="Implemented"/>
    <s v="Maintenance Supervisor"/>
    <x v="54"/>
  </r>
  <r>
    <s v="RA0058"/>
    <x v="55"/>
    <s v="Production"/>
    <s v="Warehouse"/>
    <s v="Work at Height"/>
    <s v="Fall from height"/>
    <s v="Work at Height"/>
    <s v="Serious injury"/>
    <n v="3"/>
    <n v="2"/>
    <x v="0"/>
    <s v="Medium"/>
    <s v="Emergency response equipment available"/>
    <s v="Conduct refresher training"/>
    <n v="2"/>
    <n v="1"/>
    <x v="0"/>
    <x v="0"/>
    <s v="Low"/>
    <s v="Pending"/>
    <s v="Department Supervisor"/>
    <x v="24"/>
  </r>
  <r>
    <s v="RA0059"/>
    <x v="37"/>
    <s v="Production"/>
    <s v="Workshop"/>
    <s v="Raw Material Handling"/>
    <s v="Moving equipment / conveyor"/>
    <s v="Mechanical"/>
    <s v="Serious injury"/>
    <n v="5"/>
    <n v="3"/>
    <x v="3"/>
    <s v="High"/>
    <s v="PPE provided and mandatory"/>
    <s v="Provide specialized PPE"/>
    <n v="3"/>
    <n v="2"/>
    <x v="5"/>
    <x v="0"/>
    <s v="Medium"/>
    <s v="Partially Implemented"/>
    <s v="Maintenance Supervisor"/>
    <x v="55"/>
  </r>
  <r>
    <s v="RA0060"/>
    <x v="56"/>
    <s v="Maintenance"/>
    <s v="Office"/>
    <s v="Grinding Maintenance"/>
    <s v="Stored energy and moving parts"/>
    <s v="Mechanical"/>
    <s v="Crush injury"/>
    <n v="3"/>
    <n v="3"/>
    <x v="9"/>
    <s v="Medium"/>
    <s v="Safety signage and restricted access"/>
    <s v="Implement engineering control"/>
    <n v="2"/>
    <n v="2"/>
    <x v="6"/>
    <x v="0"/>
    <s v="Low"/>
    <s v="Pending"/>
    <s v="Department Supervisor"/>
    <x v="56"/>
  </r>
  <r>
    <s v="RA0061"/>
    <x v="57"/>
    <s v="Mechanical"/>
    <s v="Office"/>
    <s v="Pump Maintenance"/>
    <s v="Stored pressure and rotating parts"/>
    <s v="Mechanical"/>
    <s v="Crush injury"/>
    <n v="5"/>
    <n v="3"/>
    <x v="3"/>
    <s v="High"/>
    <s v="Toolbox talk before work"/>
    <s v="Improve supervision and monitoring"/>
    <n v="4"/>
    <n v="2"/>
    <x v="10"/>
    <x v="0"/>
    <s v="Medium"/>
    <s v="Partially Implemented"/>
    <s v="Production Supervisor"/>
    <x v="57"/>
  </r>
  <r>
    <s v="RA0062"/>
    <x v="58"/>
    <s v="Utilities"/>
    <s v="Plant Area B"/>
    <s v="Chemical Handling"/>
    <s v="Chemical exposure and spills"/>
    <s v="Chemical"/>
    <s v="Skin irritation"/>
    <n v="2"/>
    <n v="4"/>
    <x v="6"/>
    <s v="Medium"/>
    <s v="Preventive maintenance program"/>
    <s v="Conduct refresher training"/>
    <n v="1"/>
    <n v="3"/>
    <x v="4"/>
    <x v="0"/>
    <s v="Low"/>
    <s v="Pending"/>
    <s v="HSE Engineer"/>
    <x v="58"/>
  </r>
  <r>
    <s v="RA0063"/>
    <x v="59"/>
    <s v="Mechanical"/>
    <s v="Laboratory"/>
    <s v="Pump Maintenance"/>
    <s v="Stored pressure and rotating parts"/>
    <s v="Mechanical"/>
    <s v="Serious injury"/>
    <n v="5"/>
    <n v="3"/>
    <x v="3"/>
    <s v="High"/>
    <s v="Toolbox talk before work"/>
    <s v="Provide specialized PPE"/>
    <n v="3"/>
    <n v="2"/>
    <x v="5"/>
    <x v="0"/>
    <s v="Medium"/>
    <s v="Pending"/>
    <s v="Production Supervisor"/>
    <x v="59"/>
  </r>
  <r>
    <s v="RA0064"/>
    <x v="60"/>
    <s v="Utilities"/>
    <s v="Plant Area A"/>
    <s v="Compressed Air System"/>
    <s v="High pressure release"/>
    <s v="Pressure"/>
    <s v="Serious injury"/>
    <n v="4"/>
    <n v="3"/>
    <x v="4"/>
    <s v="High"/>
    <s v="Emergency response equipment available"/>
    <s v="Update risk assessment and procedure"/>
    <n v="3"/>
    <n v="3"/>
    <x v="3"/>
    <x v="0"/>
    <s v="Medium"/>
    <s v="Pending"/>
    <s v="Department Supervisor"/>
    <x v="60"/>
  </r>
  <r>
    <s v="RA0065"/>
    <x v="61"/>
    <s v="Maintenance"/>
    <s v="Workshop"/>
    <s v="Grinding Maintenance"/>
    <s v="Stored energy and moving parts"/>
    <s v="Mechanical"/>
    <s v="Amputation"/>
    <n v="5"/>
    <n v="4"/>
    <x v="5"/>
    <s v="Critical"/>
    <s v="Machine guarding and routine inspection"/>
    <s v="Implement engineering control"/>
    <n v="3"/>
    <n v="4"/>
    <x v="1"/>
    <x v="0"/>
    <s v="High"/>
    <s v="Pending"/>
    <s v="Production Supervisor"/>
    <x v="61"/>
  </r>
  <r>
    <s v="RA0066"/>
    <x v="62"/>
    <s v="Mechanical"/>
    <s v="Utilities Area"/>
    <s v="Welding and Cutting"/>
    <s v="Fire, fumes and hot work"/>
    <s v="Fire / Chemical"/>
    <s v="Fire-related injury"/>
    <n v="2"/>
    <n v="2"/>
    <x v="8"/>
    <s v="Low"/>
    <s v="Toolbox talk before work"/>
    <s v="Install warning signs and barriers"/>
    <n v="2"/>
    <n v="2"/>
    <x v="6"/>
    <x v="1"/>
    <s v="Low"/>
    <s v="Pending"/>
    <s v="HSE Engineer"/>
    <x v="62"/>
  </r>
  <r>
    <s v="RA0067"/>
    <x v="63"/>
    <s v="Electrical"/>
    <s v="Workshop"/>
    <s v="Cable Installation"/>
    <s v="Electric shock and trip hazards"/>
    <s v="Electrical"/>
    <s v="Burn"/>
    <n v="3"/>
    <n v="3"/>
    <x v="9"/>
    <s v="Medium"/>
    <s v="Standard operating procedure and supervision"/>
    <s v="Update risk assessment and procedure"/>
    <n v="2"/>
    <n v="2"/>
    <x v="6"/>
    <x v="0"/>
    <s v="Low"/>
    <s v="Pending"/>
    <s v="HSE Officer"/>
    <x v="63"/>
  </r>
  <r>
    <s v="RA0068"/>
    <x v="64"/>
    <s v="Production"/>
    <s v="Warehouse"/>
    <s v="Raw Material Handling"/>
    <s v="Moving equipment / conveyor"/>
    <s v="Mechanical"/>
    <s v="Serious injury"/>
    <n v="5"/>
    <n v="3"/>
    <x v="3"/>
    <s v="High"/>
    <s v="PPE provided and mandatory"/>
    <s v="Conduct emergency drill"/>
    <n v="4"/>
    <n v="3"/>
    <x v="1"/>
    <x v="0"/>
    <s v="High"/>
    <s v="Partially Implemented"/>
    <s v="Production Supervisor"/>
    <x v="64"/>
  </r>
  <r>
    <s v="RA0069"/>
    <x v="25"/>
    <s v="Utilities"/>
    <s v="Plant Area B"/>
    <s v="Compressed Air System"/>
    <s v="High pressure release"/>
    <s v="Pressure"/>
    <s v="Fatal injury"/>
    <n v="3"/>
    <n v="5"/>
    <x v="3"/>
    <s v="High"/>
    <s v="Safety signage and restricted access"/>
    <s v="Verify PTW and isolation before work"/>
    <n v="2"/>
    <n v="5"/>
    <x v="11"/>
    <x v="0"/>
    <s v="High"/>
    <s v="Implemented"/>
    <s v="Department Supervisor"/>
    <x v="25"/>
  </r>
  <r>
    <s v="RA0070"/>
    <x v="65"/>
    <s v="Production"/>
    <s v="Workshop"/>
    <s v="Excavation Work"/>
    <s v="Collapse and underground services"/>
    <s v="Excavation"/>
    <s v="Fatal injury"/>
    <n v="3"/>
    <n v="5"/>
    <x v="3"/>
    <s v="High"/>
    <s v="Trained and authorized personnel only"/>
    <s v="Provide specialized PPE"/>
    <n v="2"/>
    <n v="5"/>
    <x v="11"/>
    <x v="0"/>
    <s v="High"/>
    <s v="Partially Implemented"/>
    <s v="Maintenance Supervisor"/>
    <x v="65"/>
  </r>
  <r>
    <s v="RA0071"/>
    <x v="35"/>
    <s v="Production"/>
    <s v="Laboratory"/>
    <s v="Excavation Work"/>
    <s v="Collapse and underground services"/>
    <s v="Excavation"/>
    <s v="Collapse injury"/>
    <n v="5"/>
    <n v="3"/>
    <x v="3"/>
    <s v="High"/>
    <s v="PPE provided and mandatory"/>
    <s v="Increase inspection frequency"/>
    <n v="4"/>
    <n v="2"/>
    <x v="10"/>
    <x v="0"/>
    <s v="Medium"/>
    <s v="Implemented"/>
    <s v="Department Supervisor"/>
    <x v="35"/>
  </r>
  <r>
    <s v="RA0072"/>
    <x v="0"/>
    <s v="Maintenance"/>
    <s v="Warehouse"/>
    <s v="Grinding Maintenance"/>
    <s v="Stored energy and moving parts"/>
    <s v="Mechanical"/>
    <s v="Amputation"/>
    <n v="3"/>
    <n v="4"/>
    <x v="4"/>
    <s v="High"/>
    <s v="Emergency response equipment available"/>
    <s v="Increase inspection frequency"/>
    <n v="2"/>
    <n v="4"/>
    <x v="10"/>
    <x v="0"/>
    <s v="Medium"/>
    <s v="Implemented"/>
    <s v="Production Supervisor"/>
    <x v="0"/>
  </r>
  <r>
    <s v="RA0073"/>
    <x v="66"/>
    <s v="Mechanical"/>
    <s v="Laboratory"/>
    <s v="Welding and Cutting"/>
    <s v="Fire, fumes and hot work"/>
    <s v="Fire / Chemical"/>
    <s v="Burn"/>
    <n v="2"/>
    <n v="5"/>
    <x v="2"/>
    <s v="High"/>
    <s v="Trained and authorized personnel only"/>
    <s v="Install additional physical guard"/>
    <n v="1"/>
    <n v="5"/>
    <x v="2"/>
    <x v="0"/>
    <s v="Medium"/>
    <s v="Implemented"/>
    <s v="HSE Officer"/>
    <x v="66"/>
  </r>
  <r>
    <s v="RA0074"/>
    <x v="29"/>
    <s v="Maintenance"/>
    <s v="Laboratory"/>
    <s v="Confined Space Entry"/>
    <s v="Oxygen deficiency / toxic atmosphere"/>
    <s v="Confined Space"/>
    <s v="Asphyxiation risk"/>
    <n v="4"/>
    <n v="5"/>
    <x v="5"/>
    <s v="Critical"/>
    <s v="Trained and authorized personnel only"/>
    <s v="Conduct refresher training"/>
    <n v="3"/>
    <n v="5"/>
    <x v="9"/>
    <x v="0"/>
    <s v="High"/>
    <s v="Implemented"/>
    <s v="Maintenance Supervisor"/>
    <x v="67"/>
  </r>
  <r>
    <s v="RA0075"/>
    <x v="67"/>
    <s v="Utilities"/>
    <s v="Workshop"/>
    <s v="Chemical Handling"/>
    <s v="Chemical exposure and spills"/>
    <s v="Chemical"/>
    <s v="Eye injury"/>
    <n v="4"/>
    <n v="2"/>
    <x v="6"/>
    <s v="Medium"/>
    <s v="Preventive maintenance program"/>
    <s v="Improve supervision and monitoring"/>
    <n v="4"/>
    <n v="1"/>
    <x v="6"/>
    <x v="0"/>
    <s v="Low"/>
    <s v="Partially Implemented"/>
    <s v="Maintenance Supervisor"/>
    <x v="68"/>
  </r>
  <r>
    <s v="RA0076"/>
    <x v="68"/>
    <s v="Utilities"/>
    <s v="Utilities Area"/>
    <s v="Chemical Handling"/>
    <s v="Chemical exposure and spills"/>
    <s v="Chemical"/>
    <s v="Eye injury"/>
    <n v="2"/>
    <n v="5"/>
    <x v="2"/>
    <s v="High"/>
    <s v="Preventive maintenance program"/>
    <s v="Provide specialized PPE"/>
    <n v="1"/>
    <n v="5"/>
    <x v="2"/>
    <x v="0"/>
    <s v="Medium"/>
    <s v="Partially Implemented"/>
    <s v="HSE Engineer"/>
    <x v="69"/>
  </r>
  <r>
    <s v="RA0077"/>
    <x v="69"/>
    <s v="Utilities"/>
    <s v="Plant Area A"/>
    <s v="Chemical Handling"/>
    <s v="Chemical exposure and spills"/>
    <s v="Chemical"/>
    <s v="Skin irritation"/>
    <n v="2"/>
    <n v="5"/>
    <x v="2"/>
    <s v="High"/>
    <s v="Safety signage and restricted access"/>
    <s v="Conduct emergency drill"/>
    <n v="1"/>
    <n v="4"/>
    <x v="6"/>
    <x v="0"/>
    <s v="Low"/>
    <s v="Implemented"/>
    <s v="Maintenance Supervisor"/>
    <x v="70"/>
  </r>
  <r>
    <s v="RA0078"/>
    <x v="70"/>
    <s v="Production"/>
    <s v="Plant Area B"/>
    <s v="Packing Operation"/>
    <s v="Moving machinery and dust"/>
    <s v="Mechanical"/>
    <s v="Serious injury"/>
    <n v="2"/>
    <n v="4"/>
    <x v="6"/>
    <s v="Medium"/>
    <s v="Emergency response equipment available"/>
    <s v="Update risk assessment and procedure"/>
    <n v="1"/>
    <n v="3"/>
    <x v="4"/>
    <x v="0"/>
    <s v="Low"/>
    <s v="Implemented"/>
    <s v="HSE Officer"/>
    <x v="21"/>
  </r>
  <r>
    <s v="RA0079"/>
    <x v="71"/>
    <s v="Mechanical"/>
    <s v="Office"/>
    <s v="Welding and Cutting"/>
    <s v="Fire, fumes and hot work"/>
    <s v="Fire / Chemical"/>
    <s v="Fire-related injury"/>
    <n v="3"/>
    <n v="4"/>
    <x v="4"/>
    <s v="High"/>
    <s v="Emergency response equipment available"/>
    <s v="Implement engineering control"/>
    <n v="2"/>
    <n v="4"/>
    <x v="10"/>
    <x v="0"/>
    <s v="Medium"/>
    <s v="Pending"/>
    <s v="Department Supervisor"/>
    <x v="71"/>
  </r>
  <r>
    <s v="RA0080"/>
    <x v="72"/>
    <s v="Utilities"/>
    <s v="Laboratory"/>
    <s v="Chemical Handling"/>
    <s v="Chemical exposure and spills"/>
    <s v="Chemical"/>
    <s v="Respiratory irritation"/>
    <n v="3"/>
    <n v="3"/>
    <x v="9"/>
    <s v="Medium"/>
    <s v="Trained and authorized personnel only"/>
    <s v="Conduct refresher training"/>
    <n v="2"/>
    <n v="2"/>
    <x v="6"/>
    <x v="0"/>
    <s v="Low"/>
    <s v="Pending"/>
    <s v="Department Supervisor"/>
    <x v="72"/>
  </r>
  <r>
    <s v="RA0081"/>
    <x v="73"/>
    <s v="Administration"/>
    <s v="Plant Area A"/>
    <s v="Office Work"/>
    <s v="Ergonomic hazards and slips/trips"/>
    <s v="Ergonomic"/>
    <s v="Slip/trip injury"/>
    <n v="5"/>
    <n v="5"/>
    <x v="7"/>
    <s v="Critical"/>
    <s v="Trained and authorized personnel only"/>
    <s v="Conduct refresher training"/>
    <n v="4"/>
    <n v="5"/>
    <x v="12"/>
    <x v="0"/>
    <s v="Critical"/>
    <s v="Pending"/>
    <s v="HSE Officer"/>
    <x v="73"/>
  </r>
  <r>
    <s v="RA0082"/>
    <x v="74"/>
    <s v="Production"/>
    <s v="Plant Area A"/>
    <s v="Excavation Work"/>
    <s v="Collapse and underground services"/>
    <s v="Excavation"/>
    <s v="Serious injury"/>
    <n v="2"/>
    <n v="4"/>
    <x v="6"/>
    <s v="Medium"/>
    <s v="Safety signage and restricted access"/>
    <s v="Improve supervision and monitoring"/>
    <n v="1"/>
    <n v="4"/>
    <x v="6"/>
    <x v="0"/>
    <s v="Low"/>
    <s v="Partially Implemented"/>
    <s v="Maintenance Supervisor"/>
    <x v="74"/>
  </r>
  <r>
    <s v="RA0083"/>
    <x v="65"/>
    <s v="Utilities"/>
    <s v="Workshop"/>
    <s v="Compressed Air System"/>
    <s v="High pressure release"/>
    <s v="Pressure"/>
    <s v="Impact injury"/>
    <n v="4"/>
    <n v="5"/>
    <x v="5"/>
    <s v="Critical"/>
    <s v="Toolbox talk before work"/>
    <s v="Increase inspection frequency"/>
    <n v="3"/>
    <n v="4"/>
    <x v="1"/>
    <x v="0"/>
    <s v="High"/>
    <s v="Pending"/>
    <s v="Maintenance Supervisor"/>
    <x v="65"/>
  </r>
  <r>
    <s v="RA0084"/>
    <x v="75"/>
    <s v="Maintenance"/>
    <s v="Warehouse"/>
    <s v="Mechanical Maintenance"/>
    <s v="Unexpected equipment movement"/>
    <s v="Mechanical"/>
    <s v="Amputation"/>
    <n v="4"/>
    <n v="3"/>
    <x v="4"/>
    <s v="High"/>
    <s v="Emergency response equipment available"/>
    <s v="Install additional physical guard"/>
    <n v="4"/>
    <n v="2"/>
    <x v="10"/>
    <x v="0"/>
    <s v="Medium"/>
    <s v="Partially Implemented"/>
    <s v="HSE Officer"/>
    <x v="75"/>
  </r>
  <r>
    <s v="RA0085"/>
    <x v="76"/>
    <s v="Utilities"/>
    <s v="Workshop"/>
    <s v="Chemical Handling"/>
    <s v="Chemical exposure and spills"/>
    <s v="Chemical"/>
    <s v="Eye injury"/>
    <n v="4"/>
    <n v="3"/>
    <x v="4"/>
    <s v="High"/>
    <s v="Toolbox talk before work"/>
    <s v="Conduct emergency drill"/>
    <n v="3"/>
    <n v="2"/>
    <x v="5"/>
    <x v="0"/>
    <s v="Medium"/>
    <s v="Implemented"/>
    <s v="HSE Officer"/>
    <x v="76"/>
  </r>
  <r>
    <s v="RA0086"/>
    <x v="77"/>
    <s v="Quality"/>
    <s v="Office"/>
    <s v="Laboratory Testing"/>
    <s v="Chemical exposure"/>
    <s v="Chemical"/>
    <s v="Respiratory irritation"/>
    <n v="2"/>
    <n v="5"/>
    <x v="2"/>
    <s v="High"/>
    <s v="Machine guarding and routine inspection"/>
    <s v="Improve supervision and monitoring"/>
    <n v="1"/>
    <n v="5"/>
    <x v="2"/>
    <x v="0"/>
    <s v="Medium"/>
    <s v="Pending"/>
    <s v="HSE Officer"/>
    <x v="68"/>
  </r>
  <r>
    <s v="RA0087"/>
    <x v="78"/>
    <s v="Utilities"/>
    <s v="Utilities Area"/>
    <s v="Compressed Air System"/>
    <s v="High pressure release"/>
    <s v="Pressure"/>
    <s v="Impact injury"/>
    <n v="5"/>
    <n v="3"/>
    <x v="3"/>
    <s v="High"/>
    <s v="PPE provided and mandatory"/>
    <s v="Implement engineering control"/>
    <n v="3"/>
    <n v="2"/>
    <x v="5"/>
    <x v="0"/>
    <s v="Medium"/>
    <s v="Partially Implemented"/>
    <s v="HSE Engineer"/>
    <x v="77"/>
  </r>
  <r>
    <s v="RA0088"/>
    <x v="79"/>
    <s v="Electrical"/>
    <s v="Plant Area B"/>
    <s v="Cable Installation"/>
    <s v="Electric shock and trip hazards"/>
    <s v="Electrical"/>
    <s v="Electric shock"/>
    <n v="3"/>
    <n v="5"/>
    <x v="3"/>
    <s v="High"/>
    <s v="Trained and authorized personnel only"/>
    <s v="Provide specialized PPE"/>
    <n v="3"/>
    <n v="4"/>
    <x v="1"/>
    <x v="0"/>
    <s v="High"/>
    <s v="Implemented"/>
    <s v="Production Supervisor"/>
    <x v="78"/>
  </r>
  <r>
    <s v="RA0089"/>
    <x v="80"/>
    <s v="Maintenance"/>
    <s v="Workshop"/>
    <s v="Confined Space Entry"/>
    <s v="Oxygen deficiency / toxic atmosphere"/>
    <s v="Confined Space"/>
    <s v="Toxic exposure"/>
    <n v="4"/>
    <n v="5"/>
    <x v="5"/>
    <s v="Critical"/>
    <s v="PPE provided and mandatory"/>
    <s v="Increase inspection frequency"/>
    <n v="3"/>
    <n v="5"/>
    <x v="9"/>
    <x v="0"/>
    <s v="High"/>
    <s v="Pending"/>
    <s v="Maintenance Supervisor"/>
    <x v="79"/>
  </r>
  <r>
    <s v="RA0090"/>
    <x v="81"/>
    <s v="Warehouse"/>
    <s v="Workshop"/>
    <s v="Material Stacking"/>
    <s v="Falling objects"/>
    <s v="Physical"/>
    <s v="Head injury"/>
    <n v="3"/>
    <n v="3"/>
    <x v="9"/>
    <s v="Medium"/>
    <s v="Trained and authorized personnel only"/>
    <s v="Improve supervision and monitoring"/>
    <n v="2"/>
    <n v="2"/>
    <x v="6"/>
    <x v="0"/>
    <s v="Low"/>
    <s v="Pending"/>
    <s v="Production Supervisor"/>
    <x v="80"/>
  </r>
  <r>
    <s v="RA0091"/>
    <x v="82"/>
    <s v="Mechanical"/>
    <s v="Plant Area A"/>
    <s v="Pump Maintenance"/>
    <s v="Stored pressure and rotating parts"/>
    <s v="Mechanical"/>
    <s v="Serious injury"/>
    <n v="4"/>
    <n v="5"/>
    <x v="5"/>
    <s v="Critical"/>
    <s v="Standard operating procedure and supervision"/>
    <s v="Conduct refresher training"/>
    <n v="2"/>
    <n v="4"/>
    <x v="10"/>
    <x v="0"/>
    <s v="Medium"/>
    <s v="Implemented"/>
    <s v="Department Supervisor"/>
    <x v="81"/>
  </r>
  <r>
    <s v="RA0092"/>
    <x v="83"/>
    <s v="Maintenance"/>
    <s v="Laboratory"/>
    <s v="Grinding Maintenance"/>
    <s v="Stored energy and moving parts"/>
    <s v="Mechanical"/>
    <s v="Cuts"/>
    <n v="5"/>
    <n v="4"/>
    <x v="5"/>
    <s v="Critical"/>
    <s v="PPE provided and mandatory"/>
    <s v="Install warning signs and barriers"/>
    <n v="5"/>
    <n v="4"/>
    <x v="12"/>
    <x v="1"/>
    <s v="Critical"/>
    <s v="Pending"/>
    <s v="Production Supervisor"/>
    <x v="82"/>
  </r>
  <r>
    <s v="RA0093"/>
    <x v="84"/>
    <s v="Production"/>
    <s v="Office"/>
    <s v="Kiln Operation"/>
    <s v="Hot surfaces and high temperature"/>
    <s v="Thermal"/>
    <s v="Heat stress"/>
    <n v="3"/>
    <n v="4"/>
    <x v="4"/>
    <s v="High"/>
    <s v="Safety signage and restricted access"/>
    <s v="Install additional physical guard"/>
    <n v="2"/>
    <n v="3"/>
    <x v="5"/>
    <x v="0"/>
    <s v="Medium"/>
    <s v="Partially Implemented"/>
    <s v="HSE Engineer"/>
    <x v="83"/>
  </r>
  <r>
    <s v="RA0094"/>
    <x v="85"/>
    <s v="Warehouse"/>
    <s v="Plant Area B"/>
    <s v="Forklift Operation"/>
    <s v="Vehicle-pedestrian interaction"/>
    <s v="Vehicle / Traffic"/>
    <s v="Collision"/>
    <n v="4"/>
    <n v="4"/>
    <x v="1"/>
    <s v="High"/>
    <s v="Safety signage and restricted access"/>
    <s v="Install warning signs and barriers"/>
    <n v="4"/>
    <n v="3"/>
    <x v="1"/>
    <x v="0"/>
    <s v="High"/>
    <s v="Partially Implemented"/>
    <s v="Department Supervisor"/>
    <x v="84"/>
  </r>
  <r>
    <s v="RA0095"/>
    <x v="86"/>
    <s v="Utilities"/>
    <s v="Workshop"/>
    <s v="Chemical Handling"/>
    <s v="Chemical exposure and spills"/>
    <s v="Chemical"/>
    <s v="Eye injury"/>
    <n v="3"/>
    <n v="2"/>
    <x v="0"/>
    <s v="Medium"/>
    <s v="Standard operating procedure and supervision"/>
    <s v="Verify PTW and isolation before work"/>
    <n v="3"/>
    <n v="2"/>
    <x v="5"/>
    <x v="0"/>
    <s v="Medium"/>
    <s v="Implemented"/>
    <s v="Maintenance Supervisor"/>
    <x v="85"/>
  </r>
  <r>
    <s v="RA0096"/>
    <x v="87"/>
    <s v="Electrical"/>
    <s v="Laboratory"/>
    <s v="Cable Installation"/>
    <s v="Electric shock and trip hazards"/>
    <s v="Electrical"/>
    <s v="Serious injury"/>
    <n v="3"/>
    <n v="2"/>
    <x v="0"/>
    <s v="Medium"/>
    <s v="Toolbox talk before work"/>
    <s v="Install warning signs and barriers"/>
    <n v="2"/>
    <n v="1"/>
    <x v="0"/>
    <x v="0"/>
    <s v="Low"/>
    <s v="Implemented"/>
    <s v="HSE Officer"/>
    <x v="86"/>
  </r>
  <r>
    <s v="RA0097"/>
    <x v="30"/>
    <s v="Maintenance"/>
    <s v="Workshop"/>
    <s v="Mechanical Maintenance"/>
    <s v="Unexpected equipment movement"/>
    <s v="Mechanical"/>
    <s v="Serious injury"/>
    <n v="4"/>
    <n v="4"/>
    <x v="1"/>
    <s v="High"/>
    <s v="Trained and authorized personnel only"/>
    <s v="Conduct emergency drill"/>
    <n v="3"/>
    <n v="3"/>
    <x v="3"/>
    <x v="0"/>
    <s v="Medium"/>
    <s v="Pending"/>
    <s v="HSE Engineer"/>
    <x v="87"/>
  </r>
  <r>
    <s v="RA0098"/>
    <x v="88"/>
    <s v="Utilities"/>
    <s v="Office"/>
    <s v="Boiler Operation"/>
    <s v="High pressure and hot surfaces"/>
    <s v="Pressure / Thermal"/>
    <s v="Pressure-related injury"/>
    <n v="2"/>
    <n v="5"/>
    <x v="2"/>
    <s v="High"/>
    <s v="Machine guarding and routine inspection"/>
    <s v="Install warning signs and barriers"/>
    <n v="1"/>
    <n v="4"/>
    <x v="6"/>
    <x v="0"/>
    <s v="Low"/>
    <s v="Partially Implemented"/>
    <s v="Maintenance Supervisor"/>
    <x v="88"/>
  </r>
  <r>
    <s v="RA0099"/>
    <x v="89"/>
    <s v="Electrical"/>
    <s v="Utilities Area"/>
    <s v="Cable Installation"/>
    <s v="Electric shock and trip hazards"/>
    <s v="Electrical"/>
    <s v="Serious injury"/>
    <n v="2"/>
    <n v="4"/>
    <x v="6"/>
    <s v="Medium"/>
    <s v="Emergency response equipment available"/>
    <s v="Implement engineering control"/>
    <n v="1"/>
    <n v="4"/>
    <x v="6"/>
    <x v="0"/>
    <s v="Low"/>
    <s v="Implemented"/>
    <s v="HSE Engineer"/>
    <x v="89"/>
  </r>
  <r>
    <s v="RA0100"/>
    <x v="90"/>
    <s v="Mechanical"/>
    <s v="Office"/>
    <s v="Pump Maintenance"/>
    <s v="Stored pressure and rotating parts"/>
    <s v="Mechanical"/>
    <s v="Cuts"/>
    <n v="5"/>
    <n v="2"/>
    <x v="2"/>
    <s v="High"/>
    <s v="Machine guarding and routine inspection"/>
    <s v="Implement engineering control"/>
    <n v="4"/>
    <n v="1"/>
    <x v="6"/>
    <x v="0"/>
    <s v="Low"/>
    <s v="Pending"/>
    <s v="Maintenance Supervisor"/>
    <x v="90"/>
  </r>
  <r>
    <s v="RA0101"/>
    <x v="91"/>
    <s v="Warehouse"/>
    <s v="Utilities Area"/>
    <s v="Forklift Operation"/>
    <s v="Vehicle-pedestrian interaction"/>
    <s v="Vehicle / Traffic"/>
    <s v="Fatal injury"/>
    <n v="3"/>
    <n v="3"/>
    <x v="9"/>
    <s v="Medium"/>
    <s v="Trained and authorized personnel only"/>
    <s v="Install warning signs and barriers"/>
    <n v="2"/>
    <n v="2"/>
    <x v="6"/>
    <x v="0"/>
    <s v="Low"/>
    <s v="Implemented"/>
    <s v="HSE Officer"/>
    <x v="91"/>
  </r>
  <r>
    <s v="RA0102"/>
    <x v="92"/>
    <s v="Production"/>
    <s v="Laboratory"/>
    <s v="Raw Material Handling"/>
    <s v="Moving equipment / conveyor"/>
    <s v="Mechanical"/>
    <s v="Amputation"/>
    <n v="5"/>
    <n v="3"/>
    <x v="3"/>
    <s v="High"/>
    <s v="Preventive maintenance program"/>
    <s v="Increase inspection frequency"/>
    <n v="4"/>
    <n v="3"/>
    <x v="1"/>
    <x v="0"/>
    <s v="High"/>
    <s v="Partially Implemented"/>
    <s v="HSE Officer"/>
    <x v="92"/>
  </r>
  <r>
    <s v="RA0103"/>
    <x v="93"/>
    <s v="Production"/>
    <s v="Utilities Area"/>
    <s v="Packing Operation"/>
    <s v="Moving machinery and dust"/>
    <s v="Mechanical"/>
    <s v="Serious injury"/>
    <n v="5"/>
    <n v="3"/>
    <x v="3"/>
    <s v="High"/>
    <s v="Machine guarding and routine inspection"/>
    <s v="Conduct emergency drill"/>
    <n v="3"/>
    <n v="3"/>
    <x v="3"/>
    <x v="0"/>
    <s v="Medium"/>
    <s v="Partially Implemented"/>
    <s v="HSE Engineer"/>
    <x v="93"/>
  </r>
  <r>
    <s v="RA0104"/>
    <x v="94"/>
    <s v="Production"/>
    <s v="Plant Area B"/>
    <s v="Kiln Operation"/>
    <s v="Hot surfaces and high temperature"/>
    <s v="Thermal"/>
    <s v="Heat stress"/>
    <n v="4"/>
    <n v="3"/>
    <x v="4"/>
    <s v="High"/>
    <s v="Preventive maintenance program"/>
    <s v="Implement engineering control"/>
    <n v="3"/>
    <n v="2"/>
    <x v="5"/>
    <x v="0"/>
    <s v="Medium"/>
    <s v="Partially Implemented"/>
    <s v="Maintenance Supervisor"/>
    <x v="94"/>
  </r>
  <r>
    <s v="RA0105"/>
    <x v="95"/>
    <s v="Utilities"/>
    <s v="Plant Area B"/>
    <s v="Chemical Handling"/>
    <s v="Chemical exposure and spills"/>
    <s v="Chemical"/>
    <s v="Respiratory irritation"/>
    <n v="4"/>
    <n v="3"/>
    <x v="4"/>
    <s v="High"/>
    <s v="Machine guarding and routine inspection"/>
    <s v="Conduct emergency drill"/>
    <n v="3"/>
    <n v="3"/>
    <x v="3"/>
    <x v="0"/>
    <s v="Medium"/>
    <s v="Pending"/>
    <s v="Production Supervisor"/>
    <x v="95"/>
  </r>
  <r>
    <s v="RA0106"/>
    <x v="96"/>
    <s v="Warehouse"/>
    <s v="Workshop"/>
    <s v="Material Stacking"/>
    <s v="Falling objects"/>
    <s v="Physical"/>
    <s v="Serious injury"/>
    <n v="5"/>
    <n v="4"/>
    <x v="5"/>
    <s v="Critical"/>
    <s v="Trained and authorized personnel only"/>
    <s v="Conduct emergency drill"/>
    <n v="4"/>
    <n v="4"/>
    <x v="7"/>
    <x v="0"/>
    <s v="High"/>
    <s v="Pending"/>
    <s v="HSE Engineer"/>
    <x v="96"/>
  </r>
  <r>
    <s v="RA0107"/>
    <x v="97"/>
    <s v="Electrical"/>
    <s v="Workshop"/>
    <s v="Cable Installation"/>
    <s v="Electric shock and trip hazards"/>
    <s v="Electrical"/>
    <s v="Electric shock"/>
    <n v="2"/>
    <n v="3"/>
    <x v="0"/>
    <s v="Medium"/>
    <s v="Preventive maintenance program"/>
    <s v="Improve supervision and monitoring"/>
    <n v="1"/>
    <n v="2"/>
    <x v="0"/>
    <x v="0"/>
    <s v="Low"/>
    <s v="Implemented"/>
    <s v="Department Supervisor"/>
    <x v="97"/>
  </r>
  <r>
    <s v="RA0108"/>
    <x v="98"/>
    <s v="Administration"/>
    <s v="Workshop"/>
    <s v="Office Work"/>
    <s v="Ergonomic hazards and slips/trips"/>
    <s v="Ergonomic"/>
    <s v="Musculoskeletal strain"/>
    <n v="3"/>
    <n v="5"/>
    <x v="3"/>
    <s v="High"/>
    <s v="Machine guarding and routine inspection"/>
    <s v="Improve supervision and monitoring"/>
    <n v="2"/>
    <n v="5"/>
    <x v="11"/>
    <x v="0"/>
    <s v="High"/>
    <s v="Pending"/>
    <s v="Department Supervisor"/>
    <x v="98"/>
  </r>
  <r>
    <s v="RA0109"/>
    <x v="84"/>
    <s v="Warehouse"/>
    <s v="Office"/>
    <s v="Forklift Operation"/>
    <s v="Vehicle-pedestrian interaction"/>
    <s v="Vehicle / Traffic"/>
    <s v="Collision"/>
    <n v="3"/>
    <n v="5"/>
    <x v="3"/>
    <s v="High"/>
    <s v="Machine guarding and routine inspection"/>
    <s v="Implement engineering control"/>
    <n v="2"/>
    <n v="5"/>
    <x v="11"/>
    <x v="0"/>
    <s v="High"/>
    <s v="Implemented"/>
    <s v="Maintenance Supervisor"/>
    <x v="99"/>
  </r>
  <r>
    <s v="RA0110"/>
    <x v="99"/>
    <s v="Utilities"/>
    <s v="Office"/>
    <s v="Boiler Operation"/>
    <s v="High pressure and hot surfaces"/>
    <s v="Pressure / Thermal"/>
    <s v="Pressure-related injury"/>
    <n v="4"/>
    <n v="3"/>
    <x v="4"/>
    <s v="High"/>
    <s v="Machine guarding and routine inspection"/>
    <s v="Improve supervision and monitoring"/>
    <n v="2"/>
    <n v="3"/>
    <x v="5"/>
    <x v="0"/>
    <s v="Medium"/>
    <s v="Partially Implemented"/>
    <s v="Production Supervisor"/>
    <x v="27"/>
  </r>
  <r>
    <s v="RA0111"/>
    <x v="100"/>
    <s v="Administration"/>
    <s v="Office"/>
    <s v="Office Work"/>
    <s v="Ergonomic hazards and slips/trips"/>
    <s v="Ergonomic"/>
    <s v="Musculoskeletal strain"/>
    <n v="4"/>
    <n v="3"/>
    <x v="4"/>
    <s v="High"/>
    <s v="PPE provided and mandatory"/>
    <s v="Provide specialized PPE"/>
    <n v="3"/>
    <n v="2"/>
    <x v="5"/>
    <x v="0"/>
    <s v="Medium"/>
    <s v="Pending"/>
    <s v="Production Supervisor"/>
    <x v="100"/>
  </r>
  <r>
    <s v="RA0112"/>
    <x v="101"/>
    <s v="Administration"/>
    <s v="Warehouse"/>
    <s v="Office Work"/>
    <s v="Ergonomic hazards and slips/trips"/>
    <s v="Ergonomic"/>
    <s v="Musculoskeletal strain"/>
    <n v="2"/>
    <n v="5"/>
    <x v="2"/>
    <s v="High"/>
    <s v="Trained and authorized personnel only"/>
    <s v="Update risk assessment and procedure"/>
    <n v="1"/>
    <n v="4"/>
    <x v="6"/>
    <x v="0"/>
    <s v="Low"/>
    <s v="Partially Implemented"/>
    <s v="Maintenance Supervisor"/>
    <x v="101"/>
  </r>
  <r>
    <s v="RA0113"/>
    <x v="102"/>
    <s v="Maintenance"/>
    <s v="Laboratory"/>
    <s v="Confined Space Entry"/>
    <s v="Oxygen deficiency / toxic atmosphere"/>
    <s v="Confined Space"/>
    <s v="Toxic exposure"/>
    <n v="5"/>
    <n v="5"/>
    <x v="7"/>
    <s v="Critical"/>
    <s v="Emergency response equipment available"/>
    <s v="Verify PTW and isolation before work"/>
    <n v="4"/>
    <n v="4"/>
    <x v="7"/>
    <x v="0"/>
    <s v="High"/>
    <s v="Pending"/>
    <s v="Department Supervisor"/>
    <x v="102"/>
  </r>
  <r>
    <s v="RA0114"/>
    <x v="103"/>
    <s v="Mechanical"/>
    <s v="Plant Area B"/>
    <s v="Pump Maintenance"/>
    <s v="Stored pressure and rotating parts"/>
    <s v="Mechanical"/>
    <s v="Cuts"/>
    <n v="4"/>
    <n v="2"/>
    <x v="6"/>
    <s v="Medium"/>
    <s v="Machine guarding and routine inspection"/>
    <s v="Improve supervision and monitoring"/>
    <n v="3"/>
    <n v="2"/>
    <x v="5"/>
    <x v="0"/>
    <s v="Medium"/>
    <s v="Implemented"/>
    <s v="Department Supervisor"/>
    <x v="103"/>
  </r>
  <r>
    <s v="RA0115"/>
    <x v="104"/>
    <s v="Utilities"/>
    <s v="Workshop"/>
    <s v="Compressed Air System"/>
    <s v="High pressure release"/>
    <s v="Pressure"/>
    <s v="Serious injury"/>
    <n v="2"/>
    <n v="4"/>
    <x v="6"/>
    <s v="Medium"/>
    <s v="Trained and authorized personnel only"/>
    <s v="Install warning signs and barriers"/>
    <n v="1"/>
    <n v="3"/>
    <x v="4"/>
    <x v="0"/>
    <s v="Low"/>
    <s v="Implemented"/>
    <s v="HSE Engineer"/>
    <x v="104"/>
  </r>
  <r>
    <s v="RA0116"/>
    <x v="105"/>
    <s v="Production"/>
    <s v="Plant Area B"/>
    <s v="Excavation Work"/>
    <s v="Collapse and underground services"/>
    <s v="Excavation"/>
    <s v="Serious injury"/>
    <n v="3"/>
    <n v="2"/>
    <x v="0"/>
    <s v="Medium"/>
    <s v="Machine guarding and routine inspection"/>
    <s v="Implement engineering control"/>
    <n v="3"/>
    <n v="2"/>
    <x v="5"/>
    <x v="0"/>
    <s v="Medium"/>
    <s v="Pending"/>
    <s v="Maintenance Supervisor"/>
    <x v="105"/>
  </r>
  <r>
    <s v="RA0117"/>
    <x v="106"/>
    <s v="Production"/>
    <s v="Laboratory"/>
    <s v="Packing Operation"/>
    <s v="Moving machinery and dust"/>
    <s v="Mechanical"/>
    <s v="Cuts"/>
    <n v="5"/>
    <n v="2"/>
    <x v="2"/>
    <s v="High"/>
    <s v="Trained and authorized personnel only"/>
    <s v="Install additional physical guard"/>
    <n v="4"/>
    <n v="2"/>
    <x v="10"/>
    <x v="0"/>
    <s v="Medium"/>
    <s v="Partially Implemented"/>
    <s v="HSE Officer"/>
    <x v="106"/>
  </r>
  <r>
    <s v="RA0118"/>
    <x v="107"/>
    <s v="Warehouse"/>
    <s v="Office"/>
    <s v="Material Stacking"/>
    <s v="Falling objects"/>
    <s v="Physical"/>
    <s v="Serious injury"/>
    <n v="5"/>
    <n v="5"/>
    <x v="7"/>
    <s v="Critical"/>
    <s v="PPE provided and mandatory"/>
    <s v="Increase inspection frequency"/>
    <n v="5"/>
    <n v="5"/>
    <x v="8"/>
    <x v="1"/>
    <s v="Critical"/>
    <s v="Pending"/>
    <s v="HSE Officer"/>
    <x v="107"/>
  </r>
  <r>
    <s v="RA0119"/>
    <x v="108"/>
    <s v="Warehouse"/>
    <s v="Office"/>
    <s v="Forklift Operation"/>
    <s v="Vehicle-pedestrian interaction"/>
    <s v="Vehicle / Traffic"/>
    <s v="Fatal injury"/>
    <n v="5"/>
    <n v="2"/>
    <x v="2"/>
    <s v="High"/>
    <s v="Emergency response equipment available"/>
    <s v="Verify PTW and isolation before work"/>
    <n v="4"/>
    <n v="2"/>
    <x v="10"/>
    <x v="0"/>
    <s v="Medium"/>
    <s v="Partially Implemented"/>
    <s v="HSE Officer"/>
    <x v="108"/>
  </r>
  <r>
    <s v="RA0120"/>
    <x v="109"/>
    <s v="Electrical"/>
    <s v="Plant Area B"/>
    <s v="Cable Installation"/>
    <s v="Electric shock and trip hazards"/>
    <s v="Electrical"/>
    <s v="Electric shock"/>
    <n v="4"/>
    <n v="3"/>
    <x v="4"/>
    <s v="High"/>
    <s v="PPE provided and mandatory"/>
    <s v="Verify PTW and isolation before work"/>
    <n v="2"/>
    <n v="3"/>
    <x v="5"/>
    <x v="0"/>
    <s v="Medium"/>
    <s v="Pending"/>
    <s v="HSE Engineer"/>
    <x v="109"/>
  </r>
  <r>
    <s v="RA0121"/>
    <x v="110"/>
    <s v="Warehouse"/>
    <s v="Office"/>
    <s v="Forklift Operation"/>
    <s v="Vehicle-pedestrian interaction"/>
    <s v="Vehicle / Traffic"/>
    <s v="Collision"/>
    <n v="3"/>
    <n v="2"/>
    <x v="0"/>
    <s v="Medium"/>
    <s v="Safety signage and restricted access"/>
    <s v="Conduct refresher training"/>
    <n v="2"/>
    <n v="1"/>
    <x v="0"/>
    <x v="0"/>
    <s v="Low"/>
    <s v="Pending"/>
    <s v="Department Supervisor"/>
    <x v="110"/>
  </r>
  <r>
    <s v="RA0122"/>
    <x v="111"/>
    <s v="Mechanical"/>
    <s v="Office"/>
    <s v="Pump Maintenance"/>
    <s v="Stored pressure and rotating parts"/>
    <s v="Mechanical"/>
    <s v="Amputation"/>
    <n v="3"/>
    <n v="2"/>
    <x v="0"/>
    <s v="Medium"/>
    <s v="Standard operating procedure and supervision"/>
    <s v="Update risk assessment and procedure"/>
    <n v="2"/>
    <n v="1"/>
    <x v="0"/>
    <x v="0"/>
    <s v="Low"/>
    <s v="Implemented"/>
    <s v="Maintenance Supervisor"/>
    <x v="111"/>
  </r>
  <r>
    <s v="RA0123"/>
    <x v="112"/>
    <s v="Electrical"/>
    <s v="Plant Area B"/>
    <s v="Cable Installation"/>
    <s v="Electric shock and trip hazards"/>
    <s v="Electrical"/>
    <s v="Burn"/>
    <n v="5"/>
    <n v="4"/>
    <x v="5"/>
    <s v="Critical"/>
    <s v="Emergency response equipment available"/>
    <s v="Install warning signs and barriers"/>
    <n v="5"/>
    <n v="4"/>
    <x v="12"/>
    <x v="0"/>
    <s v="Critical"/>
    <s v="Partially Implemented"/>
    <s v="Production Supervisor"/>
    <x v="112"/>
  </r>
  <r>
    <s v="RA0124"/>
    <x v="113"/>
    <s v="Production"/>
    <s v="Utilities Area"/>
    <s v="Raw Material Handling"/>
    <s v="Moving equipment / conveyor"/>
    <s v="Mechanical"/>
    <s v="Crush injury"/>
    <n v="5"/>
    <n v="5"/>
    <x v="7"/>
    <s v="Critical"/>
    <s v="PPE provided and mandatory"/>
    <s v="Conduct refresher training"/>
    <n v="5"/>
    <n v="4"/>
    <x v="12"/>
    <x v="0"/>
    <s v="Critical"/>
    <s v="Pending"/>
    <s v="Maintenance Supervisor"/>
    <x v="113"/>
  </r>
  <r>
    <s v="RA0125"/>
    <x v="114"/>
    <s v="Maintenance"/>
    <s v="Laboratory"/>
    <s v="Mechanical Maintenance"/>
    <s v="Unexpected equipment movement"/>
    <s v="Mechanical"/>
    <s v="Crush injury"/>
    <n v="2"/>
    <n v="5"/>
    <x v="2"/>
    <s v="High"/>
    <s v="PPE provided and mandatory"/>
    <s v="Update risk assessment and procedure"/>
    <n v="1"/>
    <n v="5"/>
    <x v="2"/>
    <x v="0"/>
    <s v="Medium"/>
    <s v="Implemented"/>
    <s v="HSE Officer"/>
    <x v="54"/>
  </r>
  <r>
    <s v="RA0126"/>
    <x v="115"/>
    <s v="Production"/>
    <s v="Plant Area B"/>
    <s v="Packing Operation"/>
    <s v="Moving machinery and dust"/>
    <s v="Mechanical"/>
    <s v="Cuts"/>
    <n v="2"/>
    <n v="2"/>
    <x v="8"/>
    <s v="Low"/>
    <s v="PPE provided and mandatory"/>
    <s v="Implement engineering control"/>
    <n v="1"/>
    <n v="1"/>
    <x v="13"/>
    <x v="0"/>
    <s v="Low"/>
    <s v="Pending"/>
    <s v="Maintenance Supervisor"/>
    <x v="114"/>
  </r>
  <r>
    <s v="RA0127"/>
    <x v="116"/>
    <s v="Utilities"/>
    <s v="Plant Area B"/>
    <s v="Compressed Air System"/>
    <s v="High pressure release"/>
    <s v="Pressure"/>
    <s v="Impact injury"/>
    <n v="2"/>
    <n v="3"/>
    <x v="0"/>
    <s v="Medium"/>
    <s v="Preventive maintenance program"/>
    <s v="Increase inspection frequency"/>
    <n v="1"/>
    <n v="3"/>
    <x v="4"/>
    <x v="0"/>
    <s v="Low"/>
    <s v="Partially Implemented"/>
    <s v="HSE Officer"/>
    <x v="115"/>
  </r>
  <r>
    <s v="RA0128"/>
    <x v="117"/>
    <s v="Utilities"/>
    <s v="Laboratory"/>
    <s v="Boiler Operation"/>
    <s v="High pressure and hot surfaces"/>
    <s v="Pressure / Thermal"/>
    <s v="Pressure-related injury"/>
    <n v="3"/>
    <n v="4"/>
    <x v="4"/>
    <s v="High"/>
    <s v="Emergency response equipment available"/>
    <s v="Install additional physical guard"/>
    <n v="1"/>
    <n v="3"/>
    <x v="4"/>
    <x v="0"/>
    <s v="Low"/>
    <s v="Pending"/>
    <s v="Production Supervisor"/>
    <x v="116"/>
  </r>
  <r>
    <s v="RA0129"/>
    <x v="118"/>
    <s v="Production"/>
    <s v="Laboratory"/>
    <s v="Excavation Work"/>
    <s v="Collapse and underground services"/>
    <s v="Excavation"/>
    <s v="Collapse injury"/>
    <n v="3"/>
    <n v="4"/>
    <x v="4"/>
    <s v="High"/>
    <s v="Preventive maintenance program"/>
    <s v="Conduct refresher training"/>
    <n v="2"/>
    <n v="3"/>
    <x v="5"/>
    <x v="0"/>
    <s v="Medium"/>
    <s v="Partially Implemented"/>
    <s v="Production Supervisor"/>
    <x v="117"/>
  </r>
  <r>
    <s v="RA0130"/>
    <x v="119"/>
    <s v="Maintenance"/>
    <s v="Office"/>
    <s v="Confined Space Entry"/>
    <s v="Oxygen deficiency / toxic atmosphere"/>
    <s v="Confined Space"/>
    <s v="Serious injury"/>
    <n v="3"/>
    <n v="2"/>
    <x v="0"/>
    <s v="Medium"/>
    <s v="PPE provided and mandatory"/>
    <s v="Increase inspection frequency"/>
    <n v="2"/>
    <n v="1"/>
    <x v="0"/>
    <x v="0"/>
    <s v="Low"/>
    <s v="Partially Implemented"/>
    <s v="Production Supervisor"/>
    <x v="118"/>
  </r>
  <r>
    <s v="RA0131"/>
    <x v="120"/>
    <s v="Maintenance"/>
    <s v="Plant Area A"/>
    <s v="Grinding Maintenance"/>
    <s v="Stored energy and moving parts"/>
    <s v="Mechanical"/>
    <s v="Cuts"/>
    <n v="3"/>
    <n v="2"/>
    <x v="0"/>
    <s v="Medium"/>
    <s v="Safety signage and restricted access"/>
    <s v="Install additional physical guard"/>
    <n v="2"/>
    <n v="2"/>
    <x v="6"/>
    <x v="0"/>
    <s v="Low"/>
    <s v="Pending"/>
    <s v="Production Supervisor"/>
    <x v="119"/>
  </r>
  <r>
    <s v="RA0132"/>
    <x v="121"/>
    <s v="Warehouse"/>
    <s v="Utilities Area"/>
    <s v="Forklift Operation"/>
    <s v="Vehicle-pedestrian interaction"/>
    <s v="Vehicle / Traffic"/>
    <s v="Serious injury"/>
    <n v="3"/>
    <n v="2"/>
    <x v="0"/>
    <s v="Medium"/>
    <s v="Standard operating procedure and supervision"/>
    <s v="Conduct refresher training"/>
    <n v="2"/>
    <n v="1"/>
    <x v="0"/>
    <x v="0"/>
    <s v="Low"/>
    <s v="Pending"/>
    <s v="Department Supervisor"/>
    <x v="120"/>
  </r>
  <r>
    <s v="RA0133"/>
    <x v="122"/>
    <s v="Utilities"/>
    <s v="Laboratory"/>
    <s v="Compressed Air System"/>
    <s v="High pressure release"/>
    <s v="Pressure"/>
    <s v="Serious injury"/>
    <n v="2"/>
    <n v="3"/>
    <x v="0"/>
    <s v="Medium"/>
    <s v="PPE provided and mandatory"/>
    <s v="Update risk assessment and procedure"/>
    <n v="2"/>
    <n v="2"/>
    <x v="6"/>
    <x v="0"/>
    <s v="Low"/>
    <s v="Partially Implemented"/>
    <s v="Department Supervisor"/>
    <x v="121"/>
  </r>
  <r>
    <s v="RA0134"/>
    <x v="123"/>
    <s v="Maintenance"/>
    <s v="Plant Area B"/>
    <s v="Mechanical Maintenance"/>
    <s v="Unexpected equipment movement"/>
    <s v="Mechanical"/>
    <s v="Amputation"/>
    <n v="3"/>
    <n v="5"/>
    <x v="3"/>
    <s v="High"/>
    <s v="Toolbox talk before work"/>
    <s v="Install warning signs and barriers"/>
    <n v="2"/>
    <n v="5"/>
    <x v="11"/>
    <x v="0"/>
    <s v="High"/>
    <s v="Implemented"/>
    <s v="HSE Officer"/>
    <x v="122"/>
  </r>
  <r>
    <s v="RA0135"/>
    <x v="124"/>
    <s v="Electrical"/>
    <s v="Warehouse"/>
    <s v="Cable Installation"/>
    <s v="Electric shock and trip hazards"/>
    <s v="Electrical"/>
    <s v="Burn"/>
    <n v="5"/>
    <n v="5"/>
    <x v="7"/>
    <s v="Critical"/>
    <s v="Safety signage and restricted access"/>
    <s v="Conduct emergency drill"/>
    <n v="4"/>
    <n v="4"/>
    <x v="7"/>
    <x v="0"/>
    <s v="High"/>
    <s v="Pending"/>
    <s v="Department Supervisor"/>
    <x v="123"/>
  </r>
  <r>
    <s v="RA0136"/>
    <x v="124"/>
    <s v="Electrical"/>
    <s v="Utilities Area"/>
    <s v="Electrical Panel Maintenance"/>
    <s v="Electric shock and arc flash"/>
    <s v="Electrical"/>
    <s v="Electric shock"/>
    <n v="3"/>
    <n v="5"/>
    <x v="3"/>
    <s v="High"/>
    <s v="Preventive maintenance program"/>
    <s v="Provide specialized PPE"/>
    <n v="3"/>
    <n v="4"/>
    <x v="1"/>
    <x v="0"/>
    <s v="High"/>
    <s v="Partially Implemented"/>
    <s v="Department Supervisor"/>
    <x v="124"/>
  </r>
  <r>
    <s v="RA0137"/>
    <x v="125"/>
    <s v="Maintenance"/>
    <s v="Office"/>
    <s v="Grinding Maintenance"/>
    <s v="Stored energy and moving parts"/>
    <s v="Mechanical"/>
    <s v="Amputation"/>
    <n v="2"/>
    <n v="5"/>
    <x v="2"/>
    <s v="High"/>
    <s v="PPE provided and mandatory"/>
    <s v="Install warning signs and barriers"/>
    <n v="1"/>
    <n v="5"/>
    <x v="2"/>
    <x v="0"/>
    <s v="Medium"/>
    <s v="Implemented"/>
    <s v="HSE Engineer"/>
    <x v="125"/>
  </r>
  <r>
    <s v="RA0138"/>
    <x v="126"/>
    <s v="Administration"/>
    <s v="Laboratory"/>
    <s v="Office Work"/>
    <s v="Ergonomic hazards and slips/trips"/>
    <s v="Ergonomic"/>
    <s v="Musculoskeletal strain"/>
    <n v="5"/>
    <n v="4"/>
    <x v="5"/>
    <s v="Critical"/>
    <s v="Emergency response equipment available"/>
    <s v="Increase inspection frequency"/>
    <n v="4"/>
    <n v="4"/>
    <x v="7"/>
    <x v="0"/>
    <s v="High"/>
    <s v="Partially Implemented"/>
    <s v="Production Supervisor"/>
    <x v="126"/>
  </r>
  <r>
    <s v="RA0139"/>
    <x v="127"/>
    <s v="Maintenance"/>
    <s v="Laboratory"/>
    <s v="Grinding Maintenance"/>
    <s v="Stored energy and moving parts"/>
    <s v="Mechanical"/>
    <s v="Crush injury"/>
    <n v="2"/>
    <n v="5"/>
    <x v="2"/>
    <s v="High"/>
    <s v="Toolbox talk before work"/>
    <s v="Conduct refresher training"/>
    <n v="1"/>
    <n v="5"/>
    <x v="2"/>
    <x v="0"/>
    <s v="Medium"/>
    <s v="Partially Implemented"/>
    <s v="HSE Engineer"/>
    <x v="127"/>
  </r>
  <r>
    <s v="RA0140"/>
    <x v="128"/>
    <s v="Maintenance"/>
    <s v="Workshop"/>
    <s v="Grinding Maintenance"/>
    <s v="Stored energy and moving parts"/>
    <s v="Mechanical"/>
    <s v="Amputation"/>
    <n v="2"/>
    <n v="4"/>
    <x v="6"/>
    <s v="Medium"/>
    <s v="Toolbox talk before work"/>
    <s v="Update risk assessment and procedure"/>
    <n v="1"/>
    <n v="3"/>
    <x v="4"/>
    <x v="0"/>
    <s v="Low"/>
    <s v="Pending"/>
    <s v="Department Supervisor"/>
    <x v="128"/>
  </r>
  <r>
    <s v="RA0141"/>
    <x v="129"/>
    <s v="Electrical"/>
    <s v="Utilities Area"/>
    <s v="Cable Installation"/>
    <s v="Electric shock and trip hazards"/>
    <s v="Electrical"/>
    <s v="Serious injury"/>
    <n v="3"/>
    <n v="5"/>
    <x v="3"/>
    <s v="High"/>
    <s v="Safety signage and restricted access"/>
    <s v="Update risk assessment and procedure"/>
    <n v="1"/>
    <n v="4"/>
    <x v="6"/>
    <x v="0"/>
    <s v="Low"/>
    <s v="Partially Implemented"/>
    <s v="HSE Officer"/>
    <x v="106"/>
  </r>
  <r>
    <s v="RA0142"/>
    <x v="130"/>
    <s v="Maintenance"/>
    <s v="Plant Area A"/>
    <s v="Mechanical Maintenance"/>
    <s v="Unexpected equipment movement"/>
    <s v="Mechanical"/>
    <s v="Crush injury"/>
    <n v="5"/>
    <n v="5"/>
    <x v="7"/>
    <s v="Critical"/>
    <s v="Trained and authorized personnel only"/>
    <s v="Update risk assessment and procedure"/>
    <n v="4"/>
    <n v="4"/>
    <x v="7"/>
    <x v="0"/>
    <s v="High"/>
    <s v="Implemented"/>
    <s v="HSE Officer"/>
    <x v="129"/>
  </r>
  <r>
    <s v="RA0143"/>
    <x v="131"/>
    <s v="Production"/>
    <s v="Utilities Area"/>
    <s v="Raw Material Handling"/>
    <s v="Moving equipment / conveyor"/>
    <s v="Mechanical"/>
    <s v="Serious injury"/>
    <n v="2"/>
    <n v="2"/>
    <x v="8"/>
    <s v="Low"/>
    <s v="Trained and authorized personnel only"/>
    <s v="Improve supervision and monitoring"/>
    <n v="1"/>
    <n v="2"/>
    <x v="0"/>
    <x v="0"/>
    <s v="Low"/>
    <s v="Implemented"/>
    <s v="Department Supervisor"/>
    <x v="130"/>
  </r>
  <r>
    <s v="RA0144"/>
    <x v="9"/>
    <s v="Production"/>
    <s v="Plant Area B"/>
    <s v="Work at Height"/>
    <s v="Fall from height"/>
    <s v="Work at Height"/>
    <s v="Fatal injury"/>
    <n v="4"/>
    <n v="3"/>
    <x v="4"/>
    <s v="High"/>
    <s v="Safety signage and restricted access"/>
    <s v="Implement engineering control"/>
    <n v="2"/>
    <n v="2"/>
    <x v="6"/>
    <x v="0"/>
    <s v="Low"/>
    <s v="Implemented"/>
    <s v="HSE Engineer"/>
    <x v="9"/>
  </r>
  <r>
    <s v="RA0145"/>
    <x v="132"/>
    <s v="Electrical"/>
    <s v="Workshop"/>
    <s v="Cable Installation"/>
    <s v="Electric shock and trip hazards"/>
    <s v="Electrical"/>
    <s v="Burn"/>
    <n v="4"/>
    <n v="3"/>
    <x v="4"/>
    <s v="High"/>
    <s v="PPE provided and mandatory"/>
    <s v="Increase inspection frequency"/>
    <n v="3"/>
    <n v="3"/>
    <x v="3"/>
    <x v="0"/>
    <s v="Medium"/>
    <s v="Implemented"/>
    <s v="Production Supervisor"/>
    <x v="131"/>
  </r>
  <r>
    <s v="RA0146"/>
    <x v="133"/>
    <s v="Production"/>
    <s v="Workshop"/>
    <s v="Kiln Operation"/>
    <s v="Hot surfaces and high temperature"/>
    <s v="Thermal"/>
    <s v="Heat stress"/>
    <n v="2"/>
    <n v="2"/>
    <x v="8"/>
    <s v="Low"/>
    <s v="PPE provided and mandatory"/>
    <s v="Conduct refresher training"/>
    <n v="1"/>
    <n v="2"/>
    <x v="0"/>
    <x v="0"/>
    <s v="Low"/>
    <s v="Implemented"/>
    <s v="HSE Officer"/>
    <x v="132"/>
  </r>
  <r>
    <s v="RA0147"/>
    <x v="134"/>
    <s v="Mechanical"/>
    <s v="Office"/>
    <s v="Pump Maintenance"/>
    <s v="Stored pressure and rotating parts"/>
    <s v="Mechanical"/>
    <s v="Amputation"/>
    <n v="3"/>
    <n v="3"/>
    <x v="9"/>
    <s v="Medium"/>
    <s v="Safety signage and restricted access"/>
    <s v="Improve supervision and monitoring"/>
    <n v="2"/>
    <n v="2"/>
    <x v="6"/>
    <x v="0"/>
    <s v="Low"/>
    <s v="Pending"/>
    <s v="HSE Officer"/>
    <x v="133"/>
  </r>
  <r>
    <s v="RA0148"/>
    <x v="135"/>
    <s v="Electrical"/>
    <s v="Office"/>
    <s v="Electrical Panel Maintenance"/>
    <s v="Electric shock and arc flash"/>
    <s v="Electrical"/>
    <s v="Burn"/>
    <n v="3"/>
    <n v="3"/>
    <x v="9"/>
    <s v="Medium"/>
    <s v="Preventive maintenance program"/>
    <s v="Implement engineering control"/>
    <n v="3"/>
    <n v="2"/>
    <x v="5"/>
    <x v="0"/>
    <s v="Medium"/>
    <s v="Partially Implemented"/>
    <s v="HSE Officer"/>
    <x v="134"/>
  </r>
  <r>
    <s v="RA0149"/>
    <x v="136"/>
    <s v="Production"/>
    <s v="Plant Area B"/>
    <s v="Work at Height"/>
    <s v="Fall from height"/>
    <s v="Work at Height"/>
    <s v="Serious injury"/>
    <n v="4"/>
    <n v="4"/>
    <x v="1"/>
    <s v="High"/>
    <s v="Preventive maintenance program"/>
    <s v="Increase inspection frequency"/>
    <n v="3"/>
    <n v="3"/>
    <x v="3"/>
    <x v="0"/>
    <s v="Medium"/>
    <s v="Pending"/>
    <s v="Department Supervisor"/>
    <x v="135"/>
  </r>
  <r>
    <s v="RA0150"/>
    <x v="137"/>
    <s v="Mechanical"/>
    <s v="Office"/>
    <s v="Welding and Cutting"/>
    <s v="Fire, fumes and hot work"/>
    <s v="Fire / Chemical"/>
    <s v="Burn"/>
    <n v="3"/>
    <n v="4"/>
    <x v="4"/>
    <s v="High"/>
    <s v="Emergency response equipment available"/>
    <s v="Improve supervision and monitoring"/>
    <n v="2"/>
    <n v="3"/>
    <x v="5"/>
    <x v="0"/>
    <s v="Medium"/>
    <s v="Partially Implemented"/>
    <s v="HSE Engineer"/>
    <x v="136"/>
  </r>
  <r>
    <s v="RA0151"/>
    <x v="138"/>
    <s v="Utilities"/>
    <s v="Plant Area A"/>
    <s v="Chemical Handling"/>
    <s v="Chemical exposure and spills"/>
    <s v="Chemical"/>
    <s v="Respiratory irritation"/>
    <n v="4"/>
    <n v="5"/>
    <x v="5"/>
    <s v="Critical"/>
    <s v="Emergency response equipment available"/>
    <s v="Implement engineering control"/>
    <n v="3"/>
    <n v="4"/>
    <x v="1"/>
    <x v="0"/>
    <s v="High"/>
    <s v="Partially Implemented"/>
    <s v="Production Supervisor"/>
    <x v="137"/>
  </r>
  <r>
    <s v="RA0152"/>
    <x v="21"/>
    <s v="Maintenance"/>
    <s v="Warehouse"/>
    <s v="Grinding Maintenance"/>
    <s v="Stored energy and moving parts"/>
    <s v="Mechanical"/>
    <s v="Cuts"/>
    <n v="2"/>
    <n v="5"/>
    <x v="2"/>
    <s v="High"/>
    <s v="Emergency response equipment available"/>
    <s v="Increase inspection frequency"/>
    <n v="2"/>
    <n v="5"/>
    <x v="11"/>
    <x v="1"/>
    <s v="High"/>
    <s v="Implemented"/>
    <s v="Production Supervisor"/>
    <x v="138"/>
  </r>
  <r>
    <s v="RA0153"/>
    <x v="139"/>
    <s v="Production"/>
    <s v="Plant Area A"/>
    <s v="Raw Material Handling"/>
    <s v="Moving equipment / conveyor"/>
    <s v="Mechanical"/>
    <s v="Crush injury"/>
    <n v="5"/>
    <n v="2"/>
    <x v="2"/>
    <s v="High"/>
    <s v="Safety signage and restricted access"/>
    <s v="Improve supervision and monitoring"/>
    <n v="3"/>
    <n v="1"/>
    <x v="4"/>
    <x v="0"/>
    <s v="Low"/>
    <s v="Partially Implemented"/>
    <s v="Maintenance Supervisor"/>
    <x v="139"/>
  </r>
  <r>
    <s v="RA0154"/>
    <x v="140"/>
    <s v="Production"/>
    <s v="Plant Area B"/>
    <s v="Packing Operation"/>
    <s v="Moving machinery and dust"/>
    <s v="Mechanical"/>
    <s v="Crush injury"/>
    <n v="2"/>
    <n v="4"/>
    <x v="6"/>
    <s v="Medium"/>
    <s v="PPE provided and mandatory"/>
    <s v="Improve supervision and monitoring"/>
    <n v="1"/>
    <n v="4"/>
    <x v="6"/>
    <x v="0"/>
    <s v="Low"/>
    <s v="Partially Implemented"/>
    <s v="Maintenance Supervisor"/>
    <x v="140"/>
  </r>
  <r>
    <s v="RA0155"/>
    <x v="141"/>
    <s v="Warehouse"/>
    <s v="Utilities Area"/>
    <s v="Forklift Operation"/>
    <s v="Vehicle-pedestrian interaction"/>
    <s v="Vehicle / Traffic"/>
    <s v="Collision"/>
    <n v="2"/>
    <n v="4"/>
    <x v="6"/>
    <s v="Medium"/>
    <s v="Preventive maintenance program"/>
    <s v="Conduct refresher training"/>
    <n v="1"/>
    <n v="4"/>
    <x v="6"/>
    <x v="0"/>
    <s v="Low"/>
    <s v="Pending"/>
    <s v="Production Supervisor"/>
    <x v="141"/>
  </r>
  <r>
    <s v="RA0156"/>
    <x v="142"/>
    <s v="Utilities"/>
    <s v="Workshop"/>
    <s v="Chemical Handling"/>
    <s v="Chemical exposure and spills"/>
    <s v="Chemical"/>
    <s v="Respiratory irritation"/>
    <n v="5"/>
    <n v="3"/>
    <x v="3"/>
    <s v="High"/>
    <s v="Standard operating procedure and supervision"/>
    <s v="Conduct refresher training"/>
    <n v="3"/>
    <n v="3"/>
    <x v="3"/>
    <x v="0"/>
    <s v="Medium"/>
    <s v="Partially Implemented"/>
    <s v="HSE Engineer"/>
    <x v="142"/>
  </r>
  <r>
    <s v="RA0157"/>
    <x v="143"/>
    <s v="Maintenance"/>
    <s v="Warehouse"/>
    <s v="Grinding Maintenance"/>
    <s v="Stored energy and moving parts"/>
    <s v="Mechanical"/>
    <s v="Cuts"/>
    <n v="5"/>
    <n v="3"/>
    <x v="3"/>
    <s v="High"/>
    <s v="Standard operating procedure and supervision"/>
    <s v="Verify PTW and isolation before work"/>
    <n v="4"/>
    <n v="3"/>
    <x v="1"/>
    <x v="0"/>
    <s v="High"/>
    <s v="Pending"/>
    <s v="HSE Engineer"/>
    <x v="143"/>
  </r>
  <r>
    <s v="RA0158"/>
    <x v="6"/>
    <s v="Production"/>
    <s v="Laboratory"/>
    <s v="Excavation Work"/>
    <s v="Collapse and underground services"/>
    <s v="Excavation"/>
    <s v="Fatal injury"/>
    <n v="5"/>
    <n v="4"/>
    <x v="5"/>
    <s v="Critical"/>
    <s v="Standard operating procedure and supervision"/>
    <s v="Update risk assessment and procedure"/>
    <n v="4"/>
    <n v="3"/>
    <x v="1"/>
    <x v="0"/>
    <s v="High"/>
    <s v="Pending"/>
    <s v="Production Supervisor"/>
    <x v="6"/>
  </r>
  <r>
    <s v="RA0159"/>
    <x v="144"/>
    <s v="Electrical"/>
    <s v="Plant Area A"/>
    <s v="Cable Installation"/>
    <s v="Electric shock and trip hazards"/>
    <s v="Electrical"/>
    <s v="Burn"/>
    <n v="5"/>
    <n v="5"/>
    <x v="7"/>
    <s v="Critical"/>
    <s v="Emergency response equipment available"/>
    <s v="Install warning signs and barriers"/>
    <n v="3"/>
    <n v="5"/>
    <x v="9"/>
    <x v="0"/>
    <s v="High"/>
    <s v="Pending"/>
    <s v="Maintenance Supervisor"/>
    <x v="144"/>
  </r>
  <r>
    <s v="RA0160"/>
    <x v="17"/>
    <s v="Warehouse"/>
    <s v="Laboratory"/>
    <s v="Forklift Operation"/>
    <s v="Vehicle-pedestrian interaction"/>
    <s v="Vehicle / Traffic"/>
    <s v="Fatal injury"/>
    <n v="4"/>
    <n v="3"/>
    <x v="4"/>
    <s v="High"/>
    <s v="Safety signage and restricted access"/>
    <s v="Install additional physical guard"/>
    <n v="3"/>
    <n v="3"/>
    <x v="3"/>
    <x v="0"/>
    <s v="Medium"/>
    <s v="Implemented"/>
    <s v="Maintenance Supervisor"/>
    <x v="17"/>
  </r>
  <r>
    <s v="RA0161"/>
    <x v="145"/>
    <s v="Electrical"/>
    <s v="Plant Area A"/>
    <s v="Cable Installation"/>
    <s v="Electric shock and trip hazards"/>
    <s v="Electrical"/>
    <s v="Serious injury"/>
    <n v="2"/>
    <n v="2"/>
    <x v="8"/>
    <s v="Low"/>
    <s v="Safety signage and restricted access"/>
    <s v="Improve supervision and monitoring"/>
    <n v="1"/>
    <n v="2"/>
    <x v="0"/>
    <x v="0"/>
    <s v="Low"/>
    <s v="Partially Implemented"/>
    <s v="Production Supervisor"/>
    <x v="145"/>
  </r>
  <r>
    <s v="RA0162"/>
    <x v="146"/>
    <s v="Maintenance"/>
    <s v="Plant Area A"/>
    <s v="Mechanical Maintenance"/>
    <s v="Unexpected equipment movement"/>
    <s v="Mechanical"/>
    <s v="Serious injury"/>
    <n v="2"/>
    <n v="3"/>
    <x v="0"/>
    <s v="Medium"/>
    <s v="Preventive maintenance program"/>
    <s v="Increase inspection frequency"/>
    <n v="1"/>
    <n v="2"/>
    <x v="0"/>
    <x v="0"/>
    <s v="Low"/>
    <s v="Pending"/>
    <s v="HSE Engineer"/>
    <x v="146"/>
  </r>
  <r>
    <s v="RA0163"/>
    <x v="147"/>
    <s v="Maintenance"/>
    <s v="Warehouse"/>
    <s v="Mechanical Maintenance"/>
    <s v="Unexpected equipment movement"/>
    <s v="Mechanical"/>
    <s v="Cuts"/>
    <n v="5"/>
    <n v="2"/>
    <x v="2"/>
    <s v="High"/>
    <s v="PPE provided and mandatory"/>
    <s v="Conduct emergency drill"/>
    <n v="3"/>
    <n v="2"/>
    <x v="5"/>
    <x v="0"/>
    <s v="Medium"/>
    <s v="Partially Implemented"/>
    <s v="HSE Engineer"/>
    <x v="147"/>
  </r>
  <r>
    <s v="RA0164"/>
    <x v="85"/>
    <s v="Production"/>
    <s v="Office"/>
    <s v="Kiln Operation"/>
    <s v="Hot surfaces and high temperature"/>
    <s v="Thermal"/>
    <s v="Heat stress"/>
    <n v="4"/>
    <n v="5"/>
    <x v="5"/>
    <s v="Critical"/>
    <s v="Emergency response equipment available"/>
    <s v="Install additional physical guard"/>
    <n v="3"/>
    <n v="4"/>
    <x v="1"/>
    <x v="0"/>
    <s v="High"/>
    <s v="Pending"/>
    <s v="HSE Officer"/>
    <x v="84"/>
  </r>
  <r>
    <s v="RA0165"/>
    <x v="148"/>
    <s v="Administration"/>
    <s v="Workshop"/>
    <s v="Office Work"/>
    <s v="Ergonomic hazards and slips/trips"/>
    <s v="Ergonomic"/>
    <s v="Musculoskeletal strain"/>
    <n v="5"/>
    <n v="4"/>
    <x v="5"/>
    <s v="Critical"/>
    <s v="Safety signage and restricted access"/>
    <s v="Conduct refresher training"/>
    <n v="4"/>
    <n v="3"/>
    <x v="1"/>
    <x v="0"/>
    <s v="High"/>
    <s v="Implemented"/>
    <s v="Maintenance Supervisor"/>
    <x v="148"/>
  </r>
  <r>
    <s v="RA0166"/>
    <x v="149"/>
    <s v="Mechanical"/>
    <s v="Plant Area B"/>
    <s v="Welding and Cutting"/>
    <s v="Fire, fumes and hot work"/>
    <s v="Fire / Chemical"/>
    <s v="Burn"/>
    <n v="5"/>
    <n v="5"/>
    <x v="7"/>
    <s v="Critical"/>
    <s v="Preventive maintenance program"/>
    <s v="Update risk assessment and procedure"/>
    <n v="4"/>
    <n v="4"/>
    <x v="7"/>
    <x v="0"/>
    <s v="High"/>
    <s v="Implemented"/>
    <s v="Production Supervisor"/>
    <x v="149"/>
  </r>
  <r>
    <s v="RA0167"/>
    <x v="150"/>
    <s v="Warehouse"/>
    <s v="Laboratory"/>
    <s v="Material Stacking"/>
    <s v="Falling objects"/>
    <s v="Physical"/>
    <s v="Head injury"/>
    <n v="4"/>
    <n v="3"/>
    <x v="4"/>
    <s v="High"/>
    <s v="Machine guarding and routine inspection"/>
    <s v="Conduct refresher training"/>
    <n v="3"/>
    <n v="3"/>
    <x v="3"/>
    <x v="0"/>
    <s v="Medium"/>
    <s v="Implemented"/>
    <s v="HSE Engineer"/>
    <x v="150"/>
  </r>
  <r>
    <s v="RA0168"/>
    <x v="151"/>
    <s v="Quality"/>
    <s v="Utilities Area"/>
    <s v="Laboratory Testing"/>
    <s v="Chemical exposure"/>
    <s v="Chemical"/>
    <s v="Skin irritation"/>
    <n v="4"/>
    <n v="4"/>
    <x v="1"/>
    <s v="High"/>
    <s v="Preventive maintenance program"/>
    <s v="Conduct emergency drill"/>
    <n v="3"/>
    <n v="4"/>
    <x v="1"/>
    <x v="0"/>
    <s v="High"/>
    <s v="Pending"/>
    <s v="Department Supervisor"/>
    <x v="151"/>
  </r>
  <r>
    <s v="RA0169"/>
    <x v="152"/>
    <s v="Maintenance"/>
    <s v="Warehouse"/>
    <s v="Mechanical Maintenance"/>
    <s v="Unexpected equipment movement"/>
    <s v="Mechanical"/>
    <s v="Amputation"/>
    <n v="5"/>
    <n v="4"/>
    <x v="5"/>
    <s v="Critical"/>
    <s v="Machine guarding and routine inspection"/>
    <s v="Implement engineering control"/>
    <n v="4"/>
    <n v="3"/>
    <x v="1"/>
    <x v="0"/>
    <s v="High"/>
    <s v="Implemented"/>
    <s v="Production Supervisor"/>
    <x v="152"/>
  </r>
  <r>
    <s v="RA0170"/>
    <x v="125"/>
    <s v="Maintenance"/>
    <s v="Utilities Area"/>
    <s v="Grinding Maintenance"/>
    <s v="Stored energy and moving parts"/>
    <s v="Mechanical"/>
    <s v="Cuts"/>
    <n v="2"/>
    <n v="3"/>
    <x v="0"/>
    <s v="Medium"/>
    <s v="Preventive maintenance program"/>
    <s v="Update risk assessment and procedure"/>
    <n v="1"/>
    <n v="2"/>
    <x v="0"/>
    <x v="0"/>
    <s v="Low"/>
    <s v="Implemented"/>
    <s v="Maintenance Supervisor"/>
    <x v="153"/>
  </r>
  <r>
    <s v="RA0171"/>
    <x v="153"/>
    <s v="Electrical"/>
    <s v="Laboratory"/>
    <s v="Electrical Panel Maintenance"/>
    <s v="Electric shock and arc flash"/>
    <s v="Electrical"/>
    <s v="Serious injury"/>
    <n v="2"/>
    <n v="3"/>
    <x v="0"/>
    <s v="Medium"/>
    <s v="Trained and authorized personnel only"/>
    <s v="Implement engineering control"/>
    <n v="1"/>
    <n v="3"/>
    <x v="4"/>
    <x v="0"/>
    <s v="Low"/>
    <s v="Pending"/>
    <s v="HSE Engineer"/>
    <x v="154"/>
  </r>
  <r>
    <s v="RA0172"/>
    <x v="154"/>
    <s v="Utilities"/>
    <s v="Plant Area B"/>
    <s v="Compressed Air System"/>
    <s v="High pressure release"/>
    <s v="Pressure"/>
    <s v="Serious injury"/>
    <n v="2"/>
    <n v="2"/>
    <x v="8"/>
    <s v="Low"/>
    <s v="Emergency response equipment available"/>
    <s v="Implement engineering control"/>
    <n v="1"/>
    <n v="2"/>
    <x v="0"/>
    <x v="0"/>
    <s v="Low"/>
    <s v="Partially Implemented"/>
    <s v="Production Supervisor"/>
    <x v="131"/>
  </r>
  <r>
    <s v="RA0173"/>
    <x v="10"/>
    <s v="Administration"/>
    <s v="Plant Area A"/>
    <s v="Office Work"/>
    <s v="Ergonomic hazards and slips/trips"/>
    <s v="Ergonomic"/>
    <s v="Slip/trip injury"/>
    <n v="4"/>
    <n v="3"/>
    <x v="4"/>
    <s v="High"/>
    <s v="Emergency response equipment available"/>
    <s v="Improve supervision and monitoring"/>
    <n v="3"/>
    <n v="3"/>
    <x v="3"/>
    <x v="0"/>
    <s v="Medium"/>
    <s v="Pending"/>
    <s v="HSE Engineer"/>
    <x v="10"/>
  </r>
  <r>
    <s v="RA0174"/>
    <x v="11"/>
    <s v="Maintenance"/>
    <s v="Utilities Area"/>
    <s v="Grinding Maintenance"/>
    <s v="Stored energy and moving parts"/>
    <s v="Mechanical"/>
    <s v="Crush injury"/>
    <n v="3"/>
    <n v="2"/>
    <x v="0"/>
    <s v="Medium"/>
    <s v="Trained and authorized personnel only"/>
    <s v="Conduct emergency drill"/>
    <n v="3"/>
    <n v="2"/>
    <x v="5"/>
    <x v="0"/>
    <s v="Medium"/>
    <s v="Pending"/>
    <s v="Maintenance Supervisor"/>
    <x v="155"/>
  </r>
  <r>
    <s v="RA0175"/>
    <x v="155"/>
    <s v="Production"/>
    <s v="Plant Area B"/>
    <s v="Kiln Operation"/>
    <s v="Hot surfaces and high temperature"/>
    <s v="Thermal"/>
    <s v="Serious burn"/>
    <n v="4"/>
    <n v="2"/>
    <x v="6"/>
    <s v="Medium"/>
    <s v="Preventive maintenance program"/>
    <s v="Provide specialized PPE"/>
    <n v="3"/>
    <n v="1"/>
    <x v="4"/>
    <x v="0"/>
    <s v="Low"/>
    <s v="Pending"/>
    <s v="Maintenance Supervisor"/>
    <x v="156"/>
  </r>
  <r>
    <s v="RA0176"/>
    <x v="156"/>
    <s v="Warehouse"/>
    <s v="Plant Area B"/>
    <s v="Material Stacking"/>
    <s v="Falling objects"/>
    <s v="Physical"/>
    <s v="Serious injury"/>
    <n v="3"/>
    <n v="4"/>
    <x v="4"/>
    <s v="High"/>
    <s v="Toolbox talk before work"/>
    <s v="Update risk assessment and procedure"/>
    <n v="2"/>
    <n v="4"/>
    <x v="10"/>
    <x v="0"/>
    <s v="Medium"/>
    <s v="Partially Implemented"/>
    <s v="HSE Engineer"/>
    <x v="157"/>
  </r>
  <r>
    <s v="RA0177"/>
    <x v="157"/>
    <s v="Mechanical"/>
    <s v="Workshop"/>
    <s v="Welding and Cutting"/>
    <s v="Fire, fumes and hot work"/>
    <s v="Fire / Chemical"/>
    <s v="Fire-related injury"/>
    <n v="5"/>
    <n v="4"/>
    <x v="5"/>
    <s v="Critical"/>
    <s v="Trained and authorized personnel only"/>
    <s v="Implement engineering control"/>
    <n v="4"/>
    <n v="4"/>
    <x v="7"/>
    <x v="0"/>
    <s v="High"/>
    <s v="Implemented"/>
    <s v="HSE Engineer"/>
    <x v="158"/>
  </r>
  <r>
    <s v="RA0178"/>
    <x v="132"/>
    <s v="Utilities"/>
    <s v="Warehouse"/>
    <s v="Compressed Air System"/>
    <s v="High pressure release"/>
    <s v="Pressure"/>
    <s v="Impact injury"/>
    <n v="5"/>
    <n v="5"/>
    <x v="7"/>
    <s v="Critical"/>
    <s v="Safety signage and restricted access"/>
    <s v="Update risk assessment and procedure"/>
    <n v="4"/>
    <n v="4"/>
    <x v="7"/>
    <x v="0"/>
    <s v="High"/>
    <s v="Implemented"/>
    <s v="HSE Officer"/>
    <x v="159"/>
  </r>
  <r>
    <s v="RA0179"/>
    <x v="158"/>
    <s v="Administration"/>
    <s v="Workshop"/>
    <s v="Office Work"/>
    <s v="Ergonomic hazards and slips/trips"/>
    <s v="Ergonomic"/>
    <s v="Musculoskeletal strain"/>
    <n v="3"/>
    <n v="3"/>
    <x v="9"/>
    <s v="Medium"/>
    <s v="Preventive maintenance program"/>
    <s v="Improve supervision and monitoring"/>
    <n v="2"/>
    <n v="2"/>
    <x v="6"/>
    <x v="0"/>
    <s v="Low"/>
    <s v="Implemented"/>
    <s v="Department Supervisor"/>
    <x v="160"/>
  </r>
  <r>
    <s v="RA0180"/>
    <x v="73"/>
    <s v="Electrical"/>
    <s v="Plant Area A"/>
    <s v="Cable Installation"/>
    <s v="Electric shock and trip hazards"/>
    <s v="Electrical"/>
    <s v="Serious injury"/>
    <n v="2"/>
    <n v="4"/>
    <x v="6"/>
    <s v="Medium"/>
    <s v="Preventive maintenance program"/>
    <s v="Conduct emergency drill"/>
    <n v="1"/>
    <n v="4"/>
    <x v="6"/>
    <x v="0"/>
    <s v="Low"/>
    <s v="Implemented"/>
    <s v="Production Supervisor"/>
    <x v="161"/>
  </r>
  <r>
    <s v="RA0181"/>
    <x v="159"/>
    <s v="Utilities"/>
    <s v="Workshop"/>
    <s v="Boiler Operation"/>
    <s v="High pressure and hot surfaces"/>
    <s v="Pressure / Thermal"/>
    <s v="Serious injury"/>
    <n v="2"/>
    <n v="4"/>
    <x v="6"/>
    <s v="Medium"/>
    <s v="Standard operating procedure and supervision"/>
    <s v="Implement engineering control"/>
    <n v="1"/>
    <n v="3"/>
    <x v="4"/>
    <x v="0"/>
    <s v="Low"/>
    <s v="Partially Implemented"/>
    <s v="Maintenance Supervisor"/>
    <x v="162"/>
  </r>
  <r>
    <s v="RA0182"/>
    <x v="120"/>
    <s v="Maintenance"/>
    <s v="Utilities Area"/>
    <s v="Grinding Maintenance"/>
    <s v="Stored energy and moving parts"/>
    <s v="Mechanical"/>
    <s v="Serious injury"/>
    <n v="3"/>
    <n v="5"/>
    <x v="3"/>
    <s v="High"/>
    <s v="Preventive maintenance program"/>
    <s v="Conduct refresher training"/>
    <n v="1"/>
    <n v="5"/>
    <x v="2"/>
    <x v="0"/>
    <s v="Medium"/>
    <s v="Pending"/>
    <s v="Production Supervisor"/>
    <x v="163"/>
  </r>
  <r>
    <s v="RA0183"/>
    <x v="160"/>
    <s v="Electrical"/>
    <s v="Utilities Area"/>
    <s v="Cable Installation"/>
    <s v="Electric shock and trip hazards"/>
    <s v="Electrical"/>
    <s v="Burn"/>
    <n v="2"/>
    <n v="2"/>
    <x v="8"/>
    <s v="Low"/>
    <s v="Machine guarding and routine inspection"/>
    <s v="Increase inspection frequency"/>
    <n v="1"/>
    <n v="1"/>
    <x v="13"/>
    <x v="0"/>
    <s v="Low"/>
    <s v="Pending"/>
    <s v="Maintenance Supervisor"/>
    <x v="164"/>
  </r>
  <r>
    <s v="RA0184"/>
    <x v="161"/>
    <s v="Utilities"/>
    <s v="Utilities Area"/>
    <s v="Boiler Operation"/>
    <s v="High pressure and hot surfaces"/>
    <s v="Pressure / Thermal"/>
    <s v="Pressure-related injury"/>
    <n v="5"/>
    <n v="4"/>
    <x v="5"/>
    <s v="Critical"/>
    <s v="Safety signage and restricted access"/>
    <s v="Implement engineering control"/>
    <n v="4"/>
    <n v="4"/>
    <x v="7"/>
    <x v="0"/>
    <s v="High"/>
    <s v="Implemented"/>
    <s v="HSE Officer"/>
    <x v="165"/>
  </r>
  <r>
    <s v="RA0185"/>
    <x v="21"/>
    <s v="Utilities"/>
    <s v="Plant Area B"/>
    <s v="Chemical Handling"/>
    <s v="Chemical exposure and spills"/>
    <s v="Chemical"/>
    <s v="Respiratory irritation"/>
    <n v="2"/>
    <n v="2"/>
    <x v="8"/>
    <s v="Low"/>
    <s v="Trained and authorized personnel only"/>
    <s v="Increase inspection frequency"/>
    <n v="1"/>
    <n v="2"/>
    <x v="0"/>
    <x v="0"/>
    <s v="Low"/>
    <s v="Partially Implemented"/>
    <s v="HSE Engineer"/>
    <x v="21"/>
  </r>
  <r>
    <s v="RA0186"/>
    <x v="162"/>
    <s v="Maintenance"/>
    <s v="Office"/>
    <s v="Confined Space Entry"/>
    <s v="Oxygen deficiency / toxic atmosphere"/>
    <s v="Confined Space"/>
    <s v="Asphyxiation risk"/>
    <n v="2"/>
    <n v="4"/>
    <x v="6"/>
    <s v="Medium"/>
    <s v="Machine guarding and routine inspection"/>
    <s v="Implement engineering control"/>
    <n v="1"/>
    <n v="4"/>
    <x v="6"/>
    <x v="0"/>
    <s v="Low"/>
    <s v="Partially Implemented"/>
    <s v="Department Supervisor"/>
    <x v="166"/>
  </r>
  <r>
    <s v="RA0187"/>
    <x v="163"/>
    <s v="Production"/>
    <s v="Plant Area A"/>
    <s v="Packing Operation"/>
    <s v="Moving machinery and dust"/>
    <s v="Mechanical"/>
    <s v="Serious injury"/>
    <n v="2"/>
    <n v="5"/>
    <x v="2"/>
    <s v="High"/>
    <s v="Machine guarding and routine inspection"/>
    <s v="Install warning signs and barriers"/>
    <n v="2"/>
    <n v="5"/>
    <x v="11"/>
    <x v="1"/>
    <s v="High"/>
    <s v="Partially Implemented"/>
    <s v="HSE Officer"/>
    <x v="167"/>
  </r>
  <r>
    <s v="RA0188"/>
    <x v="164"/>
    <s v="Production"/>
    <s v="Laboratory"/>
    <s v="Raw Material Handling"/>
    <s v="Moving equipment / conveyor"/>
    <s v="Mechanical"/>
    <s v="Cuts"/>
    <n v="3"/>
    <n v="3"/>
    <x v="9"/>
    <s v="Medium"/>
    <s v="Safety signage and restricted access"/>
    <s v="Improve supervision and monitoring"/>
    <n v="3"/>
    <n v="3"/>
    <x v="3"/>
    <x v="1"/>
    <s v="Medium"/>
    <s v="Implemented"/>
    <s v="HSE Engineer"/>
    <x v="168"/>
  </r>
  <r>
    <s v="RA0189"/>
    <x v="165"/>
    <s v="Mechanical"/>
    <s v="Utilities Area"/>
    <s v="Welding and Cutting"/>
    <s v="Fire, fumes and hot work"/>
    <s v="Fire / Chemical"/>
    <s v="Respiratory irritation"/>
    <n v="3"/>
    <n v="3"/>
    <x v="9"/>
    <s v="Medium"/>
    <s v="Emergency response equipment available"/>
    <s v="Conduct refresher training"/>
    <n v="2"/>
    <n v="3"/>
    <x v="5"/>
    <x v="0"/>
    <s v="Medium"/>
    <s v="Implemented"/>
    <s v="Maintenance Supervisor"/>
    <x v="169"/>
  </r>
  <r>
    <s v="RA0190"/>
    <x v="91"/>
    <s v="Administration"/>
    <s v="Laboratory"/>
    <s v="Office Work"/>
    <s v="Ergonomic hazards and slips/trips"/>
    <s v="Ergonomic"/>
    <s v="Slip/trip injury"/>
    <n v="5"/>
    <n v="2"/>
    <x v="2"/>
    <s v="High"/>
    <s v="Safety signage and restricted access"/>
    <s v="Conduct refresher training"/>
    <n v="4"/>
    <n v="1"/>
    <x v="6"/>
    <x v="0"/>
    <s v="Low"/>
    <s v="Partially Implemented"/>
    <s v="HSE Officer"/>
    <x v="170"/>
  </r>
  <r>
    <s v="RA0191"/>
    <x v="166"/>
    <s v="Maintenance"/>
    <s v="Workshop"/>
    <s v="Grinding Maintenance"/>
    <s v="Stored energy and moving parts"/>
    <s v="Mechanical"/>
    <s v="Amputation"/>
    <n v="4"/>
    <n v="4"/>
    <x v="1"/>
    <s v="High"/>
    <s v="Emergency response equipment available"/>
    <s v="Verify PTW and isolation before work"/>
    <n v="4"/>
    <n v="4"/>
    <x v="7"/>
    <x v="1"/>
    <s v="High"/>
    <s v="Partially Implemented"/>
    <s v="HSE Engineer"/>
    <x v="171"/>
  </r>
  <r>
    <s v="RA0192"/>
    <x v="167"/>
    <s v="Utilities"/>
    <s v="Utilities Area"/>
    <s v="Chemical Handling"/>
    <s v="Chemical exposure and spills"/>
    <s v="Chemical"/>
    <s v="Skin irritation"/>
    <n v="5"/>
    <n v="4"/>
    <x v="5"/>
    <s v="Critical"/>
    <s v="Machine guarding and routine inspection"/>
    <s v="Install additional physical guard"/>
    <n v="5"/>
    <n v="4"/>
    <x v="12"/>
    <x v="1"/>
    <s v="Critical"/>
    <s v="Implemented"/>
    <s v="HSE Engineer"/>
    <x v="172"/>
  </r>
  <r>
    <s v="RA0193"/>
    <x v="19"/>
    <s v="Production"/>
    <s v="Workshop"/>
    <s v="Packing Operation"/>
    <s v="Moving machinery and dust"/>
    <s v="Mechanical"/>
    <s v="Cuts"/>
    <n v="3"/>
    <n v="4"/>
    <x v="4"/>
    <s v="High"/>
    <s v="Emergency response equipment available"/>
    <s v="Install warning signs and barriers"/>
    <n v="2"/>
    <n v="4"/>
    <x v="10"/>
    <x v="0"/>
    <s v="Medium"/>
    <s v="Implemented"/>
    <s v="Department Supervisor"/>
    <x v="173"/>
  </r>
  <r>
    <s v="RA0194"/>
    <x v="145"/>
    <s v="Maintenance"/>
    <s v="Office"/>
    <s v="Mechanical Maintenance"/>
    <s v="Unexpected equipment movement"/>
    <s v="Mechanical"/>
    <s v="Crush injury"/>
    <n v="4"/>
    <n v="2"/>
    <x v="6"/>
    <s v="Medium"/>
    <s v="Preventive maintenance program"/>
    <s v="Provide specialized PPE"/>
    <n v="3"/>
    <n v="2"/>
    <x v="5"/>
    <x v="0"/>
    <s v="Medium"/>
    <s v="Partially Implemented"/>
    <s v="HSE Officer"/>
    <x v="174"/>
  </r>
  <r>
    <s v="RA0195"/>
    <x v="151"/>
    <s v="Administration"/>
    <s v="Utilities Area"/>
    <s v="Office Work"/>
    <s v="Ergonomic hazards and slips/trips"/>
    <s v="Ergonomic"/>
    <s v="Musculoskeletal strain"/>
    <n v="2"/>
    <n v="2"/>
    <x v="8"/>
    <s v="Low"/>
    <s v="Safety signage and restricted access"/>
    <s v="Provide specialized PPE"/>
    <n v="2"/>
    <n v="1"/>
    <x v="0"/>
    <x v="0"/>
    <s v="Low"/>
    <s v="Pending"/>
    <s v="HSE Officer"/>
    <x v="151"/>
  </r>
  <r>
    <s v="RA0196"/>
    <x v="168"/>
    <s v="Production"/>
    <s v="Office"/>
    <s v="Raw Material Handling"/>
    <s v="Moving equipment / conveyor"/>
    <s v="Mechanical"/>
    <s v="Serious injury"/>
    <n v="4"/>
    <n v="2"/>
    <x v="6"/>
    <s v="Medium"/>
    <s v="Safety signage and restricted access"/>
    <s v="Conduct refresher training"/>
    <n v="2"/>
    <n v="1"/>
    <x v="0"/>
    <x v="0"/>
    <s v="Low"/>
    <s v="Implemented"/>
    <s v="HSE Engineer"/>
    <x v="175"/>
  </r>
  <r>
    <s v="RA0197"/>
    <x v="169"/>
    <s v="Production"/>
    <s v="Workshop"/>
    <s v="Kiln Operation"/>
    <s v="Hot surfaces and high temperature"/>
    <s v="Thermal"/>
    <s v="Heat stress"/>
    <n v="5"/>
    <n v="2"/>
    <x v="2"/>
    <s v="High"/>
    <s v="Toolbox talk before work"/>
    <s v="Conduct emergency drill"/>
    <n v="5"/>
    <n v="1"/>
    <x v="2"/>
    <x v="0"/>
    <s v="Medium"/>
    <s v="Implemented"/>
    <s v="Maintenance Supervisor"/>
    <x v="30"/>
  </r>
  <r>
    <s v="RA0198"/>
    <x v="93"/>
    <s v="Maintenance"/>
    <s v="Office"/>
    <s v="Confined Space Entry"/>
    <s v="Oxygen deficiency / toxic atmosphere"/>
    <s v="Confined Space"/>
    <s v="Asphyxiation risk"/>
    <n v="4"/>
    <n v="4"/>
    <x v="1"/>
    <s v="High"/>
    <s v="Standard operating procedure and supervision"/>
    <s v="Verify PTW and isolation before work"/>
    <n v="3"/>
    <n v="3"/>
    <x v="3"/>
    <x v="0"/>
    <s v="Medium"/>
    <s v="Implemented"/>
    <s v="Maintenance Supervisor"/>
    <x v="93"/>
  </r>
  <r>
    <s v="RA0199"/>
    <x v="170"/>
    <s v="Utilities"/>
    <s v="Warehouse"/>
    <s v="Compressed Air System"/>
    <s v="High pressure release"/>
    <s v="Pressure"/>
    <s v="Impact injury"/>
    <n v="2"/>
    <n v="2"/>
    <x v="8"/>
    <s v="Low"/>
    <s v="Machine guarding and routine inspection"/>
    <s v="Increase inspection frequency"/>
    <n v="1"/>
    <n v="1"/>
    <x v="13"/>
    <x v="0"/>
    <s v="Low"/>
    <s v="Implemented"/>
    <s v="HSE Officer"/>
    <x v="176"/>
  </r>
  <r>
    <s v="RA0200"/>
    <x v="78"/>
    <s v="Utilities"/>
    <s v="Plant Area B"/>
    <s v="Boiler Operation"/>
    <s v="High pressure and hot surfaces"/>
    <s v="Pressure / Thermal"/>
    <s v="Pressure-related injury"/>
    <n v="2"/>
    <n v="2"/>
    <x v="8"/>
    <s v="Low"/>
    <s v="Preventive maintenance program"/>
    <s v="Increase inspection frequency"/>
    <n v="1"/>
    <n v="2"/>
    <x v="0"/>
    <x v="0"/>
    <s v="Low"/>
    <s v="Partially Implemented"/>
    <s v="Maintenance Supervisor"/>
    <x v="77"/>
  </r>
  <r>
    <s v="RA0201"/>
    <x v="171"/>
    <s v="Mechanical"/>
    <s v="Office"/>
    <s v="Welding and Cutting"/>
    <s v="Fire, fumes and hot work"/>
    <s v="Fire / Chemical"/>
    <s v="Burn"/>
    <n v="5"/>
    <n v="2"/>
    <x v="2"/>
    <s v="High"/>
    <s v="Toolbox talk before work"/>
    <s v="Install warning signs and barriers"/>
    <n v="4"/>
    <n v="2"/>
    <x v="10"/>
    <x v="0"/>
    <s v="Medium"/>
    <s v="Partially Implemented"/>
    <s v="Production Supervisor"/>
    <x v="177"/>
  </r>
  <r>
    <s v="RA0202"/>
    <x v="172"/>
    <s v="Warehouse"/>
    <s v="Warehouse"/>
    <s v="Material Stacking"/>
    <s v="Falling objects"/>
    <s v="Physical"/>
    <s v="Head injury"/>
    <n v="4"/>
    <n v="3"/>
    <x v="4"/>
    <s v="High"/>
    <s v="Machine guarding and routine inspection"/>
    <s v="Implement engineering control"/>
    <n v="2"/>
    <n v="2"/>
    <x v="6"/>
    <x v="0"/>
    <s v="Low"/>
    <s v="Pending"/>
    <s v="Department Supervisor"/>
    <x v="178"/>
  </r>
  <r>
    <s v="RA0203"/>
    <x v="173"/>
    <s v="Production"/>
    <s v="Utilities Area"/>
    <s v="Packing Operation"/>
    <s v="Moving machinery and dust"/>
    <s v="Mechanical"/>
    <s v="Amputation"/>
    <n v="5"/>
    <n v="2"/>
    <x v="2"/>
    <s v="High"/>
    <s v="Safety signage and restricted access"/>
    <s v="Implement engineering control"/>
    <n v="4"/>
    <n v="2"/>
    <x v="10"/>
    <x v="0"/>
    <s v="Medium"/>
    <s v="Partially Implemented"/>
    <s v="Production Supervisor"/>
    <x v="179"/>
  </r>
  <r>
    <s v="RA0204"/>
    <x v="174"/>
    <s v="Maintenance"/>
    <s v="Office"/>
    <s v="Confined Space Entry"/>
    <s v="Oxygen deficiency / toxic atmosphere"/>
    <s v="Confined Space"/>
    <s v="Toxic exposure"/>
    <n v="5"/>
    <n v="3"/>
    <x v="3"/>
    <s v="High"/>
    <s v="PPE provided and mandatory"/>
    <s v="Increase inspection frequency"/>
    <n v="4"/>
    <n v="3"/>
    <x v="1"/>
    <x v="0"/>
    <s v="High"/>
    <s v="Implemented"/>
    <s v="HSE Engineer"/>
    <x v="180"/>
  </r>
  <r>
    <s v="RA0205"/>
    <x v="175"/>
    <s v="Quality"/>
    <s v="Utilities Area"/>
    <s v="Laboratory Testing"/>
    <s v="Chemical exposure"/>
    <s v="Chemical"/>
    <s v="Skin irritation"/>
    <n v="3"/>
    <n v="2"/>
    <x v="0"/>
    <s v="Medium"/>
    <s v="Standard operating procedure and supervision"/>
    <s v="Increase inspection frequency"/>
    <n v="2"/>
    <n v="2"/>
    <x v="6"/>
    <x v="0"/>
    <s v="Low"/>
    <s v="Implemented"/>
    <s v="Department Supervisor"/>
    <x v="181"/>
  </r>
  <r>
    <s v="RA0206"/>
    <x v="176"/>
    <s v="Production"/>
    <s v="Office"/>
    <s v="Work at Height"/>
    <s v="Fall from height"/>
    <s v="Work at Height"/>
    <s v="Fall injury"/>
    <n v="4"/>
    <n v="4"/>
    <x v="1"/>
    <s v="High"/>
    <s v="Emergency response equipment available"/>
    <s v="Conduct emergency drill"/>
    <n v="3"/>
    <n v="3"/>
    <x v="3"/>
    <x v="0"/>
    <s v="Medium"/>
    <s v="Partially Implemented"/>
    <s v="Department Supervisor"/>
    <x v="182"/>
  </r>
  <r>
    <s v="RA0207"/>
    <x v="177"/>
    <s v="Quality"/>
    <s v="Plant Area A"/>
    <s v="Laboratory Testing"/>
    <s v="Chemical exposure"/>
    <s v="Chemical"/>
    <s v="Skin irritation"/>
    <n v="4"/>
    <n v="4"/>
    <x v="1"/>
    <s v="High"/>
    <s v="Emergency response equipment available"/>
    <s v="Verify PTW and isolation before work"/>
    <n v="3"/>
    <n v="3"/>
    <x v="3"/>
    <x v="0"/>
    <s v="Medium"/>
    <s v="Partially Implemented"/>
    <s v="Department Supervisor"/>
    <x v="183"/>
  </r>
  <r>
    <s v="RA0208"/>
    <x v="178"/>
    <s v="Utilities"/>
    <s v="Laboratory"/>
    <s v="Compressed Air System"/>
    <s v="High pressure release"/>
    <s v="Pressure"/>
    <s v="Fatal injury"/>
    <n v="4"/>
    <n v="2"/>
    <x v="6"/>
    <s v="Medium"/>
    <s v="Safety signage and restricted access"/>
    <s v="Provide specialized PPE"/>
    <n v="3"/>
    <n v="2"/>
    <x v="5"/>
    <x v="0"/>
    <s v="Medium"/>
    <s v="Implemented"/>
    <s v="Maintenance Supervisor"/>
    <x v="184"/>
  </r>
  <r>
    <s v="RA0209"/>
    <x v="19"/>
    <s v="Utilities"/>
    <s v="Plant Area A"/>
    <s v="Compressed Air System"/>
    <s v="High pressure release"/>
    <s v="Pressure"/>
    <s v="Impact injury"/>
    <n v="5"/>
    <n v="2"/>
    <x v="2"/>
    <s v="High"/>
    <s v="Machine guarding and routine inspection"/>
    <s v="Install warning signs and barriers"/>
    <n v="4"/>
    <n v="2"/>
    <x v="10"/>
    <x v="0"/>
    <s v="Medium"/>
    <s v="Implemented"/>
    <s v="HSE Engineer"/>
    <x v="185"/>
  </r>
  <r>
    <s v="RA0210"/>
    <x v="179"/>
    <s v="Warehouse"/>
    <s v="Warehouse"/>
    <s v="Forklift Operation"/>
    <s v="Vehicle-pedestrian interaction"/>
    <s v="Vehicle / Traffic"/>
    <s v="Fatal injury"/>
    <n v="4"/>
    <n v="2"/>
    <x v="6"/>
    <s v="Medium"/>
    <s v="Trained and authorized personnel only"/>
    <s v="Update risk assessment and procedure"/>
    <n v="2"/>
    <n v="2"/>
    <x v="6"/>
    <x v="0"/>
    <s v="Low"/>
    <s v="Pending"/>
    <s v="HSE Officer"/>
    <x v="186"/>
  </r>
  <r>
    <s v="RA0211"/>
    <x v="74"/>
    <s v="Production"/>
    <s v="Warehouse"/>
    <s v="Work at Height"/>
    <s v="Fall from height"/>
    <s v="Work at Height"/>
    <s v="Fall injury"/>
    <n v="2"/>
    <n v="2"/>
    <x v="8"/>
    <s v="Low"/>
    <s v="Emergency response equipment available"/>
    <s v="Increase inspection frequency"/>
    <n v="1"/>
    <n v="2"/>
    <x v="0"/>
    <x v="0"/>
    <s v="Low"/>
    <s v="Implemented"/>
    <s v="Department Supervisor"/>
    <x v="74"/>
  </r>
  <r>
    <s v="RA0212"/>
    <x v="179"/>
    <s v="Production"/>
    <s v="Laboratory"/>
    <s v="Kiln Operation"/>
    <s v="Hot surfaces and high temperature"/>
    <s v="Thermal"/>
    <s v="Heat stress"/>
    <n v="2"/>
    <n v="2"/>
    <x v="8"/>
    <s v="Low"/>
    <s v="Emergency response equipment available"/>
    <s v="Install warning signs and barriers"/>
    <n v="1"/>
    <n v="2"/>
    <x v="0"/>
    <x v="0"/>
    <s v="Low"/>
    <s v="Pending"/>
    <s v="Maintenance Supervisor"/>
    <x v="187"/>
  </r>
  <r>
    <s v="RA0213"/>
    <x v="11"/>
    <s v="Production"/>
    <s v="Workshop"/>
    <s v="Raw Material Handling"/>
    <s v="Moving equipment / conveyor"/>
    <s v="Mechanical"/>
    <s v="Cuts"/>
    <n v="2"/>
    <n v="3"/>
    <x v="0"/>
    <s v="Medium"/>
    <s v="Emergency response equipment available"/>
    <s v="Improve supervision and monitoring"/>
    <n v="1"/>
    <n v="3"/>
    <x v="4"/>
    <x v="0"/>
    <s v="Low"/>
    <s v="Partially Implemented"/>
    <s v="Department Supervisor"/>
    <x v="155"/>
  </r>
  <r>
    <s v="RA0214"/>
    <x v="180"/>
    <s v="Production"/>
    <s v="Laboratory"/>
    <s v="Work at Height"/>
    <s v="Fall from height"/>
    <s v="Work at Height"/>
    <s v="Serious injury"/>
    <n v="2"/>
    <n v="2"/>
    <x v="8"/>
    <s v="Low"/>
    <s v="Toolbox talk before work"/>
    <s v="Improve supervision and monitoring"/>
    <n v="1"/>
    <n v="1"/>
    <x v="13"/>
    <x v="0"/>
    <s v="Low"/>
    <s v="Pending"/>
    <s v="Production Supervisor"/>
    <x v="188"/>
  </r>
  <r>
    <s v="RA0215"/>
    <x v="181"/>
    <s v="Production"/>
    <s v="Plant Area A"/>
    <s v="Raw Material Handling"/>
    <s v="Moving equipment / conveyor"/>
    <s v="Mechanical"/>
    <s v="Amputation"/>
    <n v="4"/>
    <n v="5"/>
    <x v="5"/>
    <s v="Critical"/>
    <s v="Preventive maintenance program"/>
    <s v="Conduct emergency drill"/>
    <n v="3"/>
    <n v="5"/>
    <x v="9"/>
    <x v="0"/>
    <s v="High"/>
    <s v="Pending"/>
    <s v="HSE Officer"/>
    <x v="189"/>
  </r>
  <r>
    <s v="RA0216"/>
    <x v="182"/>
    <s v="Production"/>
    <s v="Plant Area A"/>
    <s v="Work at Height"/>
    <s v="Fall from height"/>
    <s v="Work at Height"/>
    <s v="Fatal injury"/>
    <n v="4"/>
    <n v="4"/>
    <x v="1"/>
    <s v="High"/>
    <s v="Machine guarding and routine inspection"/>
    <s v="Improve supervision and monitoring"/>
    <n v="3"/>
    <n v="3"/>
    <x v="3"/>
    <x v="0"/>
    <s v="Medium"/>
    <s v="Pending"/>
    <s v="Department Supervisor"/>
    <x v="190"/>
  </r>
  <r>
    <s v="RA0217"/>
    <x v="109"/>
    <s v="Utilities"/>
    <s v="Warehouse"/>
    <s v="Chemical Handling"/>
    <s v="Chemical exposure and spills"/>
    <s v="Chemical"/>
    <s v="Respiratory irritation"/>
    <n v="3"/>
    <n v="5"/>
    <x v="3"/>
    <s v="High"/>
    <s v="Toolbox talk before work"/>
    <s v="Implement engineering control"/>
    <n v="1"/>
    <n v="5"/>
    <x v="2"/>
    <x v="0"/>
    <s v="Medium"/>
    <s v="Pending"/>
    <s v="Maintenance Supervisor"/>
    <x v="191"/>
  </r>
  <r>
    <s v="RA0218"/>
    <x v="183"/>
    <s v="Utilities"/>
    <s v="Office"/>
    <s v="Chemical Handling"/>
    <s v="Chemical exposure and spills"/>
    <s v="Chemical"/>
    <s v="Eye injury"/>
    <n v="3"/>
    <n v="5"/>
    <x v="3"/>
    <s v="High"/>
    <s v="Machine guarding and routine inspection"/>
    <s v="Update risk assessment and procedure"/>
    <n v="2"/>
    <n v="4"/>
    <x v="10"/>
    <x v="0"/>
    <s v="Medium"/>
    <s v="Pending"/>
    <s v="HSE Engineer"/>
    <x v="192"/>
  </r>
  <r>
    <s v="RA0219"/>
    <x v="184"/>
    <s v="Production"/>
    <s v="Plant Area B"/>
    <s v="Raw Material Handling"/>
    <s v="Moving equipment / conveyor"/>
    <s v="Mechanical"/>
    <s v="Cuts"/>
    <n v="4"/>
    <n v="2"/>
    <x v="6"/>
    <s v="Medium"/>
    <s v="Preventive maintenance program"/>
    <s v="Update risk assessment and procedure"/>
    <n v="3"/>
    <n v="2"/>
    <x v="5"/>
    <x v="0"/>
    <s v="Medium"/>
    <s v="Pending"/>
    <s v="Maintenance Supervisor"/>
    <x v="193"/>
  </r>
  <r>
    <s v="RA0220"/>
    <x v="47"/>
    <s v="Production"/>
    <s v="Workshop"/>
    <s v="Raw Material Handling"/>
    <s v="Moving equipment / conveyor"/>
    <s v="Mechanical"/>
    <s v="Cuts"/>
    <n v="5"/>
    <n v="2"/>
    <x v="2"/>
    <s v="High"/>
    <s v="Toolbox talk before work"/>
    <s v="Improve supervision and monitoring"/>
    <n v="4"/>
    <n v="2"/>
    <x v="10"/>
    <x v="0"/>
    <s v="Medium"/>
    <s v="Pending"/>
    <s v="HSE Engineer"/>
    <x v="48"/>
  </r>
  <r>
    <s v="RA0221"/>
    <x v="185"/>
    <s v="Mechanical"/>
    <s v="Utilities Area"/>
    <s v="Pump Maintenance"/>
    <s v="Stored pressure and rotating parts"/>
    <s v="Mechanical"/>
    <s v="Crush injury"/>
    <n v="4"/>
    <n v="5"/>
    <x v="5"/>
    <s v="Critical"/>
    <s v="Standard operating procedure and supervision"/>
    <s v="Install warning signs and barriers"/>
    <n v="3"/>
    <n v="4"/>
    <x v="1"/>
    <x v="0"/>
    <s v="High"/>
    <s v="Partially Implemented"/>
    <s v="Department Supervisor"/>
    <x v="40"/>
  </r>
  <r>
    <s v="RA0222"/>
    <x v="186"/>
    <s v="Production"/>
    <s v="Workshop"/>
    <s v="Packing Operation"/>
    <s v="Moving machinery and dust"/>
    <s v="Mechanical"/>
    <s v="Cuts"/>
    <n v="2"/>
    <n v="4"/>
    <x v="6"/>
    <s v="Medium"/>
    <s v="Safety signage and restricted access"/>
    <s v="Increase inspection frequency"/>
    <n v="1"/>
    <n v="3"/>
    <x v="4"/>
    <x v="0"/>
    <s v="Low"/>
    <s v="Implemented"/>
    <s v="Maintenance Supervisor"/>
    <x v="194"/>
  </r>
  <r>
    <s v="RA0223"/>
    <x v="43"/>
    <s v="Maintenance"/>
    <s v="Office"/>
    <s v="Confined Space Entry"/>
    <s v="Oxygen deficiency / toxic atmosphere"/>
    <s v="Confined Space"/>
    <s v="Serious injury"/>
    <n v="5"/>
    <n v="5"/>
    <x v="7"/>
    <s v="Critical"/>
    <s v="PPE provided and mandatory"/>
    <s v="Install warning signs and barriers"/>
    <n v="3"/>
    <n v="5"/>
    <x v="9"/>
    <x v="0"/>
    <s v="High"/>
    <s v="Partially Implemented"/>
    <s v="Maintenance Supervisor"/>
    <x v="44"/>
  </r>
  <r>
    <s v="RA0224"/>
    <x v="187"/>
    <s v="Maintenance"/>
    <s v="Warehouse"/>
    <s v="Confined Space Entry"/>
    <s v="Oxygen deficiency / toxic atmosphere"/>
    <s v="Confined Space"/>
    <s v="Serious injury"/>
    <n v="4"/>
    <n v="3"/>
    <x v="4"/>
    <s v="High"/>
    <s v="Toolbox talk before work"/>
    <s v="Install additional physical guard"/>
    <n v="3"/>
    <n v="2"/>
    <x v="5"/>
    <x v="0"/>
    <s v="Medium"/>
    <s v="Implemented"/>
    <s v="HSE Engineer"/>
    <x v="195"/>
  </r>
  <r>
    <s v="RA0225"/>
    <x v="40"/>
    <s v="Utilities"/>
    <s v="Plant Area B"/>
    <s v="Boiler Operation"/>
    <s v="High pressure and hot surfaces"/>
    <s v="Pressure / Thermal"/>
    <s v="Serious injury"/>
    <n v="2"/>
    <n v="4"/>
    <x v="6"/>
    <s v="Medium"/>
    <s v="Toolbox talk before work"/>
    <s v="Install warning signs and barriers"/>
    <n v="1"/>
    <n v="4"/>
    <x v="6"/>
    <x v="0"/>
    <s v="Low"/>
    <s v="Pending"/>
    <s v="HSE Engineer"/>
    <x v="40"/>
  </r>
  <r>
    <s v="RA0226"/>
    <x v="188"/>
    <s v="Warehouse"/>
    <s v="Plant Area B"/>
    <s v="Material Stacking"/>
    <s v="Falling objects"/>
    <s v="Physical"/>
    <s v="Serious injury"/>
    <n v="5"/>
    <n v="5"/>
    <x v="7"/>
    <s v="Critical"/>
    <s v="Machine guarding and routine inspection"/>
    <s v="Conduct refresher training"/>
    <n v="4"/>
    <n v="5"/>
    <x v="12"/>
    <x v="0"/>
    <s v="Critical"/>
    <s v="Pending"/>
    <s v="HSE Officer"/>
    <x v="196"/>
  </r>
  <r>
    <s v="RA0227"/>
    <x v="189"/>
    <s v="Quality"/>
    <s v="Plant Area A"/>
    <s v="Laboratory Testing"/>
    <s v="Chemical exposure"/>
    <s v="Chemical"/>
    <s v="Respiratory irritation"/>
    <n v="4"/>
    <n v="4"/>
    <x v="1"/>
    <s v="High"/>
    <s v="Trained and authorized personnel only"/>
    <s v="Implement engineering control"/>
    <n v="4"/>
    <n v="3"/>
    <x v="1"/>
    <x v="0"/>
    <s v="High"/>
    <s v="Implemented"/>
    <s v="Production Supervisor"/>
    <x v="197"/>
  </r>
  <r>
    <s v="RA0228"/>
    <x v="190"/>
    <s v="Maintenance"/>
    <s v="Plant Area B"/>
    <s v="Grinding Maintenance"/>
    <s v="Stored energy and moving parts"/>
    <s v="Mechanical"/>
    <s v="Serious injury"/>
    <n v="4"/>
    <n v="3"/>
    <x v="4"/>
    <s v="High"/>
    <s v="Safety signage and restricted access"/>
    <s v="Update risk assessment and procedure"/>
    <n v="3"/>
    <n v="2"/>
    <x v="5"/>
    <x v="0"/>
    <s v="Medium"/>
    <s v="Pending"/>
    <s v="Production Supervisor"/>
    <x v="198"/>
  </r>
  <r>
    <s v="RA0229"/>
    <x v="191"/>
    <s v="Mechanical"/>
    <s v="Plant Area A"/>
    <s v="Welding and Cutting"/>
    <s v="Fire, fumes and hot work"/>
    <s v="Fire / Chemical"/>
    <s v="Respiratory irritation"/>
    <n v="5"/>
    <n v="4"/>
    <x v="5"/>
    <s v="Critical"/>
    <s v="Toolbox talk before work"/>
    <s v="Install additional physical guard"/>
    <n v="5"/>
    <n v="3"/>
    <x v="9"/>
    <x v="0"/>
    <s v="High"/>
    <s v="Implemented"/>
    <s v="HSE Officer"/>
    <x v="199"/>
  </r>
  <r>
    <s v="RA0230"/>
    <x v="192"/>
    <s v="Maintenance"/>
    <s v="Plant Area A"/>
    <s v="Mechanical Maintenance"/>
    <s v="Unexpected equipment movement"/>
    <s v="Mechanical"/>
    <s v="Serious injury"/>
    <n v="4"/>
    <n v="3"/>
    <x v="4"/>
    <s v="High"/>
    <s v="Standard operating procedure and supervision"/>
    <s v="Conduct refresher training"/>
    <n v="4"/>
    <n v="3"/>
    <x v="1"/>
    <x v="0"/>
    <s v="High"/>
    <s v="Implemented"/>
    <s v="Production Supervisor"/>
    <x v="200"/>
  </r>
  <r>
    <s v="RA0231"/>
    <x v="193"/>
    <s v="Production"/>
    <s v="Utilities Area"/>
    <s v="Packing Operation"/>
    <s v="Moving machinery and dust"/>
    <s v="Mechanical"/>
    <s v="Cuts"/>
    <n v="3"/>
    <n v="5"/>
    <x v="3"/>
    <s v="High"/>
    <s v="Standard operating procedure and supervision"/>
    <s v="Conduct refresher training"/>
    <n v="3"/>
    <n v="4"/>
    <x v="1"/>
    <x v="0"/>
    <s v="High"/>
    <s v="Implemented"/>
    <s v="Maintenance Supervisor"/>
    <x v="201"/>
  </r>
  <r>
    <s v="RA0232"/>
    <x v="194"/>
    <s v="Warehouse"/>
    <s v="Office"/>
    <s v="Forklift Operation"/>
    <s v="Vehicle-pedestrian interaction"/>
    <s v="Vehicle / Traffic"/>
    <s v="Serious injury"/>
    <n v="3"/>
    <n v="2"/>
    <x v="0"/>
    <s v="Medium"/>
    <s v="Toolbox talk before work"/>
    <s v="Install additional physical guard"/>
    <n v="2"/>
    <n v="2"/>
    <x v="6"/>
    <x v="0"/>
    <s v="Low"/>
    <s v="Implemented"/>
    <s v="Maintenance Supervisor"/>
    <x v="164"/>
  </r>
  <r>
    <s v="RA0233"/>
    <x v="195"/>
    <s v="Utilities"/>
    <s v="Office"/>
    <s v="Chemical Handling"/>
    <s v="Chemical exposure and spills"/>
    <s v="Chemical"/>
    <s v="Respiratory irritation"/>
    <n v="2"/>
    <n v="5"/>
    <x v="2"/>
    <s v="High"/>
    <s v="Standard operating procedure and supervision"/>
    <s v="Install warning signs and barriers"/>
    <n v="1"/>
    <n v="4"/>
    <x v="6"/>
    <x v="0"/>
    <s v="Low"/>
    <s v="Implemented"/>
    <s v="Production Supervisor"/>
    <x v="165"/>
  </r>
  <r>
    <s v="RA0234"/>
    <x v="196"/>
    <s v="Production"/>
    <s v="Laboratory"/>
    <s v="Packing Operation"/>
    <s v="Moving machinery and dust"/>
    <s v="Mechanical"/>
    <s v="Cuts"/>
    <n v="2"/>
    <n v="3"/>
    <x v="0"/>
    <s v="Medium"/>
    <s v="Safety signage and restricted access"/>
    <s v="Update risk assessment and procedure"/>
    <n v="1"/>
    <n v="2"/>
    <x v="0"/>
    <x v="0"/>
    <s v="Low"/>
    <s v="Pending"/>
    <s v="Production Supervisor"/>
    <x v="202"/>
  </r>
  <r>
    <s v="RA0235"/>
    <x v="197"/>
    <s v="Warehouse"/>
    <s v="Plant Area B"/>
    <s v="Material Stacking"/>
    <s v="Falling objects"/>
    <s v="Physical"/>
    <s v="Serious injury"/>
    <n v="3"/>
    <n v="2"/>
    <x v="0"/>
    <s v="Medium"/>
    <s v="Trained and authorized personnel only"/>
    <s v="Implement engineering control"/>
    <n v="2"/>
    <n v="2"/>
    <x v="6"/>
    <x v="0"/>
    <s v="Low"/>
    <s v="Partially Implemented"/>
    <s v="Production Supervisor"/>
    <x v="203"/>
  </r>
  <r>
    <s v="RA0236"/>
    <x v="198"/>
    <s v="Mechanical"/>
    <s v="Plant Area A"/>
    <s v="Pump Maintenance"/>
    <s v="Stored pressure and rotating parts"/>
    <s v="Mechanical"/>
    <s v="Crush injury"/>
    <n v="4"/>
    <n v="5"/>
    <x v="5"/>
    <s v="Critical"/>
    <s v="Standard operating procedure and supervision"/>
    <s v="Improve supervision and monitoring"/>
    <n v="3"/>
    <n v="5"/>
    <x v="9"/>
    <x v="0"/>
    <s v="High"/>
    <s v="Implemented"/>
    <s v="Production Supervisor"/>
    <x v="204"/>
  </r>
  <r>
    <s v="RA0237"/>
    <x v="88"/>
    <s v="Administration"/>
    <s v="Plant Area A"/>
    <s v="Office Work"/>
    <s v="Ergonomic hazards and slips/trips"/>
    <s v="Ergonomic"/>
    <s v="Musculoskeletal strain"/>
    <n v="4"/>
    <n v="5"/>
    <x v="5"/>
    <s v="Critical"/>
    <s v="Machine guarding and routine inspection"/>
    <s v="Provide specialized PPE"/>
    <n v="3"/>
    <n v="4"/>
    <x v="1"/>
    <x v="0"/>
    <s v="High"/>
    <s v="Pending"/>
    <s v="HSE Officer"/>
    <x v="88"/>
  </r>
  <r>
    <s v="RA0238"/>
    <x v="199"/>
    <s v="Maintenance"/>
    <s v="Plant Area A"/>
    <s v="Grinding Maintenance"/>
    <s v="Stored energy and moving parts"/>
    <s v="Mechanical"/>
    <s v="Amputation"/>
    <n v="2"/>
    <n v="5"/>
    <x v="2"/>
    <s v="High"/>
    <s v="Standard operating procedure and supervision"/>
    <s v="Provide specialized PPE"/>
    <n v="2"/>
    <n v="5"/>
    <x v="11"/>
    <x v="1"/>
    <s v="High"/>
    <s v="Partially Implemented"/>
    <s v="Maintenance Supervisor"/>
    <x v="205"/>
  </r>
  <r>
    <s v="RA0239"/>
    <x v="95"/>
    <s v="Mechanical"/>
    <s v="Plant Area B"/>
    <s v="Welding and Cutting"/>
    <s v="Fire, fumes and hot work"/>
    <s v="Fire / Chemical"/>
    <s v="Respiratory irritation"/>
    <n v="5"/>
    <n v="3"/>
    <x v="3"/>
    <s v="High"/>
    <s v="Toolbox talk before work"/>
    <s v="Verify PTW and isolation before work"/>
    <n v="4"/>
    <n v="3"/>
    <x v="1"/>
    <x v="0"/>
    <s v="High"/>
    <s v="Pending"/>
    <s v="Department Supervisor"/>
    <x v="95"/>
  </r>
  <r>
    <s v="RA0240"/>
    <x v="156"/>
    <s v="Maintenance"/>
    <s v="Plant Area B"/>
    <s v="Grinding Maintenance"/>
    <s v="Stored energy and moving parts"/>
    <s v="Mechanical"/>
    <s v="Amputation"/>
    <n v="5"/>
    <n v="2"/>
    <x v="2"/>
    <s v="High"/>
    <s v="Standard operating procedure and supervision"/>
    <s v="Improve supervision and monitoring"/>
    <n v="4"/>
    <n v="1"/>
    <x v="6"/>
    <x v="0"/>
    <s v="Low"/>
    <s v="Partially Implemented"/>
    <s v="Department Supervisor"/>
    <x v="206"/>
  </r>
  <r>
    <s v="RA0241"/>
    <x v="200"/>
    <s v="Production"/>
    <s v="Utilities Area"/>
    <s v="Packing Operation"/>
    <s v="Moving machinery and dust"/>
    <s v="Mechanical"/>
    <s v="Serious injury"/>
    <n v="3"/>
    <n v="2"/>
    <x v="0"/>
    <s v="Medium"/>
    <s v="Safety signage and restricted access"/>
    <s v="Improve supervision and monitoring"/>
    <n v="2"/>
    <n v="2"/>
    <x v="6"/>
    <x v="0"/>
    <s v="Low"/>
    <s v="Pending"/>
    <s v="Production Supervisor"/>
    <x v="148"/>
  </r>
  <r>
    <s v="RA0242"/>
    <x v="164"/>
    <s v="Maintenance"/>
    <s v="Laboratory"/>
    <s v="Grinding Maintenance"/>
    <s v="Stored energy and moving parts"/>
    <s v="Mechanical"/>
    <s v="Serious injury"/>
    <n v="4"/>
    <n v="3"/>
    <x v="4"/>
    <s v="High"/>
    <s v="Machine guarding and routine inspection"/>
    <s v="Conduct refresher training"/>
    <n v="3"/>
    <n v="2"/>
    <x v="5"/>
    <x v="0"/>
    <s v="Medium"/>
    <s v="Partially Implemented"/>
    <s v="Department Supervisor"/>
    <x v="207"/>
  </r>
  <r>
    <s v="RA0243"/>
    <x v="201"/>
    <s v="Electrical"/>
    <s v="Utilities Area"/>
    <s v="Electrical Panel Maintenance"/>
    <s v="Electric shock and arc flash"/>
    <s v="Electrical"/>
    <s v="Burn"/>
    <n v="3"/>
    <n v="2"/>
    <x v="0"/>
    <s v="Medium"/>
    <s v="Emergency response equipment available"/>
    <s v="Verify PTW and isolation before work"/>
    <n v="1"/>
    <n v="2"/>
    <x v="0"/>
    <x v="0"/>
    <s v="Low"/>
    <s v="Pending"/>
    <s v="HSE Officer"/>
    <x v="208"/>
  </r>
  <r>
    <s v="RA0244"/>
    <x v="78"/>
    <s v="Mechanical"/>
    <s v="Warehouse"/>
    <s v="Welding and Cutting"/>
    <s v="Fire, fumes and hot work"/>
    <s v="Fire / Chemical"/>
    <s v="Fire-related injury"/>
    <n v="3"/>
    <n v="4"/>
    <x v="4"/>
    <s v="High"/>
    <s v="Trained and authorized personnel only"/>
    <s v="Increase inspection frequency"/>
    <n v="3"/>
    <n v="4"/>
    <x v="1"/>
    <x v="0"/>
    <s v="High"/>
    <s v="Partially Implemented"/>
    <s v="HSE Engineer"/>
    <x v="77"/>
  </r>
  <r>
    <s v="RA0245"/>
    <x v="57"/>
    <s v="Mechanical"/>
    <s v="Utilities Area"/>
    <s v="Pump Maintenance"/>
    <s v="Stored pressure and rotating parts"/>
    <s v="Mechanical"/>
    <s v="Amputation"/>
    <n v="2"/>
    <n v="2"/>
    <x v="8"/>
    <s v="Low"/>
    <s v="PPE provided and mandatory"/>
    <s v="Verify PTW and isolation before work"/>
    <n v="1"/>
    <n v="2"/>
    <x v="0"/>
    <x v="0"/>
    <s v="Low"/>
    <s v="Implemented"/>
    <s v="HSE Engineer"/>
    <x v="209"/>
  </r>
  <r>
    <s v="RA0246"/>
    <x v="202"/>
    <s v="Production"/>
    <s v="Workshop"/>
    <s v="Work at Height"/>
    <s v="Fall from height"/>
    <s v="Work at Height"/>
    <s v="Fall injury"/>
    <n v="3"/>
    <n v="3"/>
    <x v="9"/>
    <s v="Medium"/>
    <s v="Machine guarding and routine inspection"/>
    <s v="Install warning signs and barriers"/>
    <n v="1"/>
    <n v="3"/>
    <x v="4"/>
    <x v="0"/>
    <s v="Low"/>
    <s v="Partially Implemented"/>
    <s v="Department Supervisor"/>
    <x v="210"/>
  </r>
  <r>
    <s v="RA0247"/>
    <x v="97"/>
    <s v="Mechanical"/>
    <s v="Plant Area B"/>
    <s v="Pump Maintenance"/>
    <s v="Stored pressure and rotating parts"/>
    <s v="Mechanical"/>
    <s v="Cuts"/>
    <n v="5"/>
    <n v="5"/>
    <x v="7"/>
    <s v="Critical"/>
    <s v="Standard operating procedure and supervision"/>
    <s v="Install warning signs and barriers"/>
    <n v="5"/>
    <n v="5"/>
    <x v="8"/>
    <x v="0"/>
    <s v="Critical"/>
    <s v="Pending"/>
    <s v="HSE Engineer"/>
    <x v="211"/>
  </r>
  <r>
    <s v="RA0248"/>
    <x v="203"/>
    <s v="Production"/>
    <s v="Plant Area A"/>
    <s v="Excavation Work"/>
    <s v="Collapse and underground services"/>
    <s v="Excavation"/>
    <s v="Collapse injury"/>
    <n v="2"/>
    <n v="5"/>
    <x v="2"/>
    <s v="High"/>
    <s v="Machine guarding and routine inspection"/>
    <s v="Verify PTW and isolation before work"/>
    <n v="2"/>
    <n v="4"/>
    <x v="10"/>
    <x v="0"/>
    <s v="Medium"/>
    <s v="Implemented"/>
    <s v="Production Supervisor"/>
    <x v="212"/>
  </r>
  <r>
    <s v="RA0249"/>
    <x v="11"/>
    <s v="Production"/>
    <s v="Workshop"/>
    <s v="Excavation Work"/>
    <s v="Collapse and underground services"/>
    <s v="Excavation"/>
    <s v="Fatal injury"/>
    <n v="2"/>
    <n v="3"/>
    <x v="0"/>
    <s v="Medium"/>
    <s v="Preventive maintenance program"/>
    <s v="Increase inspection frequency"/>
    <n v="1"/>
    <n v="3"/>
    <x v="4"/>
    <x v="0"/>
    <s v="Low"/>
    <s v="Implemented"/>
    <s v="Maintenance Supervisor"/>
    <x v="155"/>
  </r>
  <r>
    <s v="RA0250"/>
    <x v="204"/>
    <s v="Utilities"/>
    <s v="Workshop"/>
    <s v="Boiler Operation"/>
    <s v="High pressure and hot surfaces"/>
    <s v="Pressure / Thermal"/>
    <s v="Serious injury"/>
    <n v="5"/>
    <n v="5"/>
    <x v="7"/>
    <s v="Critical"/>
    <s v="PPE provided and mandatory"/>
    <s v="Verify PTW and isolation before work"/>
    <n v="4"/>
    <n v="5"/>
    <x v="12"/>
    <x v="0"/>
    <s v="Critical"/>
    <s v="Implemented"/>
    <s v="HSE Officer"/>
    <x v="213"/>
  </r>
  <r>
    <s v="RA0251"/>
    <x v="205"/>
    <s v="Electrical"/>
    <s v="Laboratory"/>
    <s v="Cable Installation"/>
    <s v="Electric shock and trip hazards"/>
    <s v="Electrical"/>
    <s v="Burn"/>
    <n v="4"/>
    <n v="3"/>
    <x v="4"/>
    <s v="High"/>
    <s v="Toolbox talk before work"/>
    <s v="Improve supervision and monitoring"/>
    <n v="3"/>
    <n v="3"/>
    <x v="3"/>
    <x v="0"/>
    <s v="Medium"/>
    <s v="Implemented"/>
    <s v="HSE Engineer"/>
    <x v="214"/>
  </r>
  <r>
    <s v="RA0252"/>
    <x v="8"/>
    <s v="Utilities"/>
    <s v="Laboratory"/>
    <s v="Compressed Air System"/>
    <s v="High pressure release"/>
    <s v="Pressure"/>
    <s v="Fatal injury"/>
    <n v="5"/>
    <n v="3"/>
    <x v="3"/>
    <s v="High"/>
    <s v="Standard operating procedure and supervision"/>
    <s v="Increase inspection frequency"/>
    <n v="4"/>
    <n v="2"/>
    <x v="10"/>
    <x v="0"/>
    <s v="Medium"/>
    <s v="Pending"/>
    <s v="Maintenance Supervisor"/>
    <x v="215"/>
  </r>
  <r>
    <s v="RA0253"/>
    <x v="206"/>
    <s v="Utilities"/>
    <s v="Plant Area A"/>
    <s v="Boiler Operation"/>
    <s v="High pressure and hot surfaces"/>
    <s v="Pressure / Thermal"/>
    <s v="Pressure-related injury"/>
    <n v="2"/>
    <n v="5"/>
    <x v="2"/>
    <s v="High"/>
    <s v="Safety signage and restricted access"/>
    <s v="Implement engineering control"/>
    <n v="2"/>
    <n v="4"/>
    <x v="10"/>
    <x v="0"/>
    <s v="Medium"/>
    <s v="Implemented"/>
    <s v="HSE Engineer"/>
    <x v="216"/>
  </r>
  <r>
    <s v="RA0254"/>
    <x v="207"/>
    <s v="Production"/>
    <s v="Office"/>
    <s v="Packing Operation"/>
    <s v="Moving machinery and dust"/>
    <s v="Mechanical"/>
    <s v="Serious injury"/>
    <n v="4"/>
    <n v="4"/>
    <x v="1"/>
    <s v="High"/>
    <s v="Safety signage and restricted access"/>
    <s v="Increase inspection frequency"/>
    <n v="4"/>
    <n v="3"/>
    <x v="1"/>
    <x v="0"/>
    <s v="High"/>
    <s v="Partially Implemented"/>
    <s v="Department Supervisor"/>
    <x v="217"/>
  </r>
  <r>
    <s v="RA0255"/>
    <x v="208"/>
    <s v="Production"/>
    <s v="Office"/>
    <s v="Excavation Work"/>
    <s v="Collapse and underground services"/>
    <s v="Excavation"/>
    <s v="Collapse injury"/>
    <n v="3"/>
    <n v="4"/>
    <x v="4"/>
    <s v="High"/>
    <s v="Trained and authorized personnel only"/>
    <s v="Install warning signs and barriers"/>
    <n v="2"/>
    <n v="3"/>
    <x v="5"/>
    <x v="0"/>
    <s v="Medium"/>
    <s v="Implemented"/>
    <s v="Department Supervisor"/>
    <x v="218"/>
  </r>
  <r>
    <s v="RA0256"/>
    <x v="209"/>
    <s v="Maintenance"/>
    <s v="Warehouse"/>
    <s v="Confined Space Entry"/>
    <s v="Oxygen deficiency / toxic atmosphere"/>
    <s v="Confined Space"/>
    <s v="Asphyxiation risk"/>
    <n v="4"/>
    <n v="3"/>
    <x v="4"/>
    <s v="High"/>
    <s v="PPE provided and mandatory"/>
    <s v="Update risk assessment and procedure"/>
    <n v="3"/>
    <n v="3"/>
    <x v="3"/>
    <x v="0"/>
    <s v="Medium"/>
    <s v="Pending"/>
    <s v="HSE Officer"/>
    <x v="219"/>
  </r>
  <r>
    <s v="RA0257"/>
    <x v="210"/>
    <s v="Production"/>
    <s v="Plant Area B"/>
    <s v="Kiln Operation"/>
    <s v="Hot surfaces and high temperature"/>
    <s v="Thermal"/>
    <s v="Burn"/>
    <n v="2"/>
    <n v="3"/>
    <x v="0"/>
    <s v="Medium"/>
    <s v="Toolbox talk before work"/>
    <s v="Conduct refresher training"/>
    <n v="1"/>
    <n v="2"/>
    <x v="0"/>
    <x v="0"/>
    <s v="Low"/>
    <s v="Partially Implemented"/>
    <s v="HSE Engineer"/>
    <x v="220"/>
  </r>
  <r>
    <s v="RA0258"/>
    <x v="211"/>
    <s v="Electrical"/>
    <s v="Plant Area A"/>
    <s v="Cable Installation"/>
    <s v="Electric shock and trip hazards"/>
    <s v="Electrical"/>
    <s v="Electric shock"/>
    <n v="2"/>
    <n v="3"/>
    <x v="0"/>
    <s v="Medium"/>
    <s v="Machine guarding and routine inspection"/>
    <s v="Conduct emergency drill"/>
    <n v="1"/>
    <n v="2"/>
    <x v="0"/>
    <x v="0"/>
    <s v="Low"/>
    <s v="Implemented"/>
    <s v="Department Supervisor"/>
    <x v="221"/>
  </r>
  <r>
    <s v="RA0259"/>
    <x v="212"/>
    <s v="Production"/>
    <s v="Workshop"/>
    <s v="Raw Material Handling"/>
    <s v="Moving equipment / conveyor"/>
    <s v="Mechanical"/>
    <s v="Serious injury"/>
    <n v="4"/>
    <n v="2"/>
    <x v="6"/>
    <s v="Medium"/>
    <s v="Safety signage and restricted access"/>
    <s v="Install warning signs and barriers"/>
    <n v="3"/>
    <n v="1"/>
    <x v="4"/>
    <x v="0"/>
    <s v="Low"/>
    <s v="Implemented"/>
    <s v="Maintenance Supervisor"/>
    <x v="222"/>
  </r>
  <r>
    <s v="RA0260"/>
    <x v="213"/>
    <s v="Warehouse"/>
    <s v="Utilities Area"/>
    <s v="Material Stacking"/>
    <s v="Falling objects"/>
    <s v="Physical"/>
    <s v="Head injury"/>
    <n v="5"/>
    <n v="3"/>
    <x v="3"/>
    <s v="High"/>
    <s v="Machine guarding and routine inspection"/>
    <s v="Implement engineering control"/>
    <n v="4"/>
    <n v="3"/>
    <x v="1"/>
    <x v="0"/>
    <s v="High"/>
    <s v="Partially Implemented"/>
    <s v="Maintenance Supervisor"/>
    <x v="223"/>
  </r>
  <r>
    <s v="RA0261"/>
    <x v="214"/>
    <s v="Mechanical"/>
    <s v="Plant Area A"/>
    <s v="Welding and Cutting"/>
    <s v="Fire, fumes and hot work"/>
    <s v="Fire / Chemical"/>
    <s v="Fire-related injury"/>
    <n v="5"/>
    <n v="4"/>
    <x v="5"/>
    <s v="Critical"/>
    <s v="Standard operating procedure and supervision"/>
    <s v="Conduct refresher training"/>
    <n v="4"/>
    <n v="4"/>
    <x v="7"/>
    <x v="0"/>
    <s v="High"/>
    <s v="Pending"/>
    <s v="Department Supervisor"/>
    <x v="224"/>
  </r>
  <r>
    <s v="RA0262"/>
    <x v="215"/>
    <s v="Maintenance"/>
    <s v="Office"/>
    <s v="Mechanical Maintenance"/>
    <s v="Unexpected equipment movement"/>
    <s v="Mechanical"/>
    <s v="Serious injury"/>
    <n v="2"/>
    <n v="3"/>
    <x v="0"/>
    <s v="Medium"/>
    <s v="Trained and authorized personnel only"/>
    <s v="Conduct refresher training"/>
    <n v="1"/>
    <n v="2"/>
    <x v="0"/>
    <x v="0"/>
    <s v="Low"/>
    <s v="Pending"/>
    <s v="HSE Officer"/>
    <x v="225"/>
  </r>
  <r>
    <s v="RA0263"/>
    <x v="216"/>
    <s v="Utilities"/>
    <s v="Workshop"/>
    <s v="Compressed Air System"/>
    <s v="High pressure release"/>
    <s v="Pressure"/>
    <s v="Impact injury"/>
    <n v="4"/>
    <n v="3"/>
    <x v="4"/>
    <s v="High"/>
    <s v="Trained and authorized personnel only"/>
    <s v="Provide specialized PPE"/>
    <n v="4"/>
    <n v="2"/>
    <x v="10"/>
    <x v="0"/>
    <s v="Medium"/>
    <s v="Implemented"/>
    <s v="Production Supervisor"/>
    <x v="117"/>
  </r>
  <r>
    <s v="RA0264"/>
    <x v="213"/>
    <s v="Electrical"/>
    <s v="Plant Area A"/>
    <s v="Electrical Panel Maintenance"/>
    <s v="Electric shock and arc flash"/>
    <s v="Electrical"/>
    <s v="Burn"/>
    <n v="5"/>
    <n v="4"/>
    <x v="5"/>
    <s v="Critical"/>
    <s v="Trained and authorized personnel only"/>
    <s v="Install warning signs and barriers"/>
    <n v="4"/>
    <n v="3"/>
    <x v="1"/>
    <x v="0"/>
    <s v="High"/>
    <s v="Pending"/>
    <s v="Production Supervisor"/>
    <x v="226"/>
  </r>
  <r>
    <s v="RA0265"/>
    <x v="56"/>
    <s v="Warehouse"/>
    <s v="Warehouse"/>
    <s v="Material Stacking"/>
    <s v="Falling objects"/>
    <s v="Physical"/>
    <s v="Serious injury"/>
    <n v="4"/>
    <n v="5"/>
    <x v="5"/>
    <s v="Critical"/>
    <s v="Emergency response equipment available"/>
    <s v="Update risk assessment and procedure"/>
    <n v="2"/>
    <n v="4"/>
    <x v="10"/>
    <x v="0"/>
    <s v="Medium"/>
    <s v="Pending"/>
    <s v="Department Supervisor"/>
    <x v="227"/>
  </r>
  <r>
    <s v="RA0266"/>
    <x v="23"/>
    <s v="Production"/>
    <s v="Office"/>
    <s v="Kiln Operation"/>
    <s v="Hot surfaces and high temperature"/>
    <s v="Thermal"/>
    <s v="Heat stress"/>
    <n v="2"/>
    <n v="4"/>
    <x v="6"/>
    <s v="Medium"/>
    <s v="Standard operating procedure and supervision"/>
    <s v="Provide specialized PPE"/>
    <n v="2"/>
    <n v="3"/>
    <x v="5"/>
    <x v="0"/>
    <s v="Medium"/>
    <s v="Partially Implemented"/>
    <s v="HSE Engineer"/>
    <x v="228"/>
  </r>
  <r>
    <s v="RA0267"/>
    <x v="142"/>
    <s v="Production"/>
    <s v="Plant Area B"/>
    <s v="Kiln Operation"/>
    <s v="Hot surfaces and high temperature"/>
    <s v="Thermal"/>
    <s v="Serious burn"/>
    <n v="4"/>
    <n v="4"/>
    <x v="1"/>
    <s v="High"/>
    <s v="PPE provided and mandatory"/>
    <s v="Install warning signs and barriers"/>
    <n v="4"/>
    <n v="3"/>
    <x v="1"/>
    <x v="0"/>
    <s v="High"/>
    <s v="Pending"/>
    <s v="Department Supervisor"/>
    <x v="229"/>
  </r>
  <r>
    <s v="RA0268"/>
    <x v="217"/>
    <s v="Electrical"/>
    <s v="Plant Area A"/>
    <s v="Electrical Panel Maintenance"/>
    <s v="Electric shock and arc flash"/>
    <s v="Electrical"/>
    <s v="Burn"/>
    <n v="5"/>
    <n v="4"/>
    <x v="5"/>
    <s v="Critical"/>
    <s v="Trained and authorized personnel only"/>
    <s v="Implement engineering control"/>
    <n v="4"/>
    <n v="4"/>
    <x v="7"/>
    <x v="0"/>
    <s v="High"/>
    <s v="Pending"/>
    <s v="HSE Engineer"/>
    <x v="230"/>
  </r>
  <r>
    <s v="RA0269"/>
    <x v="218"/>
    <s v="Electrical"/>
    <s v="Plant Area B"/>
    <s v="Electrical Panel Maintenance"/>
    <s v="Electric shock and arc flash"/>
    <s v="Electrical"/>
    <s v="Burn"/>
    <n v="4"/>
    <n v="5"/>
    <x v="5"/>
    <s v="Critical"/>
    <s v="Machine guarding and routine inspection"/>
    <s v="Update risk assessment and procedure"/>
    <n v="3"/>
    <n v="5"/>
    <x v="9"/>
    <x v="0"/>
    <s v="High"/>
    <s v="Pending"/>
    <s v="Production Supervisor"/>
    <x v="231"/>
  </r>
  <r>
    <s v="RA0270"/>
    <x v="219"/>
    <s v="Maintenance"/>
    <s v="Laboratory"/>
    <s v="Confined Space Entry"/>
    <s v="Oxygen deficiency / toxic atmosphere"/>
    <s v="Confined Space"/>
    <s v="Asphyxiation risk"/>
    <n v="2"/>
    <n v="4"/>
    <x v="6"/>
    <s v="Medium"/>
    <s v="Toolbox talk before work"/>
    <s v="Install additional physical guard"/>
    <n v="1"/>
    <n v="4"/>
    <x v="6"/>
    <x v="0"/>
    <s v="Low"/>
    <s v="Partially Implemented"/>
    <s v="HSE Officer"/>
    <x v="25"/>
  </r>
  <r>
    <s v="RA0271"/>
    <x v="220"/>
    <s v="Utilities"/>
    <s v="Laboratory"/>
    <s v="Compressed Air System"/>
    <s v="High pressure release"/>
    <s v="Pressure"/>
    <s v="Impact injury"/>
    <n v="5"/>
    <n v="2"/>
    <x v="2"/>
    <s v="High"/>
    <s v="Standard operating procedure and supervision"/>
    <s v="Install warning signs and barriers"/>
    <n v="3"/>
    <n v="2"/>
    <x v="5"/>
    <x v="0"/>
    <s v="Medium"/>
    <s v="Pending"/>
    <s v="HSE Officer"/>
    <x v="232"/>
  </r>
  <r>
    <s v="RA0272"/>
    <x v="221"/>
    <s v="Maintenance"/>
    <s v="Workshop"/>
    <s v="Grinding Maintenance"/>
    <s v="Stored energy and moving parts"/>
    <s v="Mechanical"/>
    <s v="Serious injury"/>
    <n v="2"/>
    <n v="2"/>
    <x v="8"/>
    <s v="Low"/>
    <s v="Preventive maintenance program"/>
    <s v="Improve supervision and monitoring"/>
    <n v="1"/>
    <n v="1"/>
    <x v="13"/>
    <x v="0"/>
    <s v="Low"/>
    <s v="Pending"/>
    <s v="Maintenance Supervisor"/>
    <x v="162"/>
  </r>
  <r>
    <s v="RA0273"/>
    <x v="94"/>
    <s v="Quality"/>
    <s v="Laboratory"/>
    <s v="Laboratory Testing"/>
    <s v="Chemical exposure"/>
    <s v="Chemical"/>
    <s v="Eye injury"/>
    <n v="4"/>
    <n v="5"/>
    <x v="5"/>
    <s v="Critical"/>
    <s v="Emergency response equipment available"/>
    <s v="Conduct refresher training"/>
    <n v="3"/>
    <n v="4"/>
    <x v="1"/>
    <x v="0"/>
    <s v="High"/>
    <s v="Implemented"/>
    <s v="Department Supervisor"/>
    <x v="23"/>
  </r>
  <r>
    <s v="RA0274"/>
    <x v="4"/>
    <s v="Mechanical"/>
    <s v="Plant Area A"/>
    <s v="Pump Maintenance"/>
    <s v="Stored pressure and rotating parts"/>
    <s v="Mechanical"/>
    <s v="Serious injury"/>
    <n v="3"/>
    <n v="2"/>
    <x v="0"/>
    <s v="Medium"/>
    <s v="Machine guarding and routine inspection"/>
    <s v="Update risk assessment and procedure"/>
    <n v="2"/>
    <n v="1"/>
    <x v="0"/>
    <x v="0"/>
    <s v="Low"/>
    <s v="Implemented"/>
    <s v="HSE Officer"/>
    <x v="233"/>
  </r>
  <r>
    <s v="RA0275"/>
    <x v="222"/>
    <s v="Administration"/>
    <s v="Workshop"/>
    <s v="Office Work"/>
    <s v="Ergonomic hazards and slips/trips"/>
    <s v="Ergonomic"/>
    <s v="Musculoskeletal strain"/>
    <n v="3"/>
    <n v="2"/>
    <x v="0"/>
    <s v="Medium"/>
    <s v="Toolbox talk before work"/>
    <s v="Improve supervision and monitoring"/>
    <n v="1"/>
    <n v="2"/>
    <x v="0"/>
    <x v="0"/>
    <s v="Low"/>
    <s v="Partially Implemented"/>
    <s v="HSE Engineer"/>
    <x v="234"/>
  </r>
  <r>
    <s v="RA0276"/>
    <x v="223"/>
    <s v="Maintenance"/>
    <s v="Plant Area B"/>
    <s v="Mechanical Maintenance"/>
    <s v="Unexpected equipment movement"/>
    <s v="Mechanical"/>
    <s v="Amputation"/>
    <n v="3"/>
    <n v="4"/>
    <x v="4"/>
    <s v="High"/>
    <s v="Preventive maintenance program"/>
    <s v="Update risk assessment and procedure"/>
    <n v="3"/>
    <n v="4"/>
    <x v="1"/>
    <x v="1"/>
    <s v="High"/>
    <s v="Partially Implemented"/>
    <s v="Production Supervisor"/>
    <x v="235"/>
  </r>
  <r>
    <s v="RA0277"/>
    <x v="224"/>
    <s v="Electrical"/>
    <s v="Plant Area B"/>
    <s v="Electrical Panel Maintenance"/>
    <s v="Electric shock and arc flash"/>
    <s v="Electrical"/>
    <s v="Serious injury"/>
    <n v="3"/>
    <n v="4"/>
    <x v="4"/>
    <s v="High"/>
    <s v="Machine guarding and routine inspection"/>
    <s v="Verify PTW and isolation before work"/>
    <n v="3"/>
    <n v="3"/>
    <x v="3"/>
    <x v="0"/>
    <s v="Medium"/>
    <s v="Implemented"/>
    <s v="HSE Officer"/>
    <x v="236"/>
  </r>
  <r>
    <s v="RA0278"/>
    <x v="200"/>
    <s v="Utilities"/>
    <s v="Utilities Area"/>
    <s v="Chemical Handling"/>
    <s v="Chemical exposure and spills"/>
    <s v="Chemical"/>
    <s v="Skin irritation"/>
    <n v="5"/>
    <n v="3"/>
    <x v="3"/>
    <s v="High"/>
    <s v="Safety signage and restricted access"/>
    <s v="Conduct refresher training"/>
    <n v="5"/>
    <n v="2"/>
    <x v="11"/>
    <x v="0"/>
    <s v="High"/>
    <s v="Partially Implemented"/>
    <s v="Maintenance Supervisor"/>
    <x v="148"/>
  </r>
  <r>
    <s v="RA0279"/>
    <x v="225"/>
    <s v="Production"/>
    <s v="Laboratory"/>
    <s v="Packing Operation"/>
    <s v="Moving machinery and dust"/>
    <s v="Mechanical"/>
    <s v="Cuts"/>
    <n v="4"/>
    <n v="4"/>
    <x v="1"/>
    <s v="High"/>
    <s v="Safety signage and restricted access"/>
    <s v="Install warning signs and barriers"/>
    <n v="3"/>
    <n v="4"/>
    <x v="1"/>
    <x v="0"/>
    <s v="High"/>
    <s v="Partially Implemented"/>
    <s v="HSE Engineer"/>
    <x v="237"/>
  </r>
  <r>
    <s v="RA0280"/>
    <x v="183"/>
    <s v="Quality"/>
    <s v="Workshop"/>
    <s v="Laboratory Testing"/>
    <s v="Chemical exposure"/>
    <s v="Chemical"/>
    <s v="Respiratory irritation"/>
    <n v="2"/>
    <n v="4"/>
    <x v="6"/>
    <s v="Medium"/>
    <s v="Machine guarding and routine inspection"/>
    <s v="Update risk assessment and procedure"/>
    <n v="1"/>
    <n v="3"/>
    <x v="4"/>
    <x v="0"/>
    <s v="Low"/>
    <s v="Pending"/>
    <s v="Maintenance Supervisor"/>
    <x v="192"/>
  </r>
  <r>
    <s v="RA0281"/>
    <x v="59"/>
    <s v="Electrical"/>
    <s v="Workshop"/>
    <s v="Electrical Panel Maintenance"/>
    <s v="Electric shock and arc flash"/>
    <s v="Electrical"/>
    <s v="Electric shock"/>
    <n v="3"/>
    <n v="3"/>
    <x v="9"/>
    <s v="Medium"/>
    <s v="Trained and authorized personnel only"/>
    <s v="Verify PTW and isolation before work"/>
    <n v="2"/>
    <n v="2"/>
    <x v="6"/>
    <x v="0"/>
    <s v="Low"/>
    <s v="Partially Implemented"/>
    <s v="HSE Engineer"/>
    <x v="238"/>
  </r>
  <r>
    <s v="RA0282"/>
    <x v="226"/>
    <s v="Electrical"/>
    <s v="Warehouse"/>
    <s v="Electrical Panel Maintenance"/>
    <s v="Electric shock and arc flash"/>
    <s v="Electrical"/>
    <s v="Electric shock"/>
    <n v="3"/>
    <n v="5"/>
    <x v="3"/>
    <s v="High"/>
    <s v="Toolbox talk before work"/>
    <s v="Verify PTW and isolation before work"/>
    <n v="3"/>
    <n v="5"/>
    <x v="9"/>
    <x v="1"/>
    <s v="High"/>
    <s v="Pending"/>
    <s v="Production Supervisor"/>
    <x v="239"/>
  </r>
  <r>
    <s v="RA0283"/>
    <x v="227"/>
    <s v="Production"/>
    <s v="Plant Area A"/>
    <s v="Kiln Operation"/>
    <s v="Hot surfaces and high temperature"/>
    <s v="Thermal"/>
    <s v="Serious burn"/>
    <n v="5"/>
    <n v="5"/>
    <x v="7"/>
    <s v="Critical"/>
    <s v="Machine guarding and routine inspection"/>
    <s v="Update risk assessment and procedure"/>
    <n v="4"/>
    <n v="5"/>
    <x v="12"/>
    <x v="0"/>
    <s v="Critical"/>
    <s v="Implemented"/>
    <s v="HSE Engineer"/>
    <x v="111"/>
  </r>
  <r>
    <s v="RA0284"/>
    <x v="180"/>
    <s v="Mechanical"/>
    <s v="Workshop"/>
    <s v="Welding and Cutting"/>
    <s v="Fire, fumes and hot work"/>
    <s v="Fire / Chemical"/>
    <s v="Burn"/>
    <n v="2"/>
    <n v="2"/>
    <x v="8"/>
    <s v="Low"/>
    <s v="Preventive maintenance program"/>
    <s v="Install warning signs and barriers"/>
    <n v="2"/>
    <n v="2"/>
    <x v="6"/>
    <x v="1"/>
    <s v="Low"/>
    <s v="Implemented"/>
    <s v="HSE Engineer"/>
    <x v="240"/>
  </r>
  <r>
    <s v="RA0285"/>
    <x v="112"/>
    <s v="Mechanical"/>
    <s v="Laboratory"/>
    <s v="Welding and Cutting"/>
    <s v="Fire, fumes and hot work"/>
    <s v="Fire / Chemical"/>
    <s v="Fire-related injury"/>
    <n v="2"/>
    <n v="2"/>
    <x v="8"/>
    <s v="Low"/>
    <s v="Trained and authorized personnel only"/>
    <s v="Implement engineering control"/>
    <n v="1"/>
    <n v="2"/>
    <x v="0"/>
    <x v="0"/>
    <s v="Low"/>
    <s v="Implemented"/>
    <s v="Department Supervisor"/>
    <x v="112"/>
  </r>
  <r>
    <s v="RA0286"/>
    <x v="201"/>
    <s v="Quality"/>
    <s v="Office"/>
    <s v="Laboratory Testing"/>
    <s v="Chemical exposure"/>
    <s v="Chemical"/>
    <s v="Eye injury"/>
    <n v="4"/>
    <n v="2"/>
    <x v="6"/>
    <s v="Medium"/>
    <s v="Emergency response equipment available"/>
    <s v="Verify PTW and isolation before work"/>
    <n v="2"/>
    <n v="2"/>
    <x v="6"/>
    <x v="0"/>
    <s v="Low"/>
    <s v="Partially Implemented"/>
    <s v="HSE Officer"/>
    <x v="208"/>
  </r>
  <r>
    <s v="RA0287"/>
    <x v="228"/>
    <s v="Production"/>
    <s v="Office"/>
    <s v="Work at Height"/>
    <s v="Fall from height"/>
    <s v="Work at Height"/>
    <s v="Fatal injury"/>
    <n v="3"/>
    <n v="4"/>
    <x v="4"/>
    <s v="High"/>
    <s v="Emergency response equipment available"/>
    <s v="Conduct emergency drill"/>
    <n v="3"/>
    <n v="3"/>
    <x v="3"/>
    <x v="0"/>
    <s v="Medium"/>
    <s v="Partially Implemented"/>
    <s v="Department Supervisor"/>
    <x v="241"/>
  </r>
  <r>
    <s v="RA0288"/>
    <x v="229"/>
    <s v="Quality"/>
    <s v="Workshop"/>
    <s v="Laboratory Testing"/>
    <s v="Chemical exposure"/>
    <s v="Chemical"/>
    <s v="Eye injury"/>
    <n v="3"/>
    <n v="3"/>
    <x v="9"/>
    <s v="Medium"/>
    <s v="Preventive maintenance program"/>
    <s v="Provide specialized PPE"/>
    <n v="2"/>
    <n v="3"/>
    <x v="5"/>
    <x v="0"/>
    <s v="Medium"/>
    <s v="Pending"/>
    <s v="Department Supervisor"/>
    <x v="242"/>
  </r>
  <r>
    <s v="RA0289"/>
    <x v="230"/>
    <s v="Maintenance"/>
    <s v="Office"/>
    <s v="Confined Space Entry"/>
    <s v="Oxygen deficiency / toxic atmosphere"/>
    <s v="Confined Space"/>
    <s v="Toxic exposure"/>
    <n v="3"/>
    <n v="5"/>
    <x v="3"/>
    <s v="High"/>
    <s v="Trained and authorized personnel only"/>
    <s v="Install additional physical guard"/>
    <n v="2"/>
    <n v="4"/>
    <x v="10"/>
    <x v="0"/>
    <s v="Medium"/>
    <s v="Implemented"/>
    <s v="HSE Officer"/>
    <x v="243"/>
  </r>
  <r>
    <s v="RA0290"/>
    <x v="187"/>
    <s v="Utilities"/>
    <s v="Utilities Area"/>
    <s v="Chemical Handling"/>
    <s v="Chemical exposure and spills"/>
    <s v="Chemical"/>
    <s v="Skin irritation"/>
    <n v="4"/>
    <n v="4"/>
    <x v="1"/>
    <s v="High"/>
    <s v="Emergency response equipment available"/>
    <s v="Increase inspection frequency"/>
    <n v="3"/>
    <n v="3"/>
    <x v="3"/>
    <x v="0"/>
    <s v="Medium"/>
    <s v="Pending"/>
    <s v="HSE Officer"/>
    <x v="244"/>
  </r>
  <r>
    <s v="RA0291"/>
    <x v="231"/>
    <s v="Production"/>
    <s v="Plant Area A"/>
    <s v="Packing Operation"/>
    <s v="Moving machinery and dust"/>
    <s v="Mechanical"/>
    <s v="Crush injury"/>
    <n v="4"/>
    <n v="2"/>
    <x v="6"/>
    <s v="Medium"/>
    <s v="Standard operating procedure and supervision"/>
    <s v="Install warning signs and barriers"/>
    <n v="4"/>
    <n v="2"/>
    <x v="10"/>
    <x v="0"/>
    <s v="Medium"/>
    <s v="Pending"/>
    <s v="Maintenance Supervisor"/>
    <x v="245"/>
  </r>
  <r>
    <s v="RA0292"/>
    <x v="32"/>
    <s v="Quality"/>
    <s v="Laboratory"/>
    <s v="Laboratory Testing"/>
    <s v="Chemical exposure"/>
    <s v="Chemical"/>
    <s v="Eye injury"/>
    <n v="3"/>
    <n v="2"/>
    <x v="0"/>
    <s v="Medium"/>
    <s v="Standard operating procedure and supervision"/>
    <s v="Update risk assessment and procedure"/>
    <n v="3"/>
    <n v="2"/>
    <x v="5"/>
    <x v="1"/>
    <s v="Medium"/>
    <s v="Partially Implemented"/>
    <s v="HSE Engineer"/>
    <x v="246"/>
  </r>
  <r>
    <s v="RA0293"/>
    <x v="232"/>
    <s v="Production"/>
    <s v="Plant Area B"/>
    <s v="Raw Material Handling"/>
    <s v="Moving equipment / conveyor"/>
    <s v="Mechanical"/>
    <s v="Cuts"/>
    <n v="2"/>
    <n v="3"/>
    <x v="0"/>
    <s v="Medium"/>
    <s v="Safety signage and restricted access"/>
    <s v="Increase inspection frequency"/>
    <n v="1"/>
    <n v="3"/>
    <x v="4"/>
    <x v="0"/>
    <s v="Low"/>
    <s v="Implemented"/>
    <s v="HSE Engineer"/>
    <x v="247"/>
  </r>
  <r>
    <s v="RA0294"/>
    <x v="233"/>
    <s v="Mechanical"/>
    <s v="Warehouse"/>
    <s v="Welding and Cutting"/>
    <s v="Fire, fumes and hot work"/>
    <s v="Fire / Chemical"/>
    <s v="Burn"/>
    <n v="4"/>
    <n v="5"/>
    <x v="5"/>
    <s v="Critical"/>
    <s v="Safety signage and restricted access"/>
    <s v="Update risk assessment and procedure"/>
    <n v="2"/>
    <n v="4"/>
    <x v="10"/>
    <x v="0"/>
    <s v="Medium"/>
    <s v="Pending"/>
    <s v="Department Supervisor"/>
    <x v="18"/>
  </r>
  <r>
    <s v="RA0295"/>
    <x v="234"/>
    <s v="Maintenance"/>
    <s v="Laboratory"/>
    <s v="Grinding Maintenance"/>
    <s v="Stored energy and moving parts"/>
    <s v="Mechanical"/>
    <s v="Serious injury"/>
    <n v="3"/>
    <n v="5"/>
    <x v="3"/>
    <s v="High"/>
    <s v="Safety signage and restricted access"/>
    <s v="Conduct refresher training"/>
    <n v="1"/>
    <n v="4"/>
    <x v="6"/>
    <x v="0"/>
    <s v="Low"/>
    <s v="Implemented"/>
    <s v="Department Supervisor"/>
    <x v="46"/>
  </r>
  <r>
    <s v="RA0296"/>
    <x v="235"/>
    <s v="Utilities"/>
    <s v="Laboratory"/>
    <s v="Chemical Handling"/>
    <s v="Chemical exposure and spills"/>
    <s v="Chemical"/>
    <s v="Eye injury"/>
    <n v="2"/>
    <n v="5"/>
    <x v="2"/>
    <s v="High"/>
    <s v="Preventive maintenance program"/>
    <s v="Conduct refresher training"/>
    <n v="1"/>
    <n v="5"/>
    <x v="2"/>
    <x v="0"/>
    <s v="Medium"/>
    <s v="Pending"/>
    <s v="Production Supervisor"/>
    <x v="248"/>
  </r>
  <r>
    <s v="RA0297"/>
    <x v="236"/>
    <s v="Maintenance"/>
    <s v="Plant Area B"/>
    <s v="Mechanical Maintenance"/>
    <s v="Unexpected equipment movement"/>
    <s v="Mechanical"/>
    <s v="Serious injury"/>
    <n v="4"/>
    <n v="3"/>
    <x v="4"/>
    <s v="High"/>
    <s v="Trained and authorized personnel only"/>
    <s v="Implement engineering control"/>
    <n v="4"/>
    <n v="3"/>
    <x v="1"/>
    <x v="1"/>
    <s v="High"/>
    <s v="Pending"/>
    <s v="HSE Officer"/>
    <x v="249"/>
  </r>
  <r>
    <s v="RA0298"/>
    <x v="237"/>
    <s v="Mechanical"/>
    <s v="Workshop"/>
    <s v="Welding and Cutting"/>
    <s v="Fire, fumes and hot work"/>
    <s v="Fire / Chemical"/>
    <s v="Burn"/>
    <n v="5"/>
    <n v="4"/>
    <x v="5"/>
    <s v="Critical"/>
    <s v="Emergency response equipment available"/>
    <s v="Conduct emergency drill"/>
    <n v="3"/>
    <n v="4"/>
    <x v="1"/>
    <x v="0"/>
    <s v="High"/>
    <s v="Implemented"/>
    <s v="Maintenance Supervisor"/>
    <x v="250"/>
  </r>
  <r>
    <s v="RA0299"/>
    <x v="238"/>
    <s v="Mechanical"/>
    <s v="Plant Area B"/>
    <s v="Pump Maintenance"/>
    <s v="Stored pressure and rotating parts"/>
    <s v="Mechanical"/>
    <s v="Amputation"/>
    <n v="3"/>
    <n v="2"/>
    <x v="0"/>
    <s v="Medium"/>
    <s v="Standard operating procedure and supervision"/>
    <s v="Conduct refresher training"/>
    <n v="3"/>
    <n v="2"/>
    <x v="5"/>
    <x v="1"/>
    <s v="Medium"/>
    <s v="Partially Implemented"/>
    <s v="HSE Engineer"/>
    <x v="251"/>
  </r>
  <r>
    <s v="RA0300"/>
    <x v="132"/>
    <s v="Utilities"/>
    <s v="Office"/>
    <s v="Chemical Handling"/>
    <s v="Chemical exposure and spills"/>
    <s v="Chemical"/>
    <s v="Skin irritation"/>
    <n v="4"/>
    <n v="3"/>
    <x v="4"/>
    <s v="High"/>
    <s v="Safety signage and restricted access"/>
    <s v="Install warning signs and barriers"/>
    <n v="3"/>
    <n v="2"/>
    <x v="5"/>
    <x v="0"/>
    <s v="Medium"/>
    <s v="Partially Implemented"/>
    <s v="HSE Officer"/>
    <x v="131"/>
  </r>
  <r>
    <s v="RA0301"/>
    <x v="239"/>
    <s v="Utilities"/>
    <s v="Laboratory"/>
    <s v="Compressed Air System"/>
    <s v="High pressure release"/>
    <s v="Pressure"/>
    <s v="Impact injury"/>
    <n v="4"/>
    <n v="3"/>
    <x v="4"/>
    <s v="High"/>
    <s v="Preventive maintenance program"/>
    <s v="Install warning signs and barriers"/>
    <n v="3"/>
    <n v="3"/>
    <x v="3"/>
    <x v="0"/>
    <s v="Medium"/>
    <s v="Partially Implemented"/>
    <s v="HSE Engineer"/>
    <x v="252"/>
  </r>
  <r>
    <s v="RA0302"/>
    <x v="240"/>
    <s v="Maintenance"/>
    <s v="Warehouse"/>
    <s v="Grinding Maintenance"/>
    <s v="Stored energy and moving parts"/>
    <s v="Mechanical"/>
    <s v="Serious injury"/>
    <n v="3"/>
    <n v="2"/>
    <x v="0"/>
    <s v="Medium"/>
    <s v="Preventive maintenance program"/>
    <s v="Implement engineering control"/>
    <n v="2"/>
    <n v="1"/>
    <x v="0"/>
    <x v="0"/>
    <s v="Low"/>
    <s v="Pending"/>
    <s v="Department Supervisor"/>
    <x v="253"/>
  </r>
  <r>
    <s v="RA0303"/>
    <x v="163"/>
    <s v="Mechanical"/>
    <s v="Office"/>
    <s v="Pump Maintenance"/>
    <s v="Stored pressure and rotating parts"/>
    <s v="Mechanical"/>
    <s v="Crush injury"/>
    <n v="4"/>
    <n v="4"/>
    <x v="1"/>
    <s v="High"/>
    <s v="PPE provided and mandatory"/>
    <s v="Provide specialized PPE"/>
    <n v="3"/>
    <n v="4"/>
    <x v="1"/>
    <x v="0"/>
    <s v="High"/>
    <s v="Partially Implemented"/>
    <s v="Production Supervisor"/>
    <x v="254"/>
  </r>
  <r>
    <s v="RA0304"/>
    <x v="241"/>
    <s v="Mechanical"/>
    <s v="Workshop"/>
    <s v="Pump Maintenance"/>
    <s v="Stored pressure and rotating parts"/>
    <s v="Mechanical"/>
    <s v="Serious injury"/>
    <n v="4"/>
    <n v="3"/>
    <x v="4"/>
    <s v="High"/>
    <s v="PPE provided and mandatory"/>
    <s v="Install additional physical guard"/>
    <n v="4"/>
    <n v="3"/>
    <x v="1"/>
    <x v="1"/>
    <s v="High"/>
    <s v="Partially Implemented"/>
    <s v="HSE Officer"/>
    <x v="255"/>
  </r>
  <r>
    <s v="RA0305"/>
    <x v="242"/>
    <s v="Production"/>
    <s v="Office"/>
    <s v="Work at Height"/>
    <s v="Fall from height"/>
    <s v="Work at Height"/>
    <s v="Fall injury"/>
    <n v="3"/>
    <n v="5"/>
    <x v="3"/>
    <s v="High"/>
    <s v="PPE provided and mandatory"/>
    <s v="Increase inspection frequency"/>
    <n v="2"/>
    <n v="4"/>
    <x v="10"/>
    <x v="0"/>
    <s v="Medium"/>
    <s v="Partially Implemented"/>
    <s v="Department Supervisor"/>
    <x v="256"/>
  </r>
  <r>
    <s v="RA0306"/>
    <x v="243"/>
    <s v="Maintenance"/>
    <s v="Plant Area B"/>
    <s v="Confined Space Entry"/>
    <s v="Oxygen deficiency / toxic atmosphere"/>
    <s v="Confined Space"/>
    <s v="Serious injury"/>
    <n v="3"/>
    <n v="2"/>
    <x v="0"/>
    <s v="Medium"/>
    <s v="Safety signage and restricted access"/>
    <s v="Increase inspection frequency"/>
    <n v="3"/>
    <n v="2"/>
    <x v="5"/>
    <x v="0"/>
    <s v="Medium"/>
    <s v="Partially Implemented"/>
    <s v="Maintenance Supervisor"/>
    <x v="257"/>
  </r>
  <r>
    <s v="RA0307"/>
    <x v="244"/>
    <s v="Maintenance"/>
    <s v="Plant Area A"/>
    <s v="Grinding Maintenance"/>
    <s v="Stored energy and moving parts"/>
    <s v="Mechanical"/>
    <s v="Serious injury"/>
    <n v="5"/>
    <n v="2"/>
    <x v="2"/>
    <s v="High"/>
    <s v="Machine guarding and routine inspection"/>
    <s v="Conduct emergency drill"/>
    <n v="3"/>
    <n v="2"/>
    <x v="5"/>
    <x v="0"/>
    <s v="Medium"/>
    <s v="Implemented"/>
    <s v="Production Supervisor"/>
    <x v="258"/>
  </r>
  <r>
    <s v="RA0308"/>
    <x v="245"/>
    <s v="Warehouse"/>
    <s v="Laboratory"/>
    <s v="Material Stacking"/>
    <s v="Falling objects"/>
    <s v="Physical"/>
    <s v="Head injury"/>
    <n v="3"/>
    <n v="2"/>
    <x v="0"/>
    <s v="Medium"/>
    <s v="Machine guarding and routine inspection"/>
    <s v="Verify PTW and isolation before work"/>
    <n v="2"/>
    <n v="1"/>
    <x v="0"/>
    <x v="0"/>
    <s v="Low"/>
    <s v="Pending"/>
    <s v="HSE Officer"/>
    <x v="259"/>
  </r>
  <r>
    <s v="RA0309"/>
    <x v="199"/>
    <s v="Production"/>
    <s v="Workshop"/>
    <s v="Raw Material Handling"/>
    <s v="Moving equipment / conveyor"/>
    <s v="Mechanical"/>
    <s v="Crush injury"/>
    <n v="4"/>
    <n v="3"/>
    <x v="4"/>
    <s v="High"/>
    <s v="Toolbox talk before work"/>
    <s v="Conduct refresher training"/>
    <n v="3"/>
    <n v="3"/>
    <x v="3"/>
    <x v="0"/>
    <s v="Medium"/>
    <s v="Implemented"/>
    <s v="HSE Officer"/>
    <x v="205"/>
  </r>
  <r>
    <s v="RA0310"/>
    <x v="239"/>
    <s v="Production"/>
    <s v="Warehouse"/>
    <s v="Packing Operation"/>
    <s v="Moving machinery and dust"/>
    <s v="Mechanical"/>
    <s v="Crush injury"/>
    <n v="5"/>
    <n v="4"/>
    <x v="5"/>
    <s v="Critical"/>
    <s v="Emergency response equipment available"/>
    <s v="Update risk assessment and procedure"/>
    <n v="4"/>
    <n v="4"/>
    <x v="7"/>
    <x v="0"/>
    <s v="High"/>
    <s v="Implemented"/>
    <s v="HSE Engineer"/>
    <x v="252"/>
  </r>
  <r>
    <s v="RA0311"/>
    <x v="246"/>
    <s v="Utilities"/>
    <s v="Plant Area B"/>
    <s v="Compressed Air System"/>
    <s v="High pressure release"/>
    <s v="Pressure"/>
    <s v="Fatal injury"/>
    <n v="5"/>
    <n v="3"/>
    <x v="3"/>
    <s v="High"/>
    <s v="Toolbox talk before work"/>
    <s v="Conduct refresher training"/>
    <n v="4"/>
    <n v="2"/>
    <x v="10"/>
    <x v="0"/>
    <s v="Medium"/>
    <s v="Partially Implemented"/>
    <s v="Department Supervisor"/>
    <x v="260"/>
  </r>
  <r>
    <s v="RA0312"/>
    <x v="247"/>
    <s v="Production"/>
    <s v="Office"/>
    <s v="Packing Operation"/>
    <s v="Moving machinery and dust"/>
    <s v="Mechanical"/>
    <s v="Serious injury"/>
    <n v="2"/>
    <n v="5"/>
    <x v="2"/>
    <s v="High"/>
    <s v="Machine guarding and routine inspection"/>
    <s v="Conduct refresher training"/>
    <n v="1"/>
    <n v="5"/>
    <x v="2"/>
    <x v="0"/>
    <s v="Medium"/>
    <s v="Partially Implemented"/>
    <s v="Maintenance Supervisor"/>
    <x v="261"/>
  </r>
  <r>
    <s v="RA0313"/>
    <x v="65"/>
    <s v="Maintenance"/>
    <s v="Utilities Area"/>
    <s v="Confined Space Entry"/>
    <s v="Oxygen deficiency / toxic atmosphere"/>
    <s v="Confined Space"/>
    <s v="Serious injury"/>
    <n v="2"/>
    <n v="5"/>
    <x v="2"/>
    <s v="High"/>
    <s v="Standard operating procedure and supervision"/>
    <s v="Improve supervision and monitoring"/>
    <n v="1"/>
    <n v="5"/>
    <x v="2"/>
    <x v="0"/>
    <s v="Medium"/>
    <s v="Pending"/>
    <s v="Maintenance Supervisor"/>
    <x v="73"/>
  </r>
  <r>
    <s v="RA0314"/>
    <x v="248"/>
    <s v="Administration"/>
    <s v="Warehouse"/>
    <s v="Office Work"/>
    <s v="Ergonomic hazards and slips/trips"/>
    <s v="Ergonomic"/>
    <s v="Musculoskeletal strain"/>
    <n v="5"/>
    <n v="2"/>
    <x v="2"/>
    <s v="High"/>
    <s v="PPE provided and mandatory"/>
    <s v="Implement engineering control"/>
    <n v="4"/>
    <n v="2"/>
    <x v="10"/>
    <x v="0"/>
    <s v="Medium"/>
    <s v="Implemented"/>
    <s v="HSE Engineer"/>
    <x v="262"/>
  </r>
  <r>
    <s v="RA0315"/>
    <x v="249"/>
    <s v="Maintenance"/>
    <s v="Laboratory"/>
    <s v="Mechanical Maintenance"/>
    <s v="Unexpected equipment movement"/>
    <s v="Mechanical"/>
    <s v="Serious injury"/>
    <n v="5"/>
    <n v="3"/>
    <x v="3"/>
    <s v="High"/>
    <s v="Standard operating procedure and supervision"/>
    <s v="Verify PTW and isolation before work"/>
    <n v="4"/>
    <n v="3"/>
    <x v="1"/>
    <x v="0"/>
    <s v="High"/>
    <s v="Pending"/>
    <s v="HSE Officer"/>
    <x v="118"/>
  </r>
  <r>
    <s v="RA0316"/>
    <x v="94"/>
    <s v="Warehouse"/>
    <s v="Plant Area A"/>
    <s v="Material Stacking"/>
    <s v="Falling objects"/>
    <s v="Physical"/>
    <s v="Serious injury"/>
    <n v="4"/>
    <n v="4"/>
    <x v="1"/>
    <s v="High"/>
    <s v="Standard operating procedure and supervision"/>
    <s v="Install warning signs and barriers"/>
    <n v="3"/>
    <n v="3"/>
    <x v="3"/>
    <x v="0"/>
    <s v="Medium"/>
    <s v="Partially Implemented"/>
    <s v="HSE Officer"/>
    <x v="94"/>
  </r>
  <r>
    <s v="RA0317"/>
    <x v="250"/>
    <s v="Warehouse"/>
    <s v="Utilities Area"/>
    <s v="Forklift Operation"/>
    <s v="Vehicle-pedestrian interaction"/>
    <s v="Vehicle / Traffic"/>
    <s v="Collision"/>
    <n v="5"/>
    <n v="2"/>
    <x v="2"/>
    <s v="High"/>
    <s v="Machine guarding and routine inspection"/>
    <s v="Install additional physical guard"/>
    <n v="4"/>
    <n v="2"/>
    <x v="10"/>
    <x v="0"/>
    <s v="Medium"/>
    <s v="Pending"/>
    <s v="HSE Officer"/>
    <x v="263"/>
  </r>
  <r>
    <s v="RA0318"/>
    <x v="251"/>
    <s v="Production"/>
    <s v="Laboratory"/>
    <s v="Packing Operation"/>
    <s v="Moving machinery and dust"/>
    <s v="Mechanical"/>
    <s v="Cuts"/>
    <n v="5"/>
    <n v="3"/>
    <x v="3"/>
    <s v="High"/>
    <s v="Safety signage and restricted access"/>
    <s v="Install warning signs and barriers"/>
    <n v="4"/>
    <n v="3"/>
    <x v="1"/>
    <x v="0"/>
    <s v="High"/>
    <s v="Implemented"/>
    <s v="Department Supervisor"/>
    <x v="264"/>
  </r>
  <r>
    <s v="RA0319"/>
    <x v="252"/>
    <s v="Electrical"/>
    <s v="Plant Area A"/>
    <s v="Electrical Panel Maintenance"/>
    <s v="Electric shock and arc flash"/>
    <s v="Electrical"/>
    <s v="Electric shock"/>
    <n v="5"/>
    <n v="5"/>
    <x v="7"/>
    <s v="Critical"/>
    <s v="Emergency response equipment available"/>
    <s v="Improve supervision and monitoring"/>
    <n v="4"/>
    <n v="4"/>
    <x v="7"/>
    <x v="0"/>
    <s v="High"/>
    <s v="Implemented"/>
    <s v="HSE Engineer"/>
    <x v="265"/>
  </r>
  <r>
    <s v="RA0320"/>
    <x v="253"/>
    <s v="Production"/>
    <s v="Workshop"/>
    <s v="Packing Operation"/>
    <s v="Moving machinery and dust"/>
    <s v="Mechanical"/>
    <s v="Amputation"/>
    <n v="5"/>
    <n v="3"/>
    <x v="3"/>
    <s v="High"/>
    <s v="Machine guarding and routine inspection"/>
    <s v="Implement engineering control"/>
    <n v="3"/>
    <n v="3"/>
    <x v="3"/>
    <x v="0"/>
    <s v="Medium"/>
    <s v="Pending"/>
    <s v="HSE Engineer"/>
    <x v="266"/>
  </r>
  <r>
    <s v="RA0321"/>
    <x v="254"/>
    <s v="Production"/>
    <s v="Warehouse"/>
    <s v="Packing Operation"/>
    <s v="Moving machinery and dust"/>
    <s v="Mechanical"/>
    <s v="Amputation"/>
    <n v="2"/>
    <n v="4"/>
    <x v="6"/>
    <s v="Medium"/>
    <s v="Standard operating procedure and supervision"/>
    <s v="Provide specialized PPE"/>
    <n v="1"/>
    <n v="4"/>
    <x v="6"/>
    <x v="0"/>
    <s v="Low"/>
    <s v="Pending"/>
    <s v="Maintenance Supervisor"/>
    <x v="267"/>
  </r>
  <r>
    <s v="RA0322"/>
    <x v="255"/>
    <s v="Maintenance"/>
    <s v="Office"/>
    <s v="Grinding Maintenance"/>
    <s v="Stored energy and moving parts"/>
    <s v="Mechanical"/>
    <s v="Amputation"/>
    <n v="3"/>
    <n v="2"/>
    <x v="0"/>
    <s v="Medium"/>
    <s v="Machine guarding and routine inspection"/>
    <s v="Increase inspection frequency"/>
    <n v="2"/>
    <n v="2"/>
    <x v="6"/>
    <x v="0"/>
    <s v="Low"/>
    <s v="Partially Implemented"/>
    <s v="Department Supervisor"/>
    <x v="268"/>
  </r>
  <r>
    <s v="RA0323"/>
    <x v="256"/>
    <s v="Production"/>
    <s v="Utilities Area"/>
    <s v="Work at Height"/>
    <s v="Fall from height"/>
    <s v="Work at Height"/>
    <s v="Fatal injury"/>
    <n v="4"/>
    <n v="4"/>
    <x v="1"/>
    <s v="High"/>
    <s v="Safety signage and restricted access"/>
    <s v="Install warning signs and barriers"/>
    <n v="2"/>
    <n v="3"/>
    <x v="5"/>
    <x v="0"/>
    <s v="Medium"/>
    <s v="Pending"/>
    <s v="Department Supervisor"/>
    <x v="269"/>
  </r>
  <r>
    <s v="RA0324"/>
    <x v="257"/>
    <s v="Mechanical"/>
    <s v="Plant Area B"/>
    <s v="Pump Maintenance"/>
    <s v="Stored pressure and rotating parts"/>
    <s v="Mechanical"/>
    <s v="Crush injury"/>
    <n v="5"/>
    <n v="5"/>
    <x v="7"/>
    <s v="Critical"/>
    <s v="Standard operating procedure and supervision"/>
    <s v="Update risk assessment and procedure"/>
    <n v="3"/>
    <n v="4"/>
    <x v="1"/>
    <x v="0"/>
    <s v="High"/>
    <s v="Implemented"/>
    <s v="HSE Engineer"/>
    <x v="270"/>
  </r>
  <r>
    <s v="RA0325"/>
    <x v="69"/>
    <s v="Quality"/>
    <s v="Workshop"/>
    <s v="Laboratory Testing"/>
    <s v="Chemical exposure"/>
    <s v="Chemical"/>
    <s v="Eye injury"/>
    <n v="3"/>
    <n v="3"/>
    <x v="9"/>
    <s v="Medium"/>
    <s v="Trained and authorized personnel only"/>
    <s v="Implement engineering control"/>
    <n v="2"/>
    <n v="3"/>
    <x v="5"/>
    <x v="0"/>
    <s v="Medium"/>
    <s v="Pending"/>
    <s v="Maintenance Supervisor"/>
    <x v="70"/>
  </r>
  <r>
    <s v="RA0326"/>
    <x v="258"/>
    <s v="Mechanical"/>
    <s v="Office"/>
    <s v="Welding and Cutting"/>
    <s v="Fire, fumes and hot work"/>
    <s v="Fire / Chemical"/>
    <s v="Burn"/>
    <n v="5"/>
    <n v="5"/>
    <x v="7"/>
    <s v="Critical"/>
    <s v="PPE provided and mandatory"/>
    <s v="Provide specialized PPE"/>
    <n v="4"/>
    <n v="4"/>
    <x v="7"/>
    <x v="0"/>
    <s v="High"/>
    <s v="Pending"/>
    <s v="HSE Engineer"/>
    <x v="271"/>
  </r>
  <r>
    <s v="RA0327"/>
    <x v="256"/>
    <s v="Maintenance"/>
    <s v="Plant Area A"/>
    <s v="Confined Space Entry"/>
    <s v="Oxygen deficiency / toxic atmosphere"/>
    <s v="Confined Space"/>
    <s v="Asphyxiation risk"/>
    <n v="5"/>
    <n v="2"/>
    <x v="2"/>
    <s v="High"/>
    <s v="Machine guarding and routine inspection"/>
    <s v="Install warning signs and barriers"/>
    <n v="4"/>
    <n v="2"/>
    <x v="10"/>
    <x v="0"/>
    <s v="Medium"/>
    <s v="Implemented"/>
    <s v="HSE Officer"/>
    <x v="269"/>
  </r>
  <r>
    <s v="RA0328"/>
    <x v="259"/>
    <s v="Quality"/>
    <s v="Utilities Area"/>
    <s v="Laboratory Testing"/>
    <s v="Chemical exposure"/>
    <s v="Chemical"/>
    <s v="Respiratory irritation"/>
    <n v="3"/>
    <n v="4"/>
    <x v="4"/>
    <s v="High"/>
    <s v="Toolbox talk before work"/>
    <s v="Implement engineering control"/>
    <n v="2"/>
    <n v="3"/>
    <x v="5"/>
    <x v="0"/>
    <s v="Medium"/>
    <s v="Partially Implemented"/>
    <s v="Maintenance Supervisor"/>
    <x v="272"/>
  </r>
  <r>
    <s v="RA0329"/>
    <x v="175"/>
    <s v="Administration"/>
    <s v="Workshop"/>
    <s v="Office Work"/>
    <s v="Ergonomic hazards and slips/trips"/>
    <s v="Ergonomic"/>
    <s v="Musculoskeletal strain"/>
    <n v="2"/>
    <n v="4"/>
    <x v="6"/>
    <s v="Medium"/>
    <s v="Trained and authorized personnel only"/>
    <s v="Update risk assessment and procedure"/>
    <n v="1"/>
    <n v="3"/>
    <x v="4"/>
    <x v="0"/>
    <s v="Low"/>
    <s v="Implemented"/>
    <s v="Maintenance Supervisor"/>
    <x v="273"/>
  </r>
  <r>
    <s v="RA0330"/>
    <x v="260"/>
    <s v="Electrical"/>
    <s v="Workshop"/>
    <s v="Electrical Panel Maintenance"/>
    <s v="Electric shock and arc flash"/>
    <s v="Electrical"/>
    <s v="Serious injury"/>
    <n v="4"/>
    <n v="2"/>
    <x v="6"/>
    <s v="Medium"/>
    <s v="Toolbox talk before work"/>
    <s v="Provide specialized PPE"/>
    <n v="3"/>
    <n v="1"/>
    <x v="4"/>
    <x v="0"/>
    <s v="Low"/>
    <s v="Pending"/>
    <s v="Maintenance Supervisor"/>
    <x v="274"/>
  </r>
  <r>
    <s v="RA0331"/>
    <x v="261"/>
    <s v="Quality"/>
    <s v="Utilities Area"/>
    <s v="Laboratory Testing"/>
    <s v="Chemical exposure"/>
    <s v="Chemical"/>
    <s v="Skin irritation"/>
    <n v="2"/>
    <n v="5"/>
    <x v="2"/>
    <s v="High"/>
    <s v="PPE provided and mandatory"/>
    <s v="Update risk assessment and procedure"/>
    <n v="1"/>
    <n v="5"/>
    <x v="2"/>
    <x v="0"/>
    <s v="Medium"/>
    <s v="Pending"/>
    <s v="Production Supervisor"/>
    <x v="275"/>
  </r>
  <r>
    <s v="RA0332"/>
    <x v="262"/>
    <s v="Maintenance"/>
    <s v="Office"/>
    <s v="Mechanical Maintenance"/>
    <s v="Unexpected equipment movement"/>
    <s v="Mechanical"/>
    <s v="Amputation"/>
    <n v="4"/>
    <n v="5"/>
    <x v="5"/>
    <s v="Critical"/>
    <s v="Safety signage and restricted access"/>
    <s v="Conduct refresher training"/>
    <n v="3"/>
    <n v="4"/>
    <x v="1"/>
    <x v="0"/>
    <s v="High"/>
    <s v="Pending"/>
    <s v="HSE Engineer"/>
    <x v="276"/>
  </r>
  <r>
    <s v="RA0333"/>
    <x v="263"/>
    <s v="Maintenance"/>
    <s v="Plant Area A"/>
    <s v="Mechanical Maintenance"/>
    <s v="Unexpected equipment movement"/>
    <s v="Mechanical"/>
    <s v="Amputation"/>
    <n v="2"/>
    <n v="3"/>
    <x v="0"/>
    <s v="Medium"/>
    <s v="Toolbox talk before work"/>
    <s v="Update risk assessment and procedure"/>
    <n v="1"/>
    <n v="2"/>
    <x v="0"/>
    <x v="0"/>
    <s v="Low"/>
    <s v="Partially Implemented"/>
    <s v="HSE Officer"/>
    <x v="277"/>
  </r>
  <r>
    <s v="RA0334"/>
    <x v="264"/>
    <s v="Electrical"/>
    <s v="Workshop"/>
    <s v="Cable Installation"/>
    <s v="Electric shock and trip hazards"/>
    <s v="Electrical"/>
    <s v="Burn"/>
    <n v="5"/>
    <n v="2"/>
    <x v="2"/>
    <s v="High"/>
    <s v="Trained and authorized personnel only"/>
    <s v="Improve supervision and monitoring"/>
    <n v="4"/>
    <n v="2"/>
    <x v="10"/>
    <x v="0"/>
    <s v="Medium"/>
    <s v="Pending"/>
    <s v="Maintenance Supervisor"/>
    <x v="278"/>
  </r>
  <r>
    <s v="RA0335"/>
    <x v="259"/>
    <s v="Electrical"/>
    <s v="Laboratory"/>
    <s v="Electrical Panel Maintenance"/>
    <s v="Electric shock and arc flash"/>
    <s v="Electrical"/>
    <s v="Burn"/>
    <n v="3"/>
    <n v="2"/>
    <x v="0"/>
    <s v="Medium"/>
    <s v="Safety signage and restricted access"/>
    <s v="Install additional physical guard"/>
    <n v="2"/>
    <n v="1"/>
    <x v="0"/>
    <x v="0"/>
    <s v="Low"/>
    <s v="Pending"/>
    <s v="HSE Officer"/>
    <x v="272"/>
  </r>
  <r>
    <s v="RA0336"/>
    <x v="94"/>
    <s v="Mechanical"/>
    <s v="Laboratory"/>
    <s v="Pump Maintenance"/>
    <s v="Stored pressure and rotating parts"/>
    <s v="Mechanical"/>
    <s v="Serious injury"/>
    <n v="2"/>
    <n v="5"/>
    <x v="2"/>
    <s v="High"/>
    <s v="PPE provided and mandatory"/>
    <s v="Conduct emergency drill"/>
    <n v="1"/>
    <n v="4"/>
    <x v="6"/>
    <x v="0"/>
    <s v="Low"/>
    <s v="Partially Implemented"/>
    <s v="Maintenance Supervisor"/>
    <x v="23"/>
  </r>
  <r>
    <s v="RA0337"/>
    <x v="265"/>
    <s v="Utilities"/>
    <s v="Warehouse"/>
    <s v="Boiler Operation"/>
    <s v="High pressure and hot surfaces"/>
    <s v="Pressure / Thermal"/>
    <s v="Burn"/>
    <n v="2"/>
    <n v="3"/>
    <x v="0"/>
    <s v="Medium"/>
    <s v="Standard operating procedure and supervision"/>
    <s v="Conduct refresher training"/>
    <n v="1"/>
    <n v="2"/>
    <x v="0"/>
    <x v="0"/>
    <s v="Low"/>
    <s v="Implemented"/>
    <s v="Maintenance Supervisor"/>
    <x v="279"/>
  </r>
  <r>
    <s v="RA0338"/>
    <x v="266"/>
    <s v="Warehouse"/>
    <s v="Laboratory"/>
    <s v="Forklift Operation"/>
    <s v="Vehicle-pedestrian interaction"/>
    <s v="Vehicle / Traffic"/>
    <s v="Serious injury"/>
    <n v="4"/>
    <n v="2"/>
    <x v="6"/>
    <s v="Medium"/>
    <s v="Toolbox talk before work"/>
    <s v="Conduct emergency drill"/>
    <n v="2"/>
    <n v="2"/>
    <x v="6"/>
    <x v="0"/>
    <s v="Low"/>
    <s v="Partially Implemented"/>
    <s v="HSE Officer"/>
    <x v="276"/>
  </r>
  <r>
    <s v="RA0339"/>
    <x v="52"/>
    <s v="Maintenance"/>
    <s v="Warehouse"/>
    <s v="Confined Space Entry"/>
    <s v="Oxygen deficiency / toxic atmosphere"/>
    <s v="Confined Space"/>
    <s v="Asphyxiation risk"/>
    <n v="5"/>
    <n v="3"/>
    <x v="3"/>
    <s v="High"/>
    <s v="Standard operating procedure and supervision"/>
    <s v="Verify PTW and isolation before work"/>
    <n v="5"/>
    <n v="3"/>
    <x v="9"/>
    <x v="0"/>
    <s v="High"/>
    <s v="Partially Implemented"/>
    <s v="HSE Engineer"/>
    <x v="52"/>
  </r>
  <r>
    <s v="RA0340"/>
    <x v="267"/>
    <s v="Production"/>
    <s v="Plant Area B"/>
    <s v="Work at Height"/>
    <s v="Fall from height"/>
    <s v="Work at Height"/>
    <s v="Serious injury"/>
    <n v="4"/>
    <n v="3"/>
    <x v="4"/>
    <s v="High"/>
    <s v="Machine guarding and routine inspection"/>
    <s v="Conduct emergency drill"/>
    <n v="4"/>
    <n v="2"/>
    <x v="10"/>
    <x v="0"/>
    <s v="Medium"/>
    <s v="Pending"/>
    <s v="Maintenance Supervisor"/>
    <x v="280"/>
  </r>
  <r>
    <s v="RA0341"/>
    <x v="13"/>
    <s v="Production"/>
    <s v="Laboratory"/>
    <s v="Excavation Work"/>
    <s v="Collapse and underground services"/>
    <s v="Excavation"/>
    <s v="Collapse injury"/>
    <n v="4"/>
    <n v="4"/>
    <x v="1"/>
    <s v="High"/>
    <s v="Standard operating procedure and supervision"/>
    <s v="Update risk assessment and procedure"/>
    <n v="2"/>
    <n v="4"/>
    <x v="10"/>
    <x v="0"/>
    <s v="Medium"/>
    <s v="Pending"/>
    <s v="Production Supervisor"/>
    <x v="13"/>
  </r>
  <r>
    <s v="RA0342"/>
    <x v="6"/>
    <s v="Mechanical"/>
    <s v="Workshop"/>
    <s v="Welding and Cutting"/>
    <s v="Fire, fumes and hot work"/>
    <s v="Fire / Chemical"/>
    <s v="Respiratory irritation"/>
    <n v="4"/>
    <n v="4"/>
    <x v="1"/>
    <s v="High"/>
    <s v="Machine guarding and routine inspection"/>
    <s v="Provide specialized PPE"/>
    <n v="4"/>
    <n v="3"/>
    <x v="1"/>
    <x v="0"/>
    <s v="High"/>
    <s v="Pending"/>
    <s v="HSE Engineer"/>
    <x v="6"/>
  </r>
  <r>
    <s v="RA0343"/>
    <x v="92"/>
    <s v="Mechanical"/>
    <s v="Plant Area B"/>
    <s v="Welding and Cutting"/>
    <s v="Fire, fumes and hot work"/>
    <s v="Fire / Chemical"/>
    <s v="Fire-related injury"/>
    <n v="2"/>
    <n v="2"/>
    <x v="8"/>
    <s v="Low"/>
    <s v="Standard operating procedure and supervision"/>
    <s v="Provide specialized PPE"/>
    <n v="1"/>
    <n v="1"/>
    <x v="13"/>
    <x v="0"/>
    <s v="Low"/>
    <s v="Implemented"/>
    <s v="Production Supervisor"/>
    <x v="33"/>
  </r>
  <r>
    <s v="RA0344"/>
    <x v="268"/>
    <s v="Mechanical"/>
    <s v="Laboratory"/>
    <s v="Welding and Cutting"/>
    <s v="Fire, fumes and hot work"/>
    <s v="Fire / Chemical"/>
    <s v="Burn"/>
    <n v="2"/>
    <n v="5"/>
    <x v="2"/>
    <s v="High"/>
    <s v="PPE provided and mandatory"/>
    <s v="Verify PTW and isolation before work"/>
    <n v="1"/>
    <n v="4"/>
    <x v="6"/>
    <x v="0"/>
    <s v="Low"/>
    <s v="Partially Implemented"/>
    <s v="Production Supervisor"/>
    <x v="281"/>
  </r>
  <r>
    <s v="RA0345"/>
    <x v="90"/>
    <s v="Mechanical"/>
    <s v="Office"/>
    <s v="Welding and Cutting"/>
    <s v="Fire, fumes and hot work"/>
    <s v="Fire / Chemical"/>
    <s v="Respiratory irritation"/>
    <n v="3"/>
    <n v="5"/>
    <x v="3"/>
    <s v="High"/>
    <s v="Emergency response equipment available"/>
    <s v="Verify PTW and isolation before work"/>
    <n v="2"/>
    <n v="4"/>
    <x v="10"/>
    <x v="0"/>
    <s v="Medium"/>
    <s v="Partially Implemented"/>
    <s v="Maintenance Supervisor"/>
    <x v="282"/>
  </r>
  <r>
    <s v="RA0346"/>
    <x v="57"/>
    <s v="Maintenance"/>
    <s v="Laboratory"/>
    <s v="Mechanical Maintenance"/>
    <s v="Unexpected equipment movement"/>
    <s v="Mechanical"/>
    <s v="Serious injury"/>
    <n v="4"/>
    <n v="2"/>
    <x v="6"/>
    <s v="Medium"/>
    <s v="PPE provided and mandatory"/>
    <s v="Verify PTW and isolation before work"/>
    <n v="3"/>
    <n v="1"/>
    <x v="4"/>
    <x v="0"/>
    <s v="Low"/>
    <s v="Implemented"/>
    <s v="Department Supervisor"/>
    <x v="57"/>
  </r>
  <r>
    <s v="RA0347"/>
    <x v="108"/>
    <s v="Production"/>
    <s v="Warehouse"/>
    <s v="Packing Operation"/>
    <s v="Moving machinery and dust"/>
    <s v="Mechanical"/>
    <s v="Amputation"/>
    <n v="3"/>
    <n v="4"/>
    <x v="4"/>
    <s v="High"/>
    <s v="PPE provided and mandatory"/>
    <s v="Implement engineering control"/>
    <n v="1"/>
    <n v="4"/>
    <x v="6"/>
    <x v="0"/>
    <s v="Low"/>
    <s v="Pending"/>
    <s v="Maintenance Supervisor"/>
    <x v="108"/>
  </r>
  <r>
    <s v="RA0348"/>
    <x v="121"/>
    <s v="Maintenance"/>
    <s v="Office"/>
    <s v="Mechanical Maintenance"/>
    <s v="Unexpected equipment movement"/>
    <s v="Mechanical"/>
    <s v="Serious injury"/>
    <n v="5"/>
    <n v="5"/>
    <x v="7"/>
    <s v="Critical"/>
    <s v="Trained and authorized personnel only"/>
    <s v="Provide specialized PPE"/>
    <n v="4"/>
    <n v="5"/>
    <x v="12"/>
    <x v="0"/>
    <s v="Critical"/>
    <s v="Implemented"/>
    <s v="HSE Officer"/>
    <x v="283"/>
  </r>
  <r>
    <s v="RA0349"/>
    <x v="86"/>
    <s v="Mechanical"/>
    <s v="Plant Area A"/>
    <s v="Welding and Cutting"/>
    <s v="Fire, fumes and hot work"/>
    <s v="Fire / Chemical"/>
    <s v="Fire-related injury"/>
    <n v="4"/>
    <n v="4"/>
    <x v="1"/>
    <s v="High"/>
    <s v="Toolbox talk before work"/>
    <s v="Increase inspection frequency"/>
    <n v="4"/>
    <n v="4"/>
    <x v="7"/>
    <x v="0"/>
    <s v="High"/>
    <s v="Partially Implemented"/>
    <s v="Production Supervisor"/>
    <x v="85"/>
  </r>
  <r>
    <s v="RA0350"/>
    <x v="99"/>
    <s v="Quality"/>
    <s v="Office"/>
    <s v="Laboratory Testing"/>
    <s v="Chemical exposure"/>
    <s v="Chemical"/>
    <s v="Respiratory irritation"/>
    <n v="4"/>
    <n v="4"/>
    <x v="1"/>
    <s v="High"/>
    <s v="Trained and authorized personnel only"/>
    <s v="Conduct emergency drill"/>
    <n v="2"/>
    <n v="3"/>
    <x v="5"/>
    <x v="0"/>
    <s v="Medium"/>
    <s v="Partially Implemented"/>
    <s v="Department Supervisor"/>
    <x v="27"/>
  </r>
  <r>
    <s v="RA0351"/>
    <x v="24"/>
    <s v="Utilities"/>
    <s v="Utilities Area"/>
    <s v="Boiler Operation"/>
    <s v="High pressure and hot surfaces"/>
    <s v="Pressure / Thermal"/>
    <s v="Pressure-related injury"/>
    <n v="2"/>
    <n v="2"/>
    <x v="8"/>
    <s v="Low"/>
    <s v="Toolbox talk before work"/>
    <s v="Increase inspection frequency"/>
    <n v="1"/>
    <n v="1"/>
    <x v="13"/>
    <x v="0"/>
    <s v="Low"/>
    <s v="Implemented"/>
    <s v="Production Supervisor"/>
    <x v="284"/>
  </r>
  <r>
    <s v="RA0352"/>
    <x v="196"/>
    <s v="Utilities"/>
    <s v="Plant Area A"/>
    <s v="Boiler Operation"/>
    <s v="High pressure and hot surfaces"/>
    <s v="Pressure / Thermal"/>
    <s v="Pressure-related injury"/>
    <n v="4"/>
    <n v="4"/>
    <x v="1"/>
    <s v="High"/>
    <s v="Preventive maintenance program"/>
    <s v="Install additional physical guard"/>
    <n v="2"/>
    <n v="4"/>
    <x v="10"/>
    <x v="0"/>
    <s v="Medium"/>
    <s v="Implemented"/>
    <s v="Maintenance Supervisor"/>
    <x v="285"/>
  </r>
  <r>
    <s v="RA0353"/>
    <x v="269"/>
    <s v="Maintenance"/>
    <s v="Plant Area A"/>
    <s v="Mechanical Maintenance"/>
    <s v="Unexpected equipment movement"/>
    <s v="Mechanical"/>
    <s v="Serious injury"/>
    <n v="4"/>
    <n v="3"/>
    <x v="4"/>
    <s v="High"/>
    <s v="Machine guarding and routine inspection"/>
    <s v="Conduct emergency drill"/>
    <n v="4"/>
    <n v="3"/>
    <x v="1"/>
    <x v="1"/>
    <s v="High"/>
    <s v="Pending"/>
    <s v="Department Supervisor"/>
    <x v="286"/>
  </r>
  <r>
    <s v="RA0354"/>
    <x v="126"/>
    <s v="Electrical"/>
    <s v="Office"/>
    <s v="Electrical Panel Maintenance"/>
    <s v="Electric shock and arc flash"/>
    <s v="Electrical"/>
    <s v="Serious injury"/>
    <n v="4"/>
    <n v="3"/>
    <x v="4"/>
    <s v="High"/>
    <s v="Machine guarding and routine inspection"/>
    <s v="Install warning signs and barriers"/>
    <n v="3"/>
    <n v="3"/>
    <x v="3"/>
    <x v="0"/>
    <s v="Medium"/>
    <s v="Pending"/>
    <s v="Maintenance Supervisor"/>
    <x v="287"/>
  </r>
  <r>
    <s v="RA0355"/>
    <x v="270"/>
    <s v="Administration"/>
    <s v="Utilities Area"/>
    <s v="Office Work"/>
    <s v="Ergonomic hazards and slips/trips"/>
    <s v="Ergonomic"/>
    <s v="Musculoskeletal strain"/>
    <n v="3"/>
    <n v="4"/>
    <x v="4"/>
    <s v="High"/>
    <s v="Safety signage and restricted access"/>
    <s v="Install additional physical guard"/>
    <n v="3"/>
    <n v="4"/>
    <x v="1"/>
    <x v="1"/>
    <s v="High"/>
    <s v="Implemented"/>
    <s v="Production Supervisor"/>
    <x v="288"/>
  </r>
  <r>
    <s v="RA0356"/>
    <x v="252"/>
    <s v="Maintenance"/>
    <s v="Workshop"/>
    <s v="Mechanical Maintenance"/>
    <s v="Unexpected equipment movement"/>
    <s v="Mechanical"/>
    <s v="Amputation"/>
    <n v="4"/>
    <n v="5"/>
    <x v="5"/>
    <s v="Critical"/>
    <s v="Toolbox talk before work"/>
    <s v="Verify PTW and isolation before work"/>
    <n v="4"/>
    <n v="5"/>
    <x v="12"/>
    <x v="0"/>
    <s v="Critical"/>
    <s v="Implemented"/>
    <s v="HSE Engineer"/>
    <x v="265"/>
  </r>
  <r>
    <s v="RA0357"/>
    <x v="100"/>
    <s v="Production"/>
    <s v="Plant Area B"/>
    <s v="Kiln Operation"/>
    <s v="Hot surfaces and high temperature"/>
    <s v="Thermal"/>
    <s v="Heat stress"/>
    <n v="2"/>
    <n v="2"/>
    <x v="8"/>
    <s v="Low"/>
    <s v="Emergency response equipment available"/>
    <s v="Conduct refresher training"/>
    <n v="1"/>
    <n v="1"/>
    <x v="13"/>
    <x v="0"/>
    <s v="Low"/>
    <s v="Pending"/>
    <s v="Maintenance Supervisor"/>
    <x v="289"/>
  </r>
  <r>
    <s v="RA0358"/>
    <x v="271"/>
    <s v="Production"/>
    <s v="Plant Area A"/>
    <s v="Packing Operation"/>
    <s v="Moving machinery and dust"/>
    <s v="Mechanical"/>
    <s v="Cuts"/>
    <n v="2"/>
    <n v="3"/>
    <x v="0"/>
    <s v="Medium"/>
    <s v="Standard operating procedure and supervision"/>
    <s v="Update risk assessment and procedure"/>
    <n v="1"/>
    <n v="2"/>
    <x v="0"/>
    <x v="0"/>
    <s v="Low"/>
    <s v="Pending"/>
    <s v="HSE Engineer"/>
    <x v="290"/>
  </r>
  <r>
    <s v="RA0359"/>
    <x v="236"/>
    <s v="Warehouse"/>
    <s v="Laboratory"/>
    <s v="Material Stacking"/>
    <s v="Falling objects"/>
    <s v="Physical"/>
    <s v="Head injury"/>
    <n v="4"/>
    <n v="4"/>
    <x v="1"/>
    <s v="High"/>
    <s v="Trained and authorized personnel only"/>
    <s v="Improve supervision and monitoring"/>
    <n v="3"/>
    <n v="4"/>
    <x v="1"/>
    <x v="0"/>
    <s v="High"/>
    <s v="Implemented"/>
    <s v="HSE Officer"/>
    <x v="92"/>
  </r>
  <r>
    <s v="RA0360"/>
    <x v="272"/>
    <s v="Electrical"/>
    <s v="Plant Area B"/>
    <s v="Electrical Panel Maintenance"/>
    <s v="Electric shock and arc flash"/>
    <s v="Electrical"/>
    <s v="Electric shock"/>
    <n v="5"/>
    <n v="3"/>
    <x v="3"/>
    <s v="High"/>
    <s v="Safety signage and restricted access"/>
    <s v="Conduct refresher training"/>
    <n v="4"/>
    <n v="3"/>
    <x v="1"/>
    <x v="0"/>
    <s v="High"/>
    <s v="Implemented"/>
    <s v="HSE Engineer"/>
    <x v="154"/>
  </r>
  <r>
    <s v="RA0361"/>
    <x v="28"/>
    <s v="Production"/>
    <s v="Plant Area A"/>
    <s v="Work at Height"/>
    <s v="Fall from height"/>
    <s v="Work at Height"/>
    <s v="Fatal injury"/>
    <n v="3"/>
    <n v="5"/>
    <x v="3"/>
    <s v="High"/>
    <s v="PPE provided and mandatory"/>
    <s v="Install warning signs and barriers"/>
    <n v="2"/>
    <n v="4"/>
    <x v="10"/>
    <x v="0"/>
    <s v="Medium"/>
    <s v="Pending"/>
    <s v="Maintenance Supervisor"/>
    <x v="291"/>
  </r>
  <r>
    <s v="RA0362"/>
    <x v="190"/>
    <s v="Maintenance"/>
    <s v="Plant Area B"/>
    <s v="Mechanical Maintenance"/>
    <s v="Unexpected equipment movement"/>
    <s v="Mechanical"/>
    <s v="Crush injury"/>
    <n v="4"/>
    <n v="5"/>
    <x v="5"/>
    <s v="Critical"/>
    <s v="Trained and authorized personnel only"/>
    <s v="Conduct emergency drill"/>
    <n v="3"/>
    <n v="5"/>
    <x v="9"/>
    <x v="0"/>
    <s v="High"/>
    <s v="Implemented"/>
    <s v="Maintenance Supervisor"/>
    <x v="198"/>
  </r>
  <r>
    <s v="RA0363"/>
    <x v="273"/>
    <s v="Maintenance"/>
    <s v="Laboratory"/>
    <s v="Confined Space Entry"/>
    <s v="Oxygen deficiency / toxic atmosphere"/>
    <s v="Confined Space"/>
    <s v="Asphyxiation risk"/>
    <n v="5"/>
    <n v="5"/>
    <x v="7"/>
    <s v="Critical"/>
    <s v="Machine guarding and routine inspection"/>
    <s v="Conduct emergency drill"/>
    <n v="4"/>
    <n v="5"/>
    <x v="12"/>
    <x v="0"/>
    <s v="Critical"/>
    <s v="Implemented"/>
    <s v="HSE Officer"/>
    <x v="292"/>
  </r>
  <r>
    <s v="RA0364"/>
    <x v="274"/>
    <s v="Maintenance"/>
    <s v="Plant Area A"/>
    <s v="Mechanical Maintenance"/>
    <s v="Unexpected equipment movement"/>
    <s v="Mechanical"/>
    <s v="Amputation"/>
    <n v="4"/>
    <n v="5"/>
    <x v="5"/>
    <s v="Critical"/>
    <s v="Emergency response equipment available"/>
    <s v="Provide specialized PPE"/>
    <n v="3"/>
    <n v="4"/>
    <x v="1"/>
    <x v="0"/>
    <s v="High"/>
    <s v="Pending"/>
    <s v="Department Supervisor"/>
    <x v="293"/>
  </r>
  <r>
    <s v="RA0365"/>
    <x v="23"/>
    <s v="Mechanical"/>
    <s v="Office"/>
    <s v="Pump Maintenance"/>
    <s v="Stored pressure and rotating parts"/>
    <s v="Mechanical"/>
    <s v="Serious injury"/>
    <n v="5"/>
    <n v="3"/>
    <x v="3"/>
    <s v="High"/>
    <s v="Safety signage and restricted access"/>
    <s v="Update risk assessment and procedure"/>
    <n v="5"/>
    <n v="3"/>
    <x v="9"/>
    <x v="0"/>
    <s v="High"/>
    <s v="Implemented"/>
    <s v="Maintenance Supervisor"/>
    <x v="228"/>
  </r>
  <r>
    <s v="RA0366"/>
    <x v="275"/>
    <s v="Maintenance"/>
    <s v="Utilities Area"/>
    <s v="Mechanical Maintenance"/>
    <s v="Unexpected equipment movement"/>
    <s v="Mechanical"/>
    <s v="Crush injury"/>
    <n v="5"/>
    <n v="4"/>
    <x v="5"/>
    <s v="Critical"/>
    <s v="Trained and authorized personnel only"/>
    <s v="Conduct refresher training"/>
    <n v="3"/>
    <n v="3"/>
    <x v="3"/>
    <x v="0"/>
    <s v="Medium"/>
    <s v="Partially Implemented"/>
    <s v="Department Supervisor"/>
    <x v="235"/>
  </r>
  <r>
    <s v="RA0367"/>
    <x v="19"/>
    <s v="Utilities"/>
    <s v="Utilities Area"/>
    <s v="Compressed Air System"/>
    <s v="High pressure release"/>
    <s v="Pressure"/>
    <s v="Fatal injury"/>
    <n v="3"/>
    <n v="5"/>
    <x v="3"/>
    <s v="High"/>
    <s v="PPE provided and mandatory"/>
    <s v="Update risk assessment and procedure"/>
    <n v="3"/>
    <n v="5"/>
    <x v="9"/>
    <x v="0"/>
    <s v="High"/>
    <s v="Implemented"/>
    <s v="HSE Engineer"/>
    <x v="185"/>
  </r>
  <r>
    <s v="RA0368"/>
    <x v="276"/>
    <s v="Electrical"/>
    <s v="Plant Area B"/>
    <s v="Electrical Panel Maintenance"/>
    <s v="Electric shock and arc flash"/>
    <s v="Electrical"/>
    <s v="Burn"/>
    <n v="5"/>
    <n v="4"/>
    <x v="5"/>
    <s v="Critical"/>
    <s v="PPE provided and mandatory"/>
    <s v="Update risk assessment and procedure"/>
    <n v="5"/>
    <n v="3"/>
    <x v="9"/>
    <x v="0"/>
    <s v="High"/>
    <s v="Implemented"/>
    <s v="Production Supervisor"/>
    <x v="294"/>
  </r>
  <r>
    <s v="RA0369"/>
    <x v="277"/>
    <s v="Warehouse"/>
    <s v="Plant Area B"/>
    <s v="Material Stacking"/>
    <s v="Falling objects"/>
    <s v="Physical"/>
    <s v="Head injury"/>
    <n v="4"/>
    <n v="3"/>
    <x v="4"/>
    <s v="High"/>
    <s v="Toolbox talk before work"/>
    <s v="Provide specialized PPE"/>
    <n v="3"/>
    <n v="2"/>
    <x v="5"/>
    <x v="0"/>
    <s v="Medium"/>
    <s v="Partially Implemented"/>
    <s v="HSE Officer"/>
    <x v="295"/>
  </r>
  <r>
    <s v="RA0370"/>
    <x v="278"/>
    <s v="Production"/>
    <s v="Utilities Area"/>
    <s v="Raw Material Handling"/>
    <s v="Moving equipment / conveyor"/>
    <s v="Mechanical"/>
    <s v="Cuts"/>
    <n v="3"/>
    <n v="2"/>
    <x v="0"/>
    <s v="Medium"/>
    <s v="Emergency response equipment available"/>
    <s v="Conduct refresher training"/>
    <n v="2"/>
    <n v="1"/>
    <x v="0"/>
    <x v="0"/>
    <s v="Low"/>
    <s v="Partially Implemented"/>
    <s v="HSE Engineer"/>
    <x v="296"/>
  </r>
  <r>
    <s v="RA0371"/>
    <x v="279"/>
    <s v="Administration"/>
    <s v="Workshop"/>
    <s v="Office Work"/>
    <s v="Ergonomic hazards and slips/trips"/>
    <s v="Ergonomic"/>
    <s v="Musculoskeletal strain"/>
    <n v="5"/>
    <n v="2"/>
    <x v="2"/>
    <s v="High"/>
    <s v="Toolbox talk before work"/>
    <s v="Update risk assessment and procedure"/>
    <n v="5"/>
    <n v="1"/>
    <x v="2"/>
    <x v="0"/>
    <s v="Medium"/>
    <s v="Partially Implemented"/>
    <s v="HSE Engineer"/>
    <x v="297"/>
  </r>
  <r>
    <s v="RA0372"/>
    <x v="280"/>
    <s v="Quality"/>
    <s v="Plant Area A"/>
    <s v="Laboratory Testing"/>
    <s v="Chemical exposure"/>
    <s v="Chemical"/>
    <s v="Eye injury"/>
    <n v="3"/>
    <n v="2"/>
    <x v="0"/>
    <s v="Medium"/>
    <s v="Preventive maintenance program"/>
    <s v="Implement engineering control"/>
    <n v="2"/>
    <n v="2"/>
    <x v="6"/>
    <x v="0"/>
    <s v="Low"/>
    <s v="Partially Implemented"/>
    <s v="Maintenance Supervisor"/>
    <x v="298"/>
  </r>
  <r>
    <s v="RA0373"/>
    <x v="281"/>
    <s v="Utilities"/>
    <s v="Laboratory"/>
    <s v="Compressed Air System"/>
    <s v="High pressure release"/>
    <s v="Pressure"/>
    <s v="Fatal injury"/>
    <n v="4"/>
    <n v="5"/>
    <x v="5"/>
    <s v="Critical"/>
    <s v="Safety signage and restricted access"/>
    <s v="Install warning signs and barriers"/>
    <n v="2"/>
    <n v="5"/>
    <x v="11"/>
    <x v="0"/>
    <s v="High"/>
    <s v="Implemented"/>
    <s v="Production Supervisor"/>
    <x v="299"/>
  </r>
  <r>
    <s v="RA0374"/>
    <x v="148"/>
    <s v="Warehouse"/>
    <s v="Utilities Area"/>
    <s v="Material Stacking"/>
    <s v="Falling objects"/>
    <s v="Physical"/>
    <s v="Serious injury"/>
    <n v="2"/>
    <n v="3"/>
    <x v="0"/>
    <s v="Medium"/>
    <s v="Trained and authorized personnel only"/>
    <s v="Conduct refresher training"/>
    <n v="1"/>
    <n v="3"/>
    <x v="4"/>
    <x v="0"/>
    <s v="Low"/>
    <s v="Implemented"/>
    <s v="Department Supervisor"/>
    <x v="300"/>
  </r>
  <r>
    <s v="RA0375"/>
    <x v="282"/>
    <s v="Utilities"/>
    <s v="Workshop"/>
    <s v="Chemical Handling"/>
    <s v="Chemical exposure and spills"/>
    <s v="Chemical"/>
    <s v="Respiratory irritation"/>
    <n v="3"/>
    <n v="2"/>
    <x v="0"/>
    <s v="Medium"/>
    <s v="Toolbox talk before work"/>
    <s v="Verify PTW and isolation before work"/>
    <n v="2"/>
    <n v="2"/>
    <x v="6"/>
    <x v="0"/>
    <s v="Low"/>
    <s v="Partially Implemented"/>
    <s v="HSE Engineer"/>
    <x v="301"/>
  </r>
  <r>
    <s v="RA0376"/>
    <x v="283"/>
    <s v="Warehouse"/>
    <s v="Utilities Area"/>
    <s v="Material Stacking"/>
    <s v="Falling objects"/>
    <s v="Physical"/>
    <s v="Head injury"/>
    <n v="3"/>
    <n v="5"/>
    <x v="3"/>
    <s v="High"/>
    <s v="Standard operating procedure and supervision"/>
    <s v="Improve supervision and monitoring"/>
    <n v="2"/>
    <n v="4"/>
    <x v="10"/>
    <x v="0"/>
    <s v="Medium"/>
    <s v="Partially Implemented"/>
    <s v="Department Supervisor"/>
    <x v="302"/>
  </r>
  <r>
    <s v="RA0377"/>
    <x v="284"/>
    <s v="Production"/>
    <s v="Plant Area B"/>
    <s v="Kiln Operation"/>
    <s v="Hot surfaces and high temperature"/>
    <s v="Thermal"/>
    <s v="Serious burn"/>
    <n v="2"/>
    <n v="3"/>
    <x v="0"/>
    <s v="Medium"/>
    <s v="Trained and authorized personnel only"/>
    <s v="Improve supervision and monitoring"/>
    <n v="1"/>
    <n v="3"/>
    <x v="4"/>
    <x v="0"/>
    <s v="Low"/>
    <s v="Partially Implemented"/>
    <s v="HSE Engineer"/>
    <x v="303"/>
  </r>
  <r>
    <s v="RA0378"/>
    <x v="285"/>
    <s v="Quality"/>
    <s v="Plant Area B"/>
    <s v="Laboratory Testing"/>
    <s v="Chemical exposure"/>
    <s v="Chemical"/>
    <s v="Skin irritation"/>
    <n v="2"/>
    <n v="4"/>
    <x v="6"/>
    <s v="Medium"/>
    <s v="Safety signage and restricted access"/>
    <s v="Update risk assessment and procedure"/>
    <n v="1"/>
    <n v="4"/>
    <x v="6"/>
    <x v="0"/>
    <s v="Low"/>
    <s v="Pending"/>
    <s v="Department Supervisor"/>
    <x v="304"/>
  </r>
  <r>
    <s v="RA0379"/>
    <x v="286"/>
    <s v="Maintenance"/>
    <s v="Office"/>
    <s v="Confined Space Entry"/>
    <s v="Oxygen deficiency / toxic atmosphere"/>
    <s v="Confined Space"/>
    <s v="Toxic exposure"/>
    <n v="3"/>
    <n v="4"/>
    <x v="4"/>
    <s v="High"/>
    <s v="Toolbox talk before work"/>
    <s v="Conduct refresher training"/>
    <n v="2"/>
    <n v="4"/>
    <x v="10"/>
    <x v="0"/>
    <s v="Medium"/>
    <s v="Pending"/>
    <s v="HSE Officer"/>
    <x v="305"/>
  </r>
  <r>
    <s v="RA0380"/>
    <x v="287"/>
    <s v="Warehouse"/>
    <s v="Workshop"/>
    <s v="Material Stacking"/>
    <s v="Falling objects"/>
    <s v="Physical"/>
    <s v="Head injury"/>
    <n v="4"/>
    <n v="2"/>
    <x v="6"/>
    <s v="Medium"/>
    <s v="Safety signage and restricted access"/>
    <s v="Update risk assessment and procedure"/>
    <n v="4"/>
    <n v="2"/>
    <x v="10"/>
    <x v="1"/>
    <s v="Medium"/>
    <s v="Partially Implemented"/>
    <s v="HSE Engineer"/>
    <x v="306"/>
  </r>
  <r>
    <s v="RA0381"/>
    <x v="288"/>
    <s v="Administration"/>
    <s v="Laboratory"/>
    <s v="Office Work"/>
    <s v="Ergonomic hazards and slips/trips"/>
    <s v="Ergonomic"/>
    <s v="Slip/trip injury"/>
    <n v="3"/>
    <n v="5"/>
    <x v="3"/>
    <s v="High"/>
    <s v="Preventive maintenance program"/>
    <s v="Implement engineering control"/>
    <n v="1"/>
    <n v="4"/>
    <x v="6"/>
    <x v="0"/>
    <s v="Low"/>
    <s v="Implemented"/>
    <s v="Production Supervisor"/>
    <x v="307"/>
  </r>
  <r>
    <s v="RA0382"/>
    <x v="183"/>
    <s v="Warehouse"/>
    <s v="Office"/>
    <s v="Forklift Operation"/>
    <s v="Vehicle-pedestrian interaction"/>
    <s v="Vehicle / Traffic"/>
    <s v="Serious injury"/>
    <n v="3"/>
    <n v="5"/>
    <x v="3"/>
    <s v="High"/>
    <s v="Machine guarding and routine inspection"/>
    <s v="Improve supervision and monitoring"/>
    <n v="1"/>
    <n v="5"/>
    <x v="2"/>
    <x v="0"/>
    <s v="Medium"/>
    <s v="Pending"/>
    <s v="HSE Officer"/>
    <x v="308"/>
  </r>
  <r>
    <s v="RA0383"/>
    <x v="289"/>
    <s v="Production"/>
    <s v="Utilities Area"/>
    <s v="Kiln Operation"/>
    <s v="Hot surfaces and high temperature"/>
    <s v="Thermal"/>
    <s v="Serious burn"/>
    <n v="4"/>
    <n v="5"/>
    <x v="5"/>
    <s v="Critical"/>
    <s v="PPE provided and mandatory"/>
    <s v="Install additional physical guard"/>
    <n v="3"/>
    <n v="4"/>
    <x v="1"/>
    <x v="0"/>
    <s v="High"/>
    <s v="Implemented"/>
    <s v="HSE Engineer"/>
    <x v="309"/>
  </r>
  <r>
    <s v="RA0384"/>
    <x v="290"/>
    <s v="Electrical"/>
    <s v="Laboratory"/>
    <s v="Cable Installation"/>
    <s v="Electric shock and trip hazards"/>
    <s v="Electrical"/>
    <s v="Electric shock"/>
    <n v="3"/>
    <n v="4"/>
    <x v="4"/>
    <s v="High"/>
    <s v="Trained and authorized personnel only"/>
    <s v="Install additional physical guard"/>
    <n v="2"/>
    <n v="4"/>
    <x v="10"/>
    <x v="0"/>
    <s v="Medium"/>
    <s v="Implemented"/>
    <s v="Production Supervisor"/>
    <x v="32"/>
  </r>
  <r>
    <s v="RA0385"/>
    <x v="291"/>
    <s v="Electrical"/>
    <s v="Workshop"/>
    <s v="Cable Installation"/>
    <s v="Electric shock and trip hazards"/>
    <s v="Electrical"/>
    <s v="Serious injury"/>
    <n v="5"/>
    <n v="2"/>
    <x v="2"/>
    <s v="High"/>
    <s v="Preventive maintenance program"/>
    <s v="Install warning signs and barriers"/>
    <n v="5"/>
    <n v="1"/>
    <x v="2"/>
    <x v="0"/>
    <s v="Medium"/>
    <s v="Partially Implemented"/>
    <s v="Maintenance Supervisor"/>
    <x v="310"/>
  </r>
  <r>
    <s v="RA0386"/>
    <x v="190"/>
    <s v="Utilities"/>
    <s v="Workshop"/>
    <s v="Compressed Air System"/>
    <s v="High pressure release"/>
    <s v="Pressure"/>
    <s v="Fatal injury"/>
    <n v="2"/>
    <n v="2"/>
    <x v="8"/>
    <s v="Low"/>
    <s v="Emergency response equipment available"/>
    <s v="Conduct emergency drill"/>
    <n v="2"/>
    <n v="2"/>
    <x v="6"/>
    <x v="0"/>
    <s v="Low"/>
    <s v="Pending"/>
    <s v="Production Supervisor"/>
    <x v="198"/>
  </r>
  <r>
    <s v="RA0387"/>
    <x v="292"/>
    <s v="Administration"/>
    <s v="Workshop"/>
    <s v="Office Work"/>
    <s v="Ergonomic hazards and slips/trips"/>
    <s v="Ergonomic"/>
    <s v="Musculoskeletal strain"/>
    <n v="5"/>
    <n v="5"/>
    <x v="7"/>
    <s v="Critical"/>
    <s v="Toolbox talk before work"/>
    <s v="Update risk assessment and procedure"/>
    <n v="4"/>
    <n v="5"/>
    <x v="12"/>
    <x v="0"/>
    <s v="Critical"/>
    <s v="Pending"/>
    <s v="HSE Officer"/>
    <x v="52"/>
  </r>
  <r>
    <s v="RA0388"/>
    <x v="293"/>
    <s v="Production"/>
    <s v="Utilities Area"/>
    <s v="Packing Operation"/>
    <s v="Moving machinery and dust"/>
    <s v="Mechanical"/>
    <s v="Serious injury"/>
    <n v="5"/>
    <n v="5"/>
    <x v="7"/>
    <s v="Critical"/>
    <s v="Safety signage and restricted access"/>
    <s v="Provide specialized PPE"/>
    <n v="4"/>
    <n v="4"/>
    <x v="7"/>
    <x v="0"/>
    <s v="High"/>
    <s v="Implemented"/>
    <s v="Department Supervisor"/>
    <x v="311"/>
  </r>
  <r>
    <s v="RA0389"/>
    <x v="42"/>
    <s v="Utilities"/>
    <s v="Warehouse"/>
    <s v="Chemical Handling"/>
    <s v="Chemical exposure and spills"/>
    <s v="Chemical"/>
    <s v="Eye injury"/>
    <n v="4"/>
    <n v="4"/>
    <x v="1"/>
    <s v="High"/>
    <s v="Trained and authorized personnel only"/>
    <s v="Verify PTW and isolation before work"/>
    <n v="3"/>
    <n v="3"/>
    <x v="3"/>
    <x v="0"/>
    <s v="Medium"/>
    <s v="Implemented"/>
    <s v="Department Supervisor"/>
    <x v="43"/>
  </r>
  <r>
    <s v="RA0390"/>
    <x v="294"/>
    <s v="Production"/>
    <s v="Utilities Area"/>
    <s v="Packing Operation"/>
    <s v="Moving machinery and dust"/>
    <s v="Mechanical"/>
    <s v="Serious injury"/>
    <n v="5"/>
    <n v="5"/>
    <x v="7"/>
    <s v="Critical"/>
    <s v="Standard operating procedure and supervision"/>
    <s v="Conduct refresher training"/>
    <n v="4"/>
    <n v="5"/>
    <x v="12"/>
    <x v="0"/>
    <s v="Critical"/>
    <s v="Pending"/>
    <s v="Department Supervisor"/>
    <x v="312"/>
  </r>
  <r>
    <s v="RA0391"/>
    <x v="295"/>
    <s v="Utilities"/>
    <s v="Warehouse"/>
    <s v="Boiler Operation"/>
    <s v="High pressure and hot surfaces"/>
    <s v="Pressure / Thermal"/>
    <s v="Burn"/>
    <n v="4"/>
    <n v="5"/>
    <x v="5"/>
    <s v="Critical"/>
    <s v="Safety signage and restricted access"/>
    <s v="Update risk assessment and procedure"/>
    <n v="3"/>
    <n v="5"/>
    <x v="9"/>
    <x v="0"/>
    <s v="High"/>
    <s v="Partially Implemented"/>
    <s v="Maintenance Supervisor"/>
    <x v="313"/>
  </r>
  <r>
    <s v="RA0392"/>
    <x v="296"/>
    <s v="Production"/>
    <s v="Office"/>
    <s v="Packing Operation"/>
    <s v="Moving machinery and dust"/>
    <s v="Mechanical"/>
    <s v="Crush injury"/>
    <n v="4"/>
    <n v="5"/>
    <x v="5"/>
    <s v="Critical"/>
    <s v="PPE provided and mandatory"/>
    <s v="Update risk assessment and procedure"/>
    <n v="2"/>
    <n v="5"/>
    <x v="11"/>
    <x v="0"/>
    <s v="High"/>
    <s v="Pending"/>
    <s v="HSE Officer"/>
    <x v="314"/>
  </r>
  <r>
    <s v="RA0393"/>
    <x v="297"/>
    <s v="Utilities"/>
    <s v="Laboratory"/>
    <s v="Boiler Operation"/>
    <s v="High pressure and hot surfaces"/>
    <s v="Pressure / Thermal"/>
    <s v="Pressure-related injury"/>
    <n v="5"/>
    <n v="5"/>
    <x v="7"/>
    <s v="Critical"/>
    <s v="Emergency response equipment available"/>
    <s v="Provide specialized PPE"/>
    <n v="4"/>
    <n v="5"/>
    <x v="12"/>
    <x v="0"/>
    <s v="Critical"/>
    <s v="Pending"/>
    <s v="Production Supervisor"/>
    <x v="315"/>
  </r>
  <r>
    <s v="RA0394"/>
    <x v="298"/>
    <s v="Utilities"/>
    <s v="Workshop"/>
    <s v="Boiler Operation"/>
    <s v="High pressure and hot surfaces"/>
    <s v="Pressure / Thermal"/>
    <s v="Serious injury"/>
    <n v="4"/>
    <n v="5"/>
    <x v="5"/>
    <s v="Critical"/>
    <s v="Toolbox talk before work"/>
    <s v="Install additional physical guard"/>
    <n v="3"/>
    <n v="5"/>
    <x v="9"/>
    <x v="0"/>
    <s v="High"/>
    <s v="Pending"/>
    <s v="Production Supervisor"/>
    <x v="316"/>
  </r>
  <r>
    <s v="RA0395"/>
    <x v="299"/>
    <s v="Utilities"/>
    <s v="Plant Area B"/>
    <s v="Chemical Handling"/>
    <s v="Chemical exposure and spills"/>
    <s v="Chemical"/>
    <s v="Respiratory irritation"/>
    <n v="2"/>
    <n v="4"/>
    <x v="6"/>
    <s v="Medium"/>
    <s v="Preventive maintenance program"/>
    <s v="Install additional physical guard"/>
    <n v="1"/>
    <n v="3"/>
    <x v="4"/>
    <x v="0"/>
    <s v="Low"/>
    <s v="Pending"/>
    <s v="Maintenance Supervisor"/>
    <x v="317"/>
  </r>
  <r>
    <s v="RA0396"/>
    <x v="208"/>
    <s v="Warehouse"/>
    <s v="Utilities Area"/>
    <s v="Material Stacking"/>
    <s v="Falling objects"/>
    <s v="Physical"/>
    <s v="Serious injury"/>
    <n v="3"/>
    <n v="2"/>
    <x v="0"/>
    <s v="Medium"/>
    <s v="Trained and authorized personnel only"/>
    <s v="Implement engineering control"/>
    <n v="2"/>
    <n v="1"/>
    <x v="0"/>
    <x v="0"/>
    <s v="Low"/>
    <s v="Partially Implemented"/>
    <s v="Maintenance Supervisor"/>
    <x v="218"/>
  </r>
  <r>
    <s v="RA0397"/>
    <x v="186"/>
    <s v="Warehouse"/>
    <s v="Utilities Area"/>
    <s v="Forklift Operation"/>
    <s v="Vehicle-pedestrian interaction"/>
    <s v="Vehicle / Traffic"/>
    <s v="Serious injury"/>
    <n v="5"/>
    <n v="5"/>
    <x v="7"/>
    <s v="Critical"/>
    <s v="Trained and authorized personnel only"/>
    <s v="Conduct emergency drill"/>
    <n v="4"/>
    <n v="5"/>
    <x v="12"/>
    <x v="0"/>
    <s v="Critical"/>
    <s v="Pending"/>
    <s v="Maintenance Supervisor"/>
    <x v="194"/>
  </r>
  <r>
    <s v="RA0398"/>
    <x v="121"/>
    <s v="Production"/>
    <s v="Plant Area A"/>
    <s v="Excavation Work"/>
    <s v="Collapse and underground services"/>
    <s v="Excavation"/>
    <s v="Collapse injury"/>
    <n v="3"/>
    <n v="4"/>
    <x v="4"/>
    <s v="High"/>
    <s v="PPE provided and mandatory"/>
    <s v="Update risk assessment and procedure"/>
    <n v="3"/>
    <n v="3"/>
    <x v="3"/>
    <x v="0"/>
    <s v="Medium"/>
    <s v="Partially Implemented"/>
    <s v="HSE Officer"/>
    <x v="120"/>
  </r>
  <r>
    <s v="RA0399"/>
    <x v="300"/>
    <s v="Electrical"/>
    <s v="Office"/>
    <s v="Cable Installation"/>
    <s v="Electric shock and trip hazards"/>
    <s v="Electrical"/>
    <s v="Burn"/>
    <n v="4"/>
    <n v="2"/>
    <x v="6"/>
    <s v="Medium"/>
    <s v="Standard operating procedure and supervision"/>
    <s v="Conduct refresher training"/>
    <n v="3"/>
    <n v="1"/>
    <x v="4"/>
    <x v="0"/>
    <s v="Low"/>
    <s v="Implemented"/>
    <s v="HSE Officer"/>
    <x v="318"/>
  </r>
  <r>
    <s v="RA0400"/>
    <x v="29"/>
    <s v="Utilities"/>
    <s v="Office"/>
    <s v="Boiler Operation"/>
    <s v="High pressure and hot surfaces"/>
    <s v="Pressure / Thermal"/>
    <s v="Serious injury"/>
    <n v="2"/>
    <n v="3"/>
    <x v="0"/>
    <s v="Medium"/>
    <s v="Machine guarding and routine inspection"/>
    <s v="Update risk assessment and procedure"/>
    <n v="2"/>
    <n v="2"/>
    <x v="6"/>
    <x v="0"/>
    <s v="Low"/>
    <s v="Partially Implemented"/>
    <s v="Maintenance Supervisor"/>
    <x v="67"/>
  </r>
  <r>
    <s v="RA0401"/>
    <x v="69"/>
    <s v="Mechanical"/>
    <s v="Laboratory"/>
    <s v="Pump Maintenance"/>
    <s v="Stored pressure and rotating parts"/>
    <s v="Mechanical"/>
    <s v="Serious injury"/>
    <n v="4"/>
    <n v="2"/>
    <x v="6"/>
    <s v="Medium"/>
    <s v="PPE provided and mandatory"/>
    <s v="Verify PTW and isolation before work"/>
    <n v="3"/>
    <n v="2"/>
    <x v="5"/>
    <x v="0"/>
    <s v="Medium"/>
    <s v="Pending"/>
    <s v="Department Supervisor"/>
    <x v="241"/>
  </r>
  <r>
    <s v="RA0402"/>
    <x v="301"/>
    <s v="Production"/>
    <s v="Warehouse"/>
    <s v="Excavation Work"/>
    <s v="Collapse and underground services"/>
    <s v="Excavation"/>
    <s v="Serious injury"/>
    <n v="3"/>
    <n v="5"/>
    <x v="3"/>
    <s v="High"/>
    <s v="Standard operating procedure and supervision"/>
    <s v="Update risk assessment and procedure"/>
    <n v="2"/>
    <n v="4"/>
    <x v="10"/>
    <x v="0"/>
    <s v="Medium"/>
    <s v="Implemented"/>
    <s v="Production Supervisor"/>
    <x v="285"/>
  </r>
  <r>
    <s v="RA0403"/>
    <x v="302"/>
    <s v="Production"/>
    <s v="Utilities Area"/>
    <s v="Excavation Work"/>
    <s v="Collapse and underground services"/>
    <s v="Excavation"/>
    <s v="Fatal injury"/>
    <n v="4"/>
    <n v="2"/>
    <x v="6"/>
    <s v="Medium"/>
    <s v="Machine guarding and routine inspection"/>
    <s v="Conduct refresher training"/>
    <n v="2"/>
    <n v="2"/>
    <x v="6"/>
    <x v="0"/>
    <s v="Low"/>
    <s v="Implemented"/>
    <s v="Department Supervisor"/>
    <x v="319"/>
  </r>
  <r>
    <s v="RA0404"/>
    <x v="303"/>
    <s v="Electrical"/>
    <s v="Utilities Area"/>
    <s v="Electrical Panel Maintenance"/>
    <s v="Electric shock and arc flash"/>
    <s v="Electrical"/>
    <s v="Electric shock"/>
    <n v="4"/>
    <n v="4"/>
    <x v="1"/>
    <s v="High"/>
    <s v="Trained and authorized personnel only"/>
    <s v="Provide specialized PPE"/>
    <n v="3"/>
    <n v="4"/>
    <x v="1"/>
    <x v="0"/>
    <s v="High"/>
    <s v="Partially Implemented"/>
    <s v="HSE Officer"/>
    <x v="320"/>
  </r>
  <r>
    <s v="RA0405"/>
    <x v="304"/>
    <s v="Warehouse"/>
    <s v="Laboratory"/>
    <s v="Forklift Operation"/>
    <s v="Vehicle-pedestrian interaction"/>
    <s v="Vehicle / Traffic"/>
    <s v="Fatal injury"/>
    <n v="4"/>
    <n v="4"/>
    <x v="1"/>
    <s v="High"/>
    <s v="Standard operating procedure and supervision"/>
    <s v="Increase inspection frequency"/>
    <n v="4"/>
    <n v="3"/>
    <x v="1"/>
    <x v="0"/>
    <s v="High"/>
    <s v="Partially Implemented"/>
    <s v="HSE Engineer"/>
    <x v="321"/>
  </r>
  <r>
    <s v="RA0406"/>
    <x v="305"/>
    <s v="Warehouse"/>
    <s v="Office"/>
    <s v="Forklift Operation"/>
    <s v="Vehicle-pedestrian interaction"/>
    <s v="Vehicle / Traffic"/>
    <s v="Serious injury"/>
    <n v="2"/>
    <n v="3"/>
    <x v="0"/>
    <s v="Medium"/>
    <s v="Emergency response equipment available"/>
    <s v="Conduct emergency drill"/>
    <n v="1"/>
    <n v="2"/>
    <x v="0"/>
    <x v="0"/>
    <s v="Low"/>
    <s v="Pending"/>
    <s v="Production Supervisor"/>
    <x v="322"/>
  </r>
  <r>
    <s v="RA0407"/>
    <x v="306"/>
    <s v="Mechanical"/>
    <s v="Laboratory"/>
    <s v="Welding and Cutting"/>
    <s v="Fire, fumes and hot work"/>
    <s v="Fire / Chemical"/>
    <s v="Respiratory irritation"/>
    <n v="2"/>
    <n v="2"/>
    <x v="8"/>
    <s v="Low"/>
    <s v="Emergency response equipment available"/>
    <s v="Install warning signs and barriers"/>
    <n v="1"/>
    <n v="2"/>
    <x v="0"/>
    <x v="0"/>
    <s v="Low"/>
    <s v="Partially Implemented"/>
    <s v="Maintenance Supervisor"/>
    <x v="323"/>
  </r>
  <r>
    <s v="RA0408"/>
    <x v="307"/>
    <s v="Warehouse"/>
    <s v="Warehouse"/>
    <s v="Material Stacking"/>
    <s v="Falling objects"/>
    <s v="Physical"/>
    <s v="Head injury"/>
    <n v="5"/>
    <n v="3"/>
    <x v="3"/>
    <s v="High"/>
    <s v="PPE provided and mandatory"/>
    <s v="Install warning signs and barriers"/>
    <n v="4"/>
    <n v="3"/>
    <x v="1"/>
    <x v="0"/>
    <s v="High"/>
    <s v="Partially Implemented"/>
    <s v="HSE Engineer"/>
    <x v="324"/>
  </r>
  <r>
    <s v="RA0409"/>
    <x v="202"/>
    <s v="Production"/>
    <s v="Warehouse"/>
    <s v="Raw Material Handling"/>
    <s v="Moving equipment / conveyor"/>
    <s v="Mechanical"/>
    <s v="Serious injury"/>
    <n v="5"/>
    <n v="5"/>
    <x v="7"/>
    <s v="Critical"/>
    <s v="Safety signage and restricted access"/>
    <s v="Update risk assessment and procedure"/>
    <n v="3"/>
    <n v="4"/>
    <x v="1"/>
    <x v="0"/>
    <s v="High"/>
    <s v="Partially Implemented"/>
    <s v="HSE Engineer"/>
    <x v="186"/>
  </r>
  <r>
    <s v="RA0410"/>
    <x v="201"/>
    <s v="Mechanical"/>
    <s v="Warehouse"/>
    <s v="Welding and Cutting"/>
    <s v="Fire, fumes and hot work"/>
    <s v="Fire / Chemical"/>
    <s v="Burn"/>
    <n v="3"/>
    <n v="5"/>
    <x v="3"/>
    <s v="High"/>
    <s v="PPE provided and mandatory"/>
    <s v="Conduct refresher training"/>
    <n v="3"/>
    <n v="4"/>
    <x v="1"/>
    <x v="0"/>
    <s v="High"/>
    <s v="Partially Implemented"/>
    <s v="Maintenance Supervisor"/>
    <x v="208"/>
  </r>
  <r>
    <s v="RA0411"/>
    <x v="308"/>
    <s v="Production"/>
    <s v="Laboratory"/>
    <s v="Raw Material Handling"/>
    <s v="Moving equipment / conveyor"/>
    <s v="Mechanical"/>
    <s v="Amputation"/>
    <n v="3"/>
    <n v="2"/>
    <x v="0"/>
    <s v="Medium"/>
    <s v="PPE provided and mandatory"/>
    <s v="Verify PTW and isolation before work"/>
    <n v="2"/>
    <n v="2"/>
    <x v="6"/>
    <x v="0"/>
    <s v="Low"/>
    <s v="Implemented"/>
    <s v="Maintenance Supervisor"/>
    <x v="96"/>
  </r>
  <r>
    <s v="RA0412"/>
    <x v="309"/>
    <s v="Electrical"/>
    <s v="Laboratory"/>
    <s v="Electrical Panel Maintenance"/>
    <s v="Electric shock and arc flash"/>
    <s v="Electrical"/>
    <s v="Electric shock"/>
    <n v="4"/>
    <n v="3"/>
    <x v="4"/>
    <s v="High"/>
    <s v="Toolbox talk before work"/>
    <s v="Conduct emergency drill"/>
    <n v="3"/>
    <n v="3"/>
    <x v="3"/>
    <x v="0"/>
    <s v="Medium"/>
    <s v="Partially Implemented"/>
    <s v="Production Supervisor"/>
    <x v="325"/>
  </r>
  <r>
    <s v="RA0413"/>
    <x v="41"/>
    <s v="Production"/>
    <s v="Workshop"/>
    <s v="Excavation Work"/>
    <s v="Collapse and underground services"/>
    <s v="Excavation"/>
    <s v="Collapse injury"/>
    <n v="4"/>
    <n v="2"/>
    <x v="6"/>
    <s v="Medium"/>
    <s v="Toolbox talk before work"/>
    <s v="Install additional physical guard"/>
    <n v="4"/>
    <n v="2"/>
    <x v="10"/>
    <x v="1"/>
    <s v="Medium"/>
    <s v="Implemented"/>
    <s v="Production Supervisor"/>
    <x v="42"/>
  </r>
  <r>
    <s v="RA0414"/>
    <x v="108"/>
    <s v="Production"/>
    <s v="Plant Area A"/>
    <s v="Excavation Work"/>
    <s v="Collapse and underground services"/>
    <s v="Excavation"/>
    <s v="Fatal injury"/>
    <n v="3"/>
    <n v="4"/>
    <x v="4"/>
    <s v="High"/>
    <s v="Emergency response equipment available"/>
    <s v="Improve supervision and monitoring"/>
    <n v="2"/>
    <n v="3"/>
    <x v="5"/>
    <x v="0"/>
    <s v="Medium"/>
    <s v="Pending"/>
    <s v="HSE Officer"/>
    <x v="108"/>
  </r>
  <r>
    <s v="RA0415"/>
    <x v="310"/>
    <s v="Maintenance"/>
    <s v="Warehouse"/>
    <s v="Grinding Maintenance"/>
    <s v="Stored energy and moving parts"/>
    <s v="Mechanical"/>
    <s v="Crush injury"/>
    <n v="3"/>
    <n v="5"/>
    <x v="3"/>
    <s v="High"/>
    <s v="Emergency response equipment available"/>
    <s v="Conduct refresher training"/>
    <n v="2"/>
    <n v="5"/>
    <x v="11"/>
    <x v="0"/>
    <s v="High"/>
    <s v="Partially Implemented"/>
    <s v="Department Supervisor"/>
    <x v="326"/>
  </r>
  <r>
    <s v="RA0416"/>
    <x v="0"/>
    <s v="Warehouse"/>
    <s v="Warehouse"/>
    <s v="Forklift Operation"/>
    <s v="Vehicle-pedestrian interaction"/>
    <s v="Vehicle / Traffic"/>
    <s v="Collision"/>
    <n v="4"/>
    <n v="3"/>
    <x v="4"/>
    <s v="High"/>
    <s v="Emergency response equipment available"/>
    <s v="Provide specialized PPE"/>
    <n v="3"/>
    <n v="2"/>
    <x v="5"/>
    <x v="0"/>
    <s v="Medium"/>
    <s v="Pending"/>
    <s v="Production Supervisor"/>
    <x v="327"/>
  </r>
  <r>
    <s v="RA0417"/>
    <x v="70"/>
    <s v="Mechanical"/>
    <s v="Laboratory"/>
    <s v="Welding and Cutting"/>
    <s v="Fire, fumes and hot work"/>
    <s v="Fire / Chemical"/>
    <s v="Fire-related injury"/>
    <n v="3"/>
    <n v="5"/>
    <x v="3"/>
    <s v="High"/>
    <s v="Machine guarding and routine inspection"/>
    <s v="Install additional physical guard"/>
    <n v="1"/>
    <n v="5"/>
    <x v="2"/>
    <x v="0"/>
    <s v="Medium"/>
    <s v="Pending"/>
    <s v="Maintenance Supervisor"/>
    <x v="21"/>
  </r>
  <r>
    <s v="RA0418"/>
    <x v="311"/>
    <s v="Quality"/>
    <s v="Warehouse"/>
    <s v="Laboratory Testing"/>
    <s v="Chemical exposure"/>
    <s v="Chemical"/>
    <s v="Eye injury"/>
    <n v="3"/>
    <n v="2"/>
    <x v="0"/>
    <s v="Medium"/>
    <s v="Preventive maintenance program"/>
    <s v="Conduct emergency drill"/>
    <n v="2"/>
    <n v="1"/>
    <x v="0"/>
    <x v="0"/>
    <s v="Low"/>
    <s v="Partially Implemented"/>
    <s v="HSE Engineer"/>
    <x v="328"/>
  </r>
  <r>
    <s v="RA0419"/>
    <x v="244"/>
    <s v="Electrical"/>
    <s v="Utilities Area"/>
    <s v="Electrical Panel Maintenance"/>
    <s v="Electric shock and arc flash"/>
    <s v="Electrical"/>
    <s v="Serious injury"/>
    <n v="4"/>
    <n v="2"/>
    <x v="6"/>
    <s v="Medium"/>
    <s v="PPE provided and mandatory"/>
    <s v="Improve supervision and monitoring"/>
    <n v="4"/>
    <n v="2"/>
    <x v="10"/>
    <x v="0"/>
    <s v="Medium"/>
    <s v="Pending"/>
    <s v="Production Supervisor"/>
    <x v="320"/>
  </r>
  <r>
    <s v="RA0420"/>
    <x v="300"/>
    <s v="Utilities"/>
    <s v="Plant Area A"/>
    <s v="Compressed Air System"/>
    <s v="High pressure release"/>
    <s v="Pressure"/>
    <s v="Serious injury"/>
    <n v="5"/>
    <n v="4"/>
    <x v="5"/>
    <s v="Critical"/>
    <s v="PPE provided and mandatory"/>
    <s v="Improve supervision and monitoring"/>
    <n v="5"/>
    <n v="3"/>
    <x v="9"/>
    <x v="0"/>
    <s v="High"/>
    <s v="Implemented"/>
    <s v="Maintenance Supervisor"/>
    <x v="329"/>
  </r>
  <r>
    <s v="RA0421"/>
    <x v="312"/>
    <s v="Utilities"/>
    <s v="Warehouse"/>
    <s v="Compressed Air System"/>
    <s v="High pressure release"/>
    <s v="Pressure"/>
    <s v="Fatal injury"/>
    <n v="2"/>
    <n v="3"/>
    <x v="0"/>
    <s v="Medium"/>
    <s v="Preventive maintenance program"/>
    <s v="Provide specialized PPE"/>
    <n v="1"/>
    <n v="2"/>
    <x v="0"/>
    <x v="0"/>
    <s v="Low"/>
    <s v="Pending"/>
    <s v="Production Supervisor"/>
    <x v="330"/>
  </r>
  <r>
    <s v="RA0422"/>
    <x v="247"/>
    <s v="Electrical"/>
    <s v="Office"/>
    <s v="Electrical Panel Maintenance"/>
    <s v="Electric shock and arc flash"/>
    <s v="Electrical"/>
    <s v="Electric shock"/>
    <n v="5"/>
    <n v="4"/>
    <x v="5"/>
    <s v="Critical"/>
    <s v="Emergency response equipment available"/>
    <s v="Conduct refresher training"/>
    <n v="4"/>
    <n v="4"/>
    <x v="7"/>
    <x v="0"/>
    <s v="High"/>
    <s v="Partially Implemented"/>
    <s v="Maintenance Supervisor"/>
    <x v="261"/>
  </r>
  <r>
    <s v="RA0423"/>
    <x v="258"/>
    <s v="Utilities"/>
    <s v="Utilities Area"/>
    <s v="Chemical Handling"/>
    <s v="Chemical exposure and spills"/>
    <s v="Chemical"/>
    <s v="Respiratory irritation"/>
    <n v="2"/>
    <n v="3"/>
    <x v="0"/>
    <s v="Medium"/>
    <s v="Preventive maintenance program"/>
    <s v="Verify PTW and isolation before work"/>
    <n v="1"/>
    <n v="3"/>
    <x v="4"/>
    <x v="0"/>
    <s v="Low"/>
    <s v="Partially Implemented"/>
    <s v="Maintenance Supervisor"/>
    <x v="331"/>
  </r>
  <r>
    <s v="RA0424"/>
    <x v="313"/>
    <s v="Quality"/>
    <s v="Plant Area B"/>
    <s v="Laboratory Testing"/>
    <s v="Chemical exposure"/>
    <s v="Chemical"/>
    <s v="Skin irritation"/>
    <n v="2"/>
    <n v="2"/>
    <x v="8"/>
    <s v="Low"/>
    <s v="Trained and authorized personnel only"/>
    <s v="Verify PTW and isolation before work"/>
    <n v="1"/>
    <n v="2"/>
    <x v="0"/>
    <x v="0"/>
    <s v="Low"/>
    <s v="Implemented"/>
    <s v="HSE Engineer"/>
    <x v="179"/>
  </r>
  <r>
    <s v="RA0425"/>
    <x v="314"/>
    <s v="Maintenance"/>
    <s v="Workshop"/>
    <s v="Grinding Maintenance"/>
    <s v="Stored energy and moving parts"/>
    <s v="Mechanical"/>
    <s v="Amputation"/>
    <n v="3"/>
    <n v="4"/>
    <x v="4"/>
    <s v="High"/>
    <s v="Safety signage and restricted access"/>
    <s v="Verify PTW and isolation before work"/>
    <n v="2"/>
    <n v="3"/>
    <x v="5"/>
    <x v="0"/>
    <s v="Medium"/>
    <s v="Pending"/>
    <s v="HSE Engineer"/>
    <x v="332"/>
  </r>
  <r>
    <s v="RA0426"/>
    <x v="214"/>
    <s v="Mechanical"/>
    <s v="Plant Area B"/>
    <s v="Welding and Cutting"/>
    <s v="Fire, fumes and hot work"/>
    <s v="Fire / Chemical"/>
    <s v="Burn"/>
    <n v="5"/>
    <n v="4"/>
    <x v="5"/>
    <s v="Critical"/>
    <s v="Machine guarding and routine inspection"/>
    <s v="Increase inspection frequency"/>
    <n v="3"/>
    <n v="4"/>
    <x v="1"/>
    <x v="0"/>
    <s v="High"/>
    <s v="Implemented"/>
    <s v="Department Supervisor"/>
    <x v="333"/>
  </r>
  <r>
    <s v="RA0427"/>
    <x v="63"/>
    <s v="Mechanical"/>
    <s v="Office"/>
    <s v="Welding and Cutting"/>
    <s v="Fire, fumes and hot work"/>
    <s v="Fire / Chemical"/>
    <s v="Burn"/>
    <n v="3"/>
    <n v="5"/>
    <x v="3"/>
    <s v="High"/>
    <s v="Toolbox talk before work"/>
    <s v="Implement engineering control"/>
    <n v="2"/>
    <n v="4"/>
    <x v="10"/>
    <x v="0"/>
    <s v="Medium"/>
    <s v="Implemented"/>
    <s v="HSE Officer"/>
    <x v="334"/>
  </r>
  <r>
    <s v="RA0428"/>
    <x v="73"/>
    <s v="Utilities"/>
    <s v="Plant Area B"/>
    <s v="Boiler Operation"/>
    <s v="High pressure and hot surfaces"/>
    <s v="Pressure / Thermal"/>
    <s v="Pressure-related injury"/>
    <n v="2"/>
    <n v="3"/>
    <x v="0"/>
    <s v="Medium"/>
    <s v="Preventive maintenance program"/>
    <s v="Install warning signs and barriers"/>
    <n v="1"/>
    <n v="3"/>
    <x v="4"/>
    <x v="0"/>
    <s v="Low"/>
    <s v="Pending"/>
    <s v="Department Supervisor"/>
    <x v="161"/>
  </r>
  <r>
    <s v="RA0429"/>
    <x v="315"/>
    <s v="Quality"/>
    <s v="Utilities Area"/>
    <s v="Laboratory Testing"/>
    <s v="Chemical exposure"/>
    <s v="Chemical"/>
    <s v="Skin irritation"/>
    <n v="5"/>
    <n v="3"/>
    <x v="3"/>
    <s v="High"/>
    <s v="Machine guarding and routine inspection"/>
    <s v="Install warning signs and barriers"/>
    <n v="4"/>
    <n v="3"/>
    <x v="1"/>
    <x v="0"/>
    <s v="High"/>
    <s v="Pending"/>
    <s v="Production Supervisor"/>
    <x v="335"/>
  </r>
  <r>
    <s v="RA0430"/>
    <x v="194"/>
    <s v="Warehouse"/>
    <s v="Office"/>
    <s v="Material Stacking"/>
    <s v="Falling objects"/>
    <s v="Physical"/>
    <s v="Head injury"/>
    <n v="4"/>
    <n v="5"/>
    <x v="5"/>
    <s v="Critical"/>
    <s v="Trained and authorized personnel only"/>
    <s v="Conduct refresher training"/>
    <n v="4"/>
    <n v="5"/>
    <x v="12"/>
    <x v="1"/>
    <s v="Critical"/>
    <s v="Implemented"/>
    <s v="Department Supervisor"/>
    <x v="336"/>
  </r>
  <r>
    <s v="RA0431"/>
    <x v="316"/>
    <s v="Utilities"/>
    <s v="Plant Area A"/>
    <s v="Compressed Air System"/>
    <s v="High pressure release"/>
    <s v="Pressure"/>
    <s v="Impact injury"/>
    <n v="5"/>
    <n v="2"/>
    <x v="2"/>
    <s v="High"/>
    <s v="Standard operating procedure and supervision"/>
    <s v="Improve supervision and monitoring"/>
    <n v="4"/>
    <n v="1"/>
    <x v="6"/>
    <x v="0"/>
    <s v="Low"/>
    <s v="Implemented"/>
    <s v="Production Supervisor"/>
    <x v="337"/>
  </r>
  <r>
    <s v="RA0432"/>
    <x v="253"/>
    <s v="Mechanical"/>
    <s v="Laboratory"/>
    <s v="Pump Maintenance"/>
    <s v="Stored pressure and rotating parts"/>
    <s v="Mechanical"/>
    <s v="Serious injury"/>
    <n v="2"/>
    <n v="5"/>
    <x v="2"/>
    <s v="High"/>
    <s v="Safety signage and restricted access"/>
    <s v="Conduct refresher training"/>
    <n v="2"/>
    <n v="4"/>
    <x v="10"/>
    <x v="0"/>
    <s v="Medium"/>
    <s v="Partially Implemented"/>
    <s v="HSE Engineer"/>
    <x v="266"/>
  </r>
  <r>
    <s v="RA0433"/>
    <x v="317"/>
    <s v="Warehouse"/>
    <s v="Office"/>
    <s v="Forklift Operation"/>
    <s v="Vehicle-pedestrian interaction"/>
    <s v="Vehicle / Traffic"/>
    <s v="Collision"/>
    <n v="5"/>
    <n v="5"/>
    <x v="7"/>
    <s v="Critical"/>
    <s v="Toolbox talk before work"/>
    <s v="Conduct emergency drill"/>
    <n v="5"/>
    <n v="4"/>
    <x v="12"/>
    <x v="0"/>
    <s v="Critical"/>
    <s v="Implemented"/>
    <s v="HSE Officer"/>
    <x v="338"/>
  </r>
  <r>
    <s v="RA0434"/>
    <x v="318"/>
    <s v="Production"/>
    <s v="Utilities Area"/>
    <s v="Kiln Operation"/>
    <s v="Hot surfaces and high temperature"/>
    <s v="Thermal"/>
    <s v="Heat stress"/>
    <n v="4"/>
    <n v="3"/>
    <x v="4"/>
    <s v="High"/>
    <s v="Emergency response equipment available"/>
    <s v="Conduct emergency drill"/>
    <n v="3"/>
    <n v="3"/>
    <x v="3"/>
    <x v="0"/>
    <s v="Medium"/>
    <s v="Partially Implemented"/>
    <s v="HSE Officer"/>
    <x v="339"/>
  </r>
  <r>
    <s v="RA0435"/>
    <x v="151"/>
    <s v="Utilities"/>
    <s v="Laboratory"/>
    <s v="Boiler Operation"/>
    <s v="High pressure and hot surfaces"/>
    <s v="Pressure / Thermal"/>
    <s v="Burn"/>
    <n v="4"/>
    <n v="4"/>
    <x v="1"/>
    <s v="High"/>
    <s v="Trained and authorized personnel only"/>
    <s v="Improve supervision and monitoring"/>
    <n v="4"/>
    <n v="3"/>
    <x v="1"/>
    <x v="0"/>
    <s v="High"/>
    <s v="Pending"/>
    <s v="HSE Officer"/>
    <x v="151"/>
  </r>
  <r>
    <s v="RA0436"/>
    <x v="319"/>
    <s v="Production"/>
    <s v="Office"/>
    <s v="Excavation Work"/>
    <s v="Collapse and underground services"/>
    <s v="Excavation"/>
    <s v="Collapse injury"/>
    <n v="4"/>
    <n v="3"/>
    <x v="4"/>
    <s v="High"/>
    <s v="Toolbox talk before work"/>
    <s v="Install additional physical guard"/>
    <n v="4"/>
    <n v="2"/>
    <x v="10"/>
    <x v="0"/>
    <s v="Medium"/>
    <s v="Partially Implemented"/>
    <s v="Department Supervisor"/>
    <x v="220"/>
  </r>
  <r>
    <s v="RA0437"/>
    <x v="320"/>
    <s v="Utilities"/>
    <s v="Laboratory"/>
    <s v="Boiler Operation"/>
    <s v="High pressure and hot surfaces"/>
    <s v="Pressure / Thermal"/>
    <s v="Burn"/>
    <n v="3"/>
    <n v="2"/>
    <x v="0"/>
    <s v="Medium"/>
    <s v="Preventive maintenance program"/>
    <s v="Conduct emergency drill"/>
    <n v="1"/>
    <n v="2"/>
    <x v="0"/>
    <x v="0"/>
    <s v="Low"/>
    <s v="Implemented"/>
    <s v="Maintenance Supervisor"/>
    <x v="340"/>
  </r>
  <r>
    <s v="RA0438"/>
    <x v="265"/>
    <s v="Maintenance"/>
    <s v="Utilities Area"/>
    <s v="Mechanical Maintenance"/>
    <s v="Unexpected equipment movement"/>
    <s v="Mechanical"/>
    <s v="Crush injury"/>
    <n v="5"/>
    <n v="3"/>
    <x v="3"/>
    <s v="High"/>
    <s v="Preventive maintenance program"/>
    <s v="Increase inspection frequency"/>
    <n v="3"/>
    <n v="2"/>
    <x v="5"/>
    <x v="0"/>
    <s v="Medium"/>
    <s v="Pending"/>
    <s v="Production Supervisor"/>
    <x v="279"/>
  </r>
  <r>
    <s v="RA0439"/>
    <x v="82"/>
    <s v="Utilities"/>
    <s v="Laboratory"/>
    <s v="Chemical Handling"/>
    <s v="Chemical exposure and spills"/>
    <s v="Chemical"/>
    <s v="Respiratory irritation"/>
    <n v="4"/>
    <n v="3"/>
    <x v="4"/>
    <s v="High"/>
    <s v="Preventive maintenance program"/>
    <s v="Verify PTW and isolation before work"/>
    <n v="3"/>
    <n v="2"/>
    <x v="5"/>
    <x v="0"/>
    <s v="Medium"/>
    <s v="Pending"/>
    <s v="HSE Engineer"/>
    <x v="81"/>
  </r>
  <r>
    <s v="RA0440"/>
    <x v="185"/>
    <s v="Electrical"/>
    <s v="Plant Area B"/>
    <s v="Cable Installation"/>
    <s v="Electric shock and trip hazards"/>
    <s v="Electrical"/>
    <s v="Electric shock"/>
    <n v="5"/>
    <n v="3"/>
    <x v="3"/>
    <s v="High"/>
    <s v="Trained and authorized personnel only"/>
    <s v="Increase inspection frequency"/>
    <n v="4"/>
    <n v="2"/>
    <x v="10"/>
    <x v="0"/>
    <s v="Medium"/>
    <s v="Partially Implemented"/>
    <s v="HSE Engineer"/>
    <x v="341"/>
  </r>
  <r>
    <s v="RA0441"/>
    <x v="321"/>
    <s v="Production"/>
    <s v="Office"/>
    <s v="Kiln Operation"/>
    <s v="Hot surfaces and high temperature"/>
    <s v="Thermal"/>
    <s v="Heat stress"/>
    <n v="3"/>
    <n v="4"/>
    <x v="4"/>
    <s v="High"/>
    <s v="Standard operating procedure and supervision"/>
    <s v="Conduct emergency drill"/>
    <n v="2"/>
    <n v="4"/>
    <x v="10"/>
    <x v="0"/>
    <s v="Medium"/>
    <s v="Partially Implemented"/>
    <s v="HSE Engineer"/>
    <x v="342"/>
  </r>
  <r>
    <s v="RA0442"/>
    <x v="96"/>
    <s v="Production"/>
    <s v="Plant Area B"/>
    <s v="Excavation Work"/>
    <s v="Collapse and underground services"/>
    <s v="Excavation"/>
    <s v="Fatal injury"/>
    <n v="4"/>
    <n v="5"/>
    <x v="5"/>
    <s v="Critical"/>
    <s v="PPE provided and mandatory"/>
    <s v="Install warning signs and barriers"/>
    <n v="4"/>
    <n v="5"/>
    <x v="12"/>
    <x v="1"/>
    <s v="Critical"/>
    <s v="Pending"/>
    <s v="HSE Officer"/>
    <x v="96"/>
  </r>
  <r>
    <s v="RA0443"/>
    <x v="322"/>
    <s v="Electrical"/>
    <s v="Laboratory"/>
    <s v="Electrical Panel Maintenance"/>
    <s v="Electric shock and arc flash"/>
    <s v="Electrical"/>
    <s v="Burn"/>
    <n v="5"/>
    <n v="5"/>
    <x v="7"/>
    <s v="Critical"/>
    <s v="Standard operating procedure and supervision"/>
    <s v="Install warning signs and barriers"/>
    <n v="4"/>
    <n v="5"/>
    <x v="12"/>
    <x v="0"/>
    <s v="Critical"/>
    <s v="Implemented"/>
    <s v="HSE Engineer"/>
    <x v="343"/>
  </r>
  <r>
    <s v="RA0444"/>
    <x v="323"/>
    <s v="Maintenance"/>
    <s v="Plant Area A"/>
    <s v="Confined Space Entry"/>
    <s v="Oxygen deficiency / toxic atmosphere"/>
    <s v="Confined Space"/>
    <s v="Serious injury"/>
    <n v="3"/>
    <n v="2"/>
    <x v="0"/>
    <s v="Medium"/>
    <s v="Safety signage and restricted access"/>
    <s v="Conduct refresher training"/>
    <n v="1"/>
    <n v="1"/>
    <x v="13"/>
    <x v="0"/>
    <s v="Low"/>
    <s v="Implemented"/>
    <s v="Department Supervisor"/>
    <x v="344"/>
  </r>
  <r>
    <s v="RA0445"/>
    <x v="324"/>
    <s v="Administration"/>
    <s v="Warehouse"/>
    <s v="Office Work"/>
    <s v="Ergonomic hazards and slips/trips"/>
    <s v="Ergonomic"/>
    <s v="Musculoskeletal strain"/>
    <n v="5"/>
    <n v="2"/>
    <x v="2"/>
    <s v="High"/>
    <s v="Machine guarding and routine inspection"/>
    <s v="Improve supervision and monitoring"/>
    <n v="4"/>
    <n v="2"/>
    <x v="10"/>
    <x v="0"/>
    <s v="Medium"/>
    <s v="Implemented"/>
    <s v="HSE Engineer"/>
    <x v="345"/>
  </r>
  <r>
    <s v="RA0446"/>
    <x v="325"/>
    <s v="Mechanical"/>
    <s v="Warehouse"/>
    <s v="Welding and Cutting"/>
    <s v="Fire, fumes and hot work"/>
    <s v="Fire / Chemical"/>
    <s v="Fire-related injury"/>
    <n v="3"/>
    <n v="4"/>
    <x v="4"/>
    <s v="High"/>
    <s v="Standard operating procedure and supervision"/>
    <s v="Conduct refresher training"/>
    <n v="3"/>
    <n v="3"/>
    <x v="3"/>
    <x v="0"/>
    <s v="Medium"/>
    <s v="Pending"/>
    <s v="HSE Engineer"/>
    <x v="306"/>
  </r>
  <r>
    <s v="RA0447"/>
    <x v="326"/>
    <s v="Warehouse"/>
    <s v="Plant Area A"/>
    <s v="Material Stacking"/>
    <s v="Falling objects"/>
    <s v="Physical"/>
    <s v="Head injury"/>
    <n v="4"/>
    <n v="3"/>
    <x v="4"/>
    <s v="High"/>
    <s v="Trained and authorized personnel only"/>
    <s v="Install warning signs and barriers"/>
    <n v="3"/>
    <n v="3"/>
    <x v="3"/>
    <x v="0"/>
    <s v="Medium"/>
    <s v="Partially Implemented"/>
    <s v="HSE Officer"/>
    <x v="346"/>
  </r>
  <r>
    <s v="RA0448"/>
    <x v="327"/>
    <s v="Mechanical"/>
    <s v="Workshop"/>
    <s v="Welding and Cutting"/>
    <s v="Fire, fumes and hot work"/>
    <s v="Fire / Chemical"/>
    <s v="Respiratory irritation"/>
    <n v="2"/>
    <n v="3"/>
    <x v="0"/>
    <s v="Medium"/>
    <s v="Machine guarding and routine inspection"/>
    <s v="Provide specialized PPE"/>
    <n v="1"/>
    <n v="2"/>
    <x v="0"/>
    <x v="0"/>
    <s v="Low"/>
    <s v="Pending"/>
    <s v="HSE Engineer"/>
    <x v="347"/>
  </r>
  <r>
    <s v="RA0449"/>
    <x v="95"/>
    <s v="Warehouse"/>
    <s v="Plant Area B"/>
    <s v="Material Stacking"/>
    <s v="Falling objects"/>
    <s v="Physical"/>
    <s v="Head injury"/>
    <n v="5"/>
    <n v="5"/>
    <x v="7"/>
    <s v="Critical"/>
    <s v="PPE provided and mandatory"/>
    <s v="Conduct emergency drill"/>
    <n v="4"/>
    <n v="5"/>
    <x v="12"/>
    <x v="0"/>
    <s v="Critical"/>
    <s v="Pending"/>
    <s v="HSE Engineer"/>
    <x v="95"/>
  </r>
  <r>
    <s v="RA0450"/>
    <x v="328"/>
    <s v="Quality"/>
    <s v="Warehouse"/>
    <s v="Laboratory Testing"/>
    <s v="Chemical exposure"/>
    <s v="Chemical"/>
    <s v="Respiratory irritation"/>
    <n v="3"/>
    <n v="4"/>
    <x v="4"/>
    <s v="High"/>
    <s v="Trained and authorized personnel only"/>
    <s v="Improve supervision and monitoring"/>
    <n v="1"/>
    <n v="4"/>
    <x v="6"/>
    <x v="0"/>
    <s v="Low"/>
    <s v="Partially Implemented"/>
    <s v="HSE Engineer"/>
    <x v="348"/>
  </r>
  <r>
    <s v="RA0451"/>
    <x v="329"/>
    <s v="Production"/>
    <s v="Workshop"/>
    <s v="Raw Material Handling"/>
    <s v="Moving equipment / conveyor"/>
    <s v="Mechanical"/>
    <s v="Crush injury"/>
    <n v="2"/>
    <n v="4"/>
    <x v="6"/>
    <s v="Medium"/>
    <s v="Preventive maintenance program"/>
    <s v="Install warning signs and barriers"/>
    <n v="1"/>
    <n v="3"/>
    <x v="4"/>
    <x v="0"/>
    <s v="Low"/>
    <s v="Partially Implemented"/>
    <s v="Maintenance Supervisor"/>
    <x v="349"/>
  </r>
  <r>
    <s v="RA0452"/>
    <x v="294"/>
    <s v="Warehouse"/>
    <s v="Office"/>
    <s v="Material Stacking"/>
    <s v="Falling objects"/>
    <s v="Physical"/>
    <s v="Serious injury"/>
    <n v="4"/>
    <n v="2"/>
    <x v="6"/>
    <s v="Medium"/>
    <s v="Emergency response equipment available"/>
    <s v="Implement engineering control"/>
    <n v="2"/>
    <n v="2"/>
    <x v="6"/>
    <x v="0"/>
    <s v="Low"/>
    <s v="Partially Implemented"/>
    <s v="Production Supervisor"/>
    <x v="350"/>
  </r>
  <r>
    <s v="RA0453"/>
    <x v="66"/>
    <s v="Production"/>
    <s v="Warehouse"/>
    <s v="Excavation Work"/>
    <s v="Collapse and underground services"/>
    <s v="Excavation"/>
    <s v="Serious injury"/>
    <n v="5"/>
    <n v="5"/>
    <x v="7"/>
    <s v="Critical"/>
    <s v="Trained and authorized personnel only"/>
    <s v="Install additional physical guard"/>
    <n v="5"/>
    <n v="4"/>
    <x v="12"/>
    <x v="0"/>
    <s v="Critical"/>
    <s v="Partially Implemented"/>
    <s v="Department Supervisor"/>
    <x v="351"/>
  </r>
  <r>
    <s v="RA0454"/>
    <x v="330"/>
    <s v="Utilities"/>
    <s v="Utilities Area"/>
    <s v="Compressed Air System"/>
    <s v="High pressure release"/>
    <s v="Pressure"/>
    <s v="Serious injury"/>
    <n v="5"/>
    <n v="4"/>
    <x v="5"/>
    <s v="Critical"/>
    <s v="Emergency response equipment available"/>
    <s v="Conduct emergency drill"/>
    <n v="4"/>
    <n v="4"/>
    <x v="7"/>
    <x v="0"/>
    <s v="High"/>
    <s v="Partially Implemented"/>
    <s v="HSE Engineer"/>
    <x v="352"/>
  </r>
  <r>
    <s v="RA0455"/>
    <x v="295"/>
    <s v="Utilities"/>
    <s v="Office"/>
    <s v="Chemical Handling"/>
    <s v="Chemical exposure and spills"/>
    <s v="Chemical"/>
    <s v="Skin irritation"/>
    <n v="2"/>
    <n v="3"/>
    <x v="0"/>
    <s v="Medium"/>
    <s v="Safety signage and restricted access"/>
    <s v="Verify PTW and isolation before work"/>
    <n v="1"/>
    <n v="2"/>
    <x v="0"/>
    <x v="0"/>
    <s v="Low"/>
    <s v="Pending"/>
    <s v="Department Supervisor"/>
    <x v="353"/>
  </r>
  <r>
    <s v="RA0456"/>
    <x v="34"/>
    <s v="Electrical"/>
    <s v="Warehouse"/>
    <s v="Electrical Panel Maintenance"/>
    <s v="Electric shock and arc flash"/>
    <s v="Electrical"/>
    <s v="Burn"/>
    <n v="4"/>
    <n v="5"/>
    <x v="5"/>
    <s v="Critical"/>
    <s v="Emergency response equipment available"/>
    <s v="Install additional physical guard"/>
    <n v="3"/>
    <n v="5"/>
    <x v="9"/>
    <x v="0"/>
    <s v="High"/>
    <s v="Partially Implemented"/>
    <s v="HSE Engineer"/>
    <x v="34"/>
  </r>
  <r>
    <s v="RA0457"/>
    <x v="68"/>
    <s v="Production"/>
    <s v="Plant Area B"/>
    <s v="Raw Material Handling"/>
    <s v="Moving equipment / conveyor"/>
    <s v="Mechanical"/>
    <s v="Crush injury"/>
    <n v="4"/>
    <n v="5"/>
    <x v="5"/>
    <s v="Critical"/>
    <s v="Toolbox talk before work"/>
    <s v="Install additional physical guard"/>
    <n v="3"/>
    <n v="4"/>
    <x v="1"/>
    <x v="0"/>
    <s v="High"/>
    <s v="Pending"/>
    <s v="HSE Engineer"/>
    <x v="69"/>
  </r>
  <r>
    <s v="RA0458"/>
    <x v="129"/>
    <s v="Warehouse"/>
    <s v="Plant Area B"/>
    <s v="Forklift Operation"/>
    <s v="Vehicle-pedestrian interaction"/>
    <s v="Vehicle / Traffic"/>
    <s v="Collision"/>
    <n v="3"/>
    <n v="4"/>
    <x v="4"/>
    <s v="High"/>
    <s v="Preventive maintenance program"/>
    <s v="Install warning signs and barriers"/>
    <n v="2"/>
    <n v="4"/>
    <x v="10"/>
    <x v="0"/>
    <s v="Medium"/>
    <s v="Implemented"/>
    <s v="Department Supervisor"/>
    <x v="354"/>
  </r>
  <r>
    <s v="RA0459"/>
    <x v="331"/>
    <s v="Production"/>
    <s v="Laboratory"/>
    <s v="Raw Material Handling"/>
    <s v="Moving equipment / conveyor"/>
    <s v="Mechanical"/>
    <s v="Serious injury"/>
    <n v="2"/>
    <n v="3"/>
    <x v="0"/>
    <s v="Medium"/>
    <s v="Trained and authorized personnel only"/>
    <s v="Implement engineering control"/>
    <n v="1"/>
    <n v="3"/>
    <x v="4"/>
    <x v="0"/>
    <s v="Low"/>
    <s v="Pending"/>
    <s v="HSE Officer"/>
    <x v="355"/>
  </r>
  <r>
    <s v="RA0460"/>
    <x v="332"/>
    <s v="Production"/>
    <s v="Utilities Area"/>
    <s v="Work at Height"/>
    <s v="Fall from height"/>
    <s v="Work at Height"/>
    <s v="Fall injury"/>
    <n v="2"/>
    <n v="2"/>
    <x v="8"/>
    <s v="Low"/>
    <s v="Emergency response equipment available"/>
    <s v="Increase inspection frequency"/>
    <n v="1"/>
    <n v="1"/>
    <x v="13"/>
    <x v="0"/>
    <s v="Low"/>
    <s v="Pending"/>
    <s v="HSE Engineer"/>
    <x v="356"/>
  </r>
  <r>
    <s v="RA0461"/>
    <x v="77"/>
    <s v="Warehouse"/>
    <s v="Office"/>
    <s v="Material Stacking"/>
    <s v="Falling objects"/>
    <s v="Physical"/>
    <s v="Serious injury"/>
    <n v="5"/>
    <n v="2"/>
    <x v="2"/>
    <s v="High"/>
    <s v="Standard operating procedure and supervision"/>
    <s v="Implement engineering control"/>
    <n v="4"/>
    <n v="2"/>
    <x v="10"/>
    <x v="0"/>
    <s v="Medium"/>
    <s v="Implemented"/>
    <s v="HSE Engineer"/>
    <x v="357"/>
  </r>
  <r>
    <s v="RA0462"/>
    <x v="333"/>
    <s v="Production"/>
    <s v="Utilities Area"/>
    <s v="Raw Material Handling"/>
    <s v="Moving equipment / conveyor"/>
    <s v="Mechanical"/>
    <s v="Cuts"/>
    <n v="2"/>
    <n v="5"/>
    <x v="2"/>
    <s v="High"/>
    <s v="Safety signage and restricted access"/>
    <s v="Update risk assessment and procedure"/>
    <n v="1"/>
    <n v="5"/>
    <x v="2"/>
    <x v="0"/>
    <s v="Medium"/>
    <s v="Pending"/>
    <s v="HSE Engineer"/>
    <x v="358"/>
  </r>
  <r>
    <s v="RA0463"/>
    <x v="334"/>
    <s v="Administration"/>
    <s v="Plant Area A"/>
    <s v="Office Work"/>
    <s v="Ergonomic hazards and slips/trips"/>
    <s v="Ergonomic"/>
    <s v="Slip/trip injury"/>
    <n v="5"/>
    <n v="3"/>
    <x v="3"/>
    <s v="High"/>
    <s v="Emergency response equipment available"/>
    <s v="Provide specialized PPE"/>
    <n v="3"/>
    <n v="2"/>
    <x v="5"/>
    <x v="0"/>
    <s v="Medium"/>
    <s v="Pending"/>
    <s v="Production Supervisor"/>
    <x v="359"/>
  </r>
  <r>
    <s v="RA0464"/>
    <x v="157"/>
    <s v="Production"/>
    <s v="Office"/>
    <s v="Packing Operation"/>
    <s v="Moving machinery and dust"/>
    <s v="Mechanical"/>
    <s v="Crush injury"/>
    <n v="3"/>
    <n v="3"/>
    <x v="9"/>
    <s v="Medium"/>
    <s v="PPE provided and mandatory"/>
    <s v="Install warning signs and barriers"/>
    <n v="1"/>
    <n v="2"/>
    <x v="0"/>
    <x v="0"/>
    <s v="Low"/>
    <s v="Partially Implemented"/>
    <s v="Production Supervisor"/>
    <x v="360"/>
  </r>
  <r>
    <s v="RA0465"/>
    <x v="335"/>
    <s v="Warehouse"/>
    <s v="Workshop"/>
    <s v="Material Stacking"/>
    <s v="Falling objects"/>
    <s v="Physical"/>
    <s v="Serious injury"/>
    <n v="5"/>
    <n v="2"/>
    <x v="2"/>
    <s v="High"/>
    <s v="Preventive maintenance program"/>
    <s v="Conduct emergency drill"/>
    <n v="3"/>
    <n v="2"/>
    <x v="5"/>
    <x v="0"/>
    <s v="Medium"/>
    <s v="Partially Implemented"/>
    <s v="HSE Officer"/>
    <x v="51"/>
  </r>
  <r>
    <s v="RA0466"/>
    <x v="336"/>
    <s v="Quality"/>
    <s v="Utilities Area"/>
    <s v="Laboratory Testing"/>
    <s v="Chemical exposure"/>
    <s v="Chemical"/>
    <s v="Skin irritation"/>
    <n v="2"/>
    <n v="5"/>
    <x v="2"/>
    <s v="High"/>
    <s v="Safety signage and restricted access"/>
    <s v="Improve supervision and monitoring"/>
    <n v="2"/>
    <n v="5"/>
    <x v="11"/>
    <x v="1"/>
    <s v="High"/>
    <s v="Pending"/>
    <s v="Production Supervisor"/>
    <x v="361"/>
  </r>
  <r>
    <s v="RA0467"/>
    <x v="225"/>
    <s v="Maintenance"/>
    <s v="Utilities Area"/>
    <s v="Confined Space Entry"/>
    <s v="Oxygen deficiency / toxic atmosphere"/>
    <s v="Confined Space"/>
    <s v="Serious injury"/>
    <n v="5"/>
    <n v="4"/>
    <x v="5"/>
    <s v="Critical"/>
    <s v="Machine guarding and routine inspection"/>
    <s v="Improve supervision and monitoring"/>
    <n v="4"/>
    <n v="3"/>
    <x v="1"/>
    <x v="0"/>
    <s v="High"/>
    <s v="Partially Implemented"/>
    <s v="HSE Engineer"/>
    <x v="362"/>
  </r>
  <r>
    <s v="RA0468"/>
    <x v="337"/>
    <s v="Maintenance"/>
    <s v="Utilities Area"/>
    <s v="Confined Space Entry"/>
    <s v="Oxygen deficiency / toxic atmosphere"/>
    <s v="Confined Space"/>
    <s v="Asphyxiation risk"/>
    <n v="5"/>
    <n v="5"/>
    <x v="7"/>
    <s v="Critical"/>
    <s v="Emergency response equipment available"/>
    <s v="Implement engineering control"/>
    <n v="3"/>
    <n v="5"/>
    <x v="9"/>
    <x v="0"/>
    <s v="High"/>
    <s v="Implemented"/>
    <s v="Department Supervisor"/>
    <x v="363"/>
  </r>
  <r>
    <s v="RA0469"/>
    <x v="34"/>
    <s v="Warehouse"/>
    <s v="Plant Area A"/>
    <s v="Forklift Operation"/>
    <s v="Vehicle-pedestrian interaction"/>
    <s v="Vehicle / Traffic"/>
    <s v="Serious injury"/>
    <n v="4"/>
    <n v="2"/>
    <x v="6"/>
    <s v="Medium"/>
    <s v="Standard operating procedure and supervision"/>
    <s v="Verify PTW and isolation before work"/>
    <n v="3"/>
    <n v="1"/>
    <x v="4"/>
    <x v="0"/>
    <s v="Low"/>
    <s v="Pending"/>
    <s v="Department Supervisor"/>
    <x v="34"/>
  </r>
  <r>
    <s v="RA0470"/>
    <x v="338"/>
    <s v="Production"/>
    <s v="Plant Area A"/>
    <s v="Kiln Operation"/>
    <s v="Hot surfaces and high temperature"/>
    <s v="Thermal"/>
    <s v="Serious burn"/>
    <n v="4"/>
    <n v="5"/>
    <x v="5"/>
    <s v="Critical"/>
    <s v="Preventive maintenance program"/>
    <s v="Install additional physical guard"/>
    <n v="3"/>
    <n v="5"/>
    <x v="9"/>
    <x v="0"/>
    <s v="High"/>
    <s v="Implemented"/>
    <s v="Department Supervisor"/>
    <x v="364"/>
  </r>
  <r>
    <s v="RA0471"/>
    <x v="213"/>
    <s v="Quality"/>
    <s v="Plant Area B"/>
    <s v="Laboratory Testing"/>
    <s v="Chemical exposure"/>
    <s v="Chemical"/>
    <s v="Eye injury"/>
    <n v="3"/>
    <n v="2"/>
    <x v="0"/>
    <s v="Medium"/>
    <s v="Preventive maintenance program"/>
    <s v="Install additional physical guard"/>
    <n v="2"/>
    <n v="2"/>
    <x v="6"/>
    <x v="0"/>
    <s v="Low"/>
    <s v="Partially Implemented"/>
    <s v="Maintenance Supervisor"/>
    <x v="223"/>
  </r>
  <r>
    <s v="RA0472"/>
    <x v="339"/>
    <s v="Warehouse"/>
    <s v="Utilities Area"/>
    <s v="Forklift Operation"/>
    <s v="Vehicle-pedestrian interaction"/>
    <s v="Vehicle / Traffic"/>
    <s v="Collision"/>
    <n v="4"/>
    <n v="4"/>
    <x v="1"/>
    <s v="High"/>
    <s v="Safety signage and restricted access"/>
    <s v="Improve supervision and monitoring"/>
    <n v="3"/>
    <n v="3"/>
    <x v="3"/>
    <x v="0"/>
    <s v="Medium"/>
    <s v="Partially Implemented"/>
    <s v="HSE Engineer"/>
    <x v="365"/>
  </r>
  <r>
    <s v="RA0473"/>
    <x v="111"/>
    <s v="Mechanical"/>
    <s v="Office"/>
    <s v="Welding and Cutting"/>
    <s v="Fire, fumes and hot work"/>
    <s v="Fire / Chemical"/>
    <s v="Burn"/>
    <n v="3"/>
    <n v="2"/>
    <x v="0"/>
    <s v="Medium"/>
    <s v="Standard operating procedure and supervision"/>
    <s v="Update risk assessment and procedure"/>
    <n v="1"/>
    <n v="1"/>
    <x v="13"/>
    <x v="0"/>
    <s v="Low"/>
    <s v="Implemented"/>
    <s v="Maintenance Supervisor"/>
    <x v="111"/>
  </r>
  <r>
    <s v="RA0474"/>
    <x v="340"/>
    <s v="Maintenance"/>
    <s v="Plant Area A"/>
    <s v="Confined Space Entry"/>
    <s v="Oxygen deficiency / toxic atmosphere"/>
    <s v="Confined Space"/>
    <s v="Serious injury"/>
    <n v="3"/>
    <n v="2"/>
    <x v="0"/>
    <s v="Medium"/>
    <s v="Standard operating procedure and supervision"/>
    <s v="Increase inspection frequency"/>
    <n v="2"/>
    <n v="1"/>
    <x v="0"/>
    <x v="0"/>
    <s v="Low"/>
    <s v="Implemented"/>
    <s v="Maintenance Supervisor"/>
    <x v="366"/>
  </r>
  <r>
    <s v="RA0475"/>
    <x v="341"/>
    <s v="Maintenance"/>
    <s v="Utilities Area"/>
    <s v="Mechanical Maintenance"/>
    <s v="Unexpected equipment movement"/>
    <s v="Mechanical"/>
    <s v="Amputation"/>
    <n v="5"/>
    <n v="4"/>
    <x v="5"/>
    <s v="Critical"/>
    <s v="Standard operating procedure and supervision"/>
    <s v="Install additional physical guard"/>
    <n v="4"/>
    <n v="4"/>
    <x v="7"/>
    <x v="0"/>
    <s v="High"/>
    <s v="Partially Implemented"/>
    <s v="HSE Officer"/>
    <x v="238"/>
  </r>
  <r>
    <s v="RA0476"/>
    <x v="342"/>
    <s v="Maintenance"/>
    <s v="Office"/>
    <s v="Grinding Maintenance"/>
    <s v="Stored energy and moving parts"/>
    <s v="Mechanical"/>
    <s v="Amputation"/>
    <n v="4"/>
    <n v="5"/>
    <x v="5"/>
    <s v="Critical"/>
    <s v="Trained and authorized personnel only"/>
    <s v="Implement engineering control"/>
    <n v="3"/>
    <n v="5"/>
    <x v="9"/>
    <x v="0"/>
    <s v="High"/>
    <s v="Partially Implemented"/>
    <s v="HSE Engineer"/>
    <x v="367"/>
  </r>
  <r>
    <s v="RA0477"/>
    <x v="343"/>
    <s v="Maintenance"/>
    <s v="Laboratory"/>
    <s v="Mechanical Maintenance"/>
    <s v="Unexpected equipment movement"/>
    <s v="Mechanical"/>
    <s v="Cuts"/>
    <n v="2"/>
    <n v="4"/>
    <x v="6"/>
    <s v="Medium"/>
    <s v="Trained and authorized personnel only"/>
    <s v="Improve supervision and monitoring"/>
    <n v="1"/>
    <n v="4"/>
    <x v="6"/>
    <x v="0"/>
    <s v="Low"/>
    <s v="Partially Implemented"/>
    <s v="Maintenance Supervisor"/>
    <x v="368"/>
  </r>
  <r>
    <s v="RA0478"/>
    <x v="344"/>
    <s v="Utilities"/>
    <s v="Utilities Area"/>
    <s v="Boiler Operation"/>
    <s v="High pressure and hot surfaces"/>
    <s v="Pressure / Thermal"/>
    <s v="Pressure-related injury"/>
    <n v="5"/>
    <n v="4"/>
    <x v="5"/>
    <s v="Critical"/>
    <s v="Preventive maintenance program"/>
    <s v="Verify PTW and isolation before work"/>
    <n v="3"/>
    <n v="3"/>
    <x v="3"/>
    <x v="0"/>
    <s v="Medium"/>
    <s v="Implemented"/>
    <s v="Maintenance Supervisor"/>
    <x v="369"/>
  </r>
  <r>
    <s v="RA0479"/>
    <x v="118"/>
    <s v="Utilities"/>
    <s v="Laboratory"/>
    <s v="Boiler Operation"/>
    <s v="High pressure and hot surfaces"/>
    <s v="Pressure / Thermal"/>
    <s v="Burn"/>
    <n v="4"/>
    <n v="5"/>
    <x v="5"/>
    <s v="Critical"/>
    <s v="Safety signage and restricted access"/>
    <s v="Provide specialized PPE"/>
    <n v="3"/>
    <n v="5"/>
    <x v="9"/>
    <x v="0"/>
    <s v="High"/>
    <s v="Partially Implemented"/>
    <s v="Maintenance Supervisor"/>
    <x v="370"/>
  </r>
  <r>
    <s v="RA0480"/>
    <x v="296"/>
    <s v="Administration"/>
    <s v="Laboratory"/>
    <s v="Office Work"/>
    <s v="Ergonomic hazards and slips/trips"/>
    <s v="Ergonomic"/>
    <s v="Slip/trip injury"/>
    <n v="3"/>
    <n v="3"/>
    <x v="9"/>
    <s v="Medium"/>
    <s v="Emergency response equipment available"/>
    <s v="Provide specialized PPE"/>
    <n v="2"/>
    <n v="2"/>
    <x v="6"/>
    <x v="0"/>
    <s v="Low"/>
    <s v="Implemented"/>
    <s v="Maintenance Supervisor"/>
    <x v="120"/>
  </r>
  <r>
    <s v="RA0481"/>
    <x v="345"/>
    <s v="Maintenance"/>
    <s v="Workshop"/>
    <s v="Mechanical Maintenance"/>
    <s v="Unexpected equipment movement"/>
    <s v="Mechanical"/>
    <s v="Amputation"/>
    <n v="3"/>
    <n v="4"/>
    <x v="4"/>
    <s v="High"/>
    <s v="Trained and authorized personnel only"/>
    <s v="Install additional physical guard"/>
    <n v="1"/>
    <n v="4"/>
    <x v="6"/>
    <x v="0"/>
    <s v="Low"/>
    <s v="Pending"/>
    <s v="HSE Engineer"/>
    <x v="371"/>
  </r>
  <r>
    <s v="RA0482"/>
    <x v="128"/>
    <s v="Production"/>
    <s v="Office"/>
    <s v="Packing Operation"/>
    <s v="Moving machinery and dust"/>
    <s v="Mechanical"/>
    <s v="Serious injury"/>
    <n v="3"/>
    <n v="2"/>
    <x v="0"/>
    <s v="Medium"/>
    <s v="Safety signage and restricted access"/>
    <s v="Improve supervision and monitoring"/>
    <n v="3"/>
    <n v="1"/>
    <x v="4"/>
    <x v="0"/>
    <s v="Low"/>
    <s v="Implemented"/>
    <s v="Maintenance Supervisor"/>
    <x v="372"/>
  </r>
  <r>
    <s v="RA0483"/>
    <x v="346"/>
    <s v="Utilities"/>
    <s v="Warehouse"/>
    <s v="Boiler Operation"/>
    <s v="High pressure and hot surfaces"/>
    <s v="Pressure / Thermal"/>
    <s v="Serious injury"/>
    <n v="3"/>
    <n v="4"/>
    <x v="4"/>
    <s v="High"/>
    <s v="Preventive maintenance program"/>
    <s v="Provide specialized PPE"/>
    <n v="2"/>
    <n v="4"/>
    <x v="10"/>
    <x v="0"/>
    <s v="Medium"/>
    <s v="Partially Implemented"/>
    <s v="Department Supervisor"/>
    <x v="373"/>
  </r>
  <r>
    <s v="RA0484"/>
    <x v="282"/>
    <s v="Maintenance"/>
    <s v="Workshop"/>
    <s v="Mechanical Maintenance"/>
    <s v="Unexpected equipment movement"/>
    <s v="Mechanical"/>
    <s v="Cuts"/>
    <n v="4"/>
    <n v="2"/>
    <x v="6"/>
    <s v="Medium"/>
    <s v="Toolbox talk before work"/>
    <s v="Implement engineering control"/>
    <n v="2"/>
    <n v="2"/>
    <x v="6"/>
    <x v="0"/>
    <s v="Low"/>
    <s v="Pending"/>
    <s v="HSE Engineer"/>
    <x v="374"/>
  </r>
  <r>
    <s v="RA0485"/>
    <x v="290"/>
    <s v="Production"/>
    <s v="Plant Area A"/>
    <s v="Excavation Work"/>
    <s v="Collapse and underground services"/>
    <s v="Excavation"/>
    <s v="Collapse injury"/>
    <n v="2"/>
    <n v="2"/>
    <x v="8"/>
    <s v="Low"/>
    <s v="Safety signage and restricted access"/>
    <s v="Update risk assessment and procedure"/>
    <n v="1"/>
    <n v="2"/>
    <x v="0"/>
    <x v="0"/>
    <s v="Low"/>
    <s v="Pending"/>
    <s v="Production Supervisor"/>
    <x v="375"/>
  </r>
  <r>
    <s v="RA0486"/>
    <x v="347"/>
    <s v="Electrical"/>
    <s v="Plant Area B"/>
    <s v="Electrical Panel Maintenance"/>
    <s v="Electric shock and arc flash"/>
    <s v="Electrical"/>
    <s v="Serious injury"/>
    <n v="3"/>
    <n v="2"/>
    <x v="0"/>
    <s v="Medium"/>
    <s v="Toolbox talk before work"/>
    <s v="Implement engineering control"/>
    <n v="3"/>
    <n v="1"/>
    <x v="4"/>
    <x v="0"/>
    <s v="Low"/>
    <s v="Pending"/>
    <s v="Maintenance Supervisor"/>
    <x v="376"/>
  </r>
  <r>
    <s v="RA0487"/>
    <x v="348"/>
    <s v="Warehouse"/>
    <s v="Warehouse"/>
    <s v="Material Stacking"/>
    <s v="Falling objects"/>
    <s v="Physical"/>
    <s v="Head injury"/>
    <n v="4"/>
    <n v="3"/>
    <x v="4"/>
    <s v="High"/>
    <s v="Machine guarding and routine inspection"/>
    <s v="Update risk assessment and procedure"/>
    <n v="3"/>
    <n v="3"/>
    <x v="3"/>
    <x v="0"/>
    <s v="Medium"/>
    <s v="Partially Implemented"/>
    <s v="HSE Officer"/>
    <x v="377"/>
  </r>
  <r>
    <s v="RA0488"/>
    <x v="103"/>
    <s v="Administration"/>
    <s v="Office"/>
    <s v="Office Work"/>
    <s v="Ergonomic hazards and slips/trips"/>
    <s v="Ergonomic"/>
    <s v="Slip/trip injury"/>
    <n v="4"/>
    <n v="4"/>
    <x v="1"/>
    <s v="High"/>
    <s v="PPE provided and mandatory"/>
    <s v="Install additional physical guard"/>
    <n v="3"/>
    <n v="4"/>
    <x v="1"/>
    <x v="0"/>
    <s v="High"/>
    <s v="Partially Implemented"/>
    <s v="Department Supervisor"/>
    <x v="378"/>
  </r>
  <r>
    <s v="RA0489"/>
    <x v="349"/>
    <s v="Production"/>
    <s v="Workshop"/>
    <s v="Raw Material Handling"/>
    <s v="Moving equipment / conveyor"/>
    <s v="Mechanical"/>
    <s v="Amputation"/>
    <n v="2"/>
    <n v="3"/>
    <x v="0"/>
    <s v="Medium"/>
    <s v="Preventive maintenance program"/>
    <s v="Provide specialized PPE"/>
    <n v="2"/>
    <n v="3"/>
    <x v="5"/>
    <x v="0"/>
    <s v="Medium"/>
    <s v="Implemented"/>
    <s v="Production Supervisor"/>
    <x v="379"/>
  </r>
  <r>
    <s v="RA0490"/>
    <x v="230"/>
    <s v="Electrical"/>
    <s v="Utilities Area"/>
    <s v="Cable Installation"/>
    <s v="Electric shock and trip hazards"/>
    <s v="Electrical"/>
    <s v="Electric shock"/>
    <n v="4"/>
    <n v="5"/>
    <x v="5"/>
    <s v="Critical"/>
    <s v="PPE provided and mandatory"/>
    <s v="Install additional physical guard"/>
    <n v="4"/>
    <n v="5"/>
    <x v="12"/>
    <x v="0"/>
    <s v="Critical"/>
    <s v="Implemented"/>
    <s v="HSE Officer"/>
    <x v="243"/>
  </r>
  <r>
    <s v="RA0491"/>
    <x v="350"/>
    <s v="Electrical"/>
    <s v="Utilities Area"/>
    <s v="Electrical Panel Maintenance"/>
    <s v="Electric shock and arc flash"/>
    <s v="Electrical"/>
    <s v="Serious injury"/>
    <n v="4"/>
    <n v="3"/>
    <x v="4"/>
    <s v="High"/>
    <s v="Preventive maintenance program"/>
    <s v="Provide specialized PPE"/>
    <n v="3"/>
    <n v="3"/>
    <x v="3"/>
    <x v="0"/>
    <s v="Medium"/>
    <s v="Implemented"/>
    <s v="Maintenance Supervisor"/>
    <x v="380"/>
  </r>
  <r>
    <s v="RA0492"/>
    <x v="120"/>
    <s v="Mechanical"/>
    <s v="Laboratory"/>
    <s v="Welding and Cutting"/>
    <s v="Fire, fumes and hot work"/>
    <s v="Fire / Chemical"/>
    <s v="Respiratory irritation"/>
    <n v="5"/>
    <n v="3"/>
    <x v="3"/>
    <s v="High"/>
    <s v="PPE provided and mandatory"/>
    <s v="Verify PTW and isolation before work"/>
    <n v="4"/>
    <n v="2"/>
    <x v="10"/>
    <x v="0"/>
    <s v="Medium"/>
    <s v="Implemented"/>
    <s v="HSE Officer"/>
    <x v="381"/>
  </r>
  <r>
    <s v="RA0493"/>
    <x v="351"/>
    <s v="Production"/>
    <s v="Utilities Area"/>
    <s v="Packing Operation"/>
    <s v="Moving machinery and dust"/>
    <s v="Mechanical"/>
    <s v="Cuts"/>
    <n v="5"/>
    <n v="5"/>
    <x v="7"/>
    <s v="Critical"/>
    <s v="Machine guarding and routine inspection"/>
    <s v="Conduct refresher training"/>
    <n v="5"/>
    <n v="5"/>
    <x v="8"/>
    <x v="0"/>
    <s v="Critical"/>
    <s v="Implemented"/>
    <s v="HSE Officer"/>
    <x v="382"/>
  </r>
  <r>
    <s v="RA0494"/>
    <x v="2"/>
    <s v="Utilities"/>
    <s v="Workshop"/>
    <s v="Chemical Handling"/>
    <s v="Chemical exposure and spills"/>
    <s v="Chemical"/>
    <s v="Skin irritation"/>
    <n v="2"/>
    <n v="5"/>
    <x v="2"/>
    <s v="High"/>
    <s v="Emergency response equipment available"/>
    <s v="Install additional physical guard"/>
    <n v="1"/>
    <n v="5"/>
    <x v="2"/>
    <x v="0"/>
    <s v="Medium"/>
    <s v="Implemented"/>
    <s v="HSE Officer"/>
    <x v="2"/>
  </r>
  <r>
    <s v="RA0495"/>
    <x v="352"/>
    <s v="Utilities"/>
    <s v="Utilities Area"/>
    <s v="Boiler Operation"/>
    <s v="High pressure and hot surfaces"/>
    <s v="Pressure / Thermal"/>
    <s v="Serious injury"/>
    <n v="5"/>
    <n v="3"/>
    <x v="3"/>
    <s v="High"/>
    <s v="Emergency response equipment available"/>
    <s v="Implement engineering control"/>
    <n v="4"/>
    <n v="3"/>
    <x v="1"/>
    <x v="0"/>
    <s v="High"/>
    <s v="Pending"/>
    <s v="HSE Officer"/>
    <x v="383"/>
  </r>
  <r>
    <s v="RA0496"/>
    <x v="175"/>
    <s v="Production"/>
    <s v="Plant Area B"/>
    <s v="Work at Height"/>
    <s v="Fall from height"/>
    <s v="Work at Height"/>
    <s v="Fall injury"/>
    <n v="3"/>
    <n v="5"/>
    <x v="3"/>
    <s v="High"/>
    <s v="Trained and authorized personnel only"/>
    <s v="Improve supervision and monitoring"/>
    <n v="1"/>
    <n v="5"/>
    <x v="2"/>
    <x v="0"/>
    <s v="Medium"/>
    <s v="Pending"/>
    <s v="HSE Engineer"/>
    <x v="181"/>
  </r>
  <r>
    <s v="RA0497"/>
    <x v="353"/>
    <s v="Production"/>
    <s v="Warehouse"/>
    <s v="Raw Material Handling"/>
    <s v="Moving equipment / conveyor"/>
    <s v="Mechanical"/>
    <s v="Crush injury"/>
    <n v="5"/>
    <n v="5"/>
    <x v="7"/>
    <s v="Critical"/>
    <s v="Preventive maintenance program"/>
    <s v="Increase inspection frequency"/>
    <n v="4"/>
    <n v="4"/>
    <x v="7"/>
    <x v="0"/>
    <s v="High"/>
    <s v="Partially Implemented"/>
    <s v="HSE Engineer"/>
    <x v="384"/>
  </r>
  <r>
    <s v="RA0498"/>
    <x v="354"/>
    <s v="Mechanical"/>
    <s v="Office"/>
    <s v="Pump Maintenance"/>
    <s v="Stored pressure and rotating parts"/>
    <s v="Mechanical"/>
    <s v="Amputation"/>
    <n v="3"/>
    <n v="2"/>
    <x v="0"/>
    <s v="Medium"/>
    <s v="Preventive maintenance program"/>
    <s v="Conduct refresher training"/>
    <n v="2"/>
    <n v="1"/>
    <x v="0"/>
    <x v="0"/>
    <s v="Low"/>
    <s v="Pending"/>
    <s v="HSE Officer"/>
    <x v="247"/>
  </r>
  <r>
    <s v="RA0499"/>
    <x v="353"/>
    <s v="Warehouse"/>
    <s v="Plant Area A"/>
    <s v="Material Stacking"/>
    <s v="Falling objects"/>
    <s v="Physical"/>
    <s v="Serious injury"/>
    <n v="5"/>
    <n v="2"/>
    <x v="2"/>
    <s v="High"/>
    <s v="Emergency response equipment available"/>
    <s v="Provide specialized PPE"/>
    <n v="4"/>
    <n v="1"/>
    <x v="6"/>
    <x v="0"/>
    <s v="Low"/>
    <s v="Pending"/>
    <s v="Maintenance Supervisor"/>
    <x v="385"/>
  </r>
  <r>
    <s v="RA0500"/>
    <x v="355"/>
    <s v="Maintenance"/>
    <s v="Laboratory"/>
    <s v="Grinding Maintenance"/>
    <s v="Stored energy and moving parts"/>
    <s v="Mechanical"/>
    <s v="Cuts"/>
    <n v="3"/>
    <n v="4"/>
    <x v="4"/>
    <s v="High"/>
    <s v="Safety signage and restricted access"/>
    <s v="Increase inspection frequency"/>
    <n v="1"/>
    <n v="4"/>
    <x v="6"/>
    <x v="0"/>
    <s v="Low"/>
    <s v="Partially Implemented"/>
    <s v="HSE Officer"/>
    <x v="386"/>
  </r>
</pivotCacheRecords>
</file>

<file path=xl/pivotCache/pivotCacheRecords3.xml><?xml version="1.0" encoding="utf-8"?>
<pivotCacheRecords xmlns="http://schemas.openxmlformats.org/spreadsheetml/2006/main" xmlns:r="http://schemas.openxmlformats.org/officeDocument/2006/relationships" count="500">
  <r>
    <x v="0"/>
    <d v="2026-06-26T00:00:00"/>
    <x v="0"/>
    <s v="Utilities Area"/>
    <x v="0"/>
    <x v="0"/>
    <s v="Thermal"/>
    <x v="0"/>
    <n v="2"/>
    <n v="3"/>
    <n v="6"/>
    <x v="0"/>
    <x v="0"/>
    <x v="0"/>
    <n v="1"/>
    <n v="2"/>
    <n v="2"/>
    <s v="Reduced"/>
    <x v="0"/>
    <x v="0"/>
    <s v="HSE Officer"/>
    <x v="0"/>
  </r>
  <r>
    <x v="1"/>
    <d v="2025-11-15T00:00:00"/>
    <x v="1"/>
    <s v="Utilities Area"/>
    <x v="1"/>
    <x v="1"/>
    <s v="Fire / Chemical"/>
    <x v="1"/>
    <n v="4"/>
    <n v="4"/>
    <n v="16"/>
    <x v="1"/>
    <x v="1"/>
    <x v="1"/>
    <n v="4"/>
    <n v="3"/>
    <n v="12"/>
    <s v="Reduced"/>
    <x v="1"/>
    <x v="1"/>
    <s v="HSE Officer"/>
    <x v="1"/>
  </r>
  <r>
    <x v="2"/>
    <d v="2025-01-18T00:00:00"/>
    <x v="2"/>
    <s v="Utilities Area"/>
    <x v="2"/>
    <x v="2"/>
    <s v="Chemical"/>
    <x v="2"/>
    <n v="5"/>
    <n v="2"/>
    <n v="10"/>
    <x v="1"/>
    <x v="2"/>
    <x v="2"/>
    <n v="5"/>
    <n v="1"/>
    <n v="5"/>
    <s v="Reduced"/>
    <x v="2"/>
    <x v="0"/>
    <s v="Department Supervisor"/>
    <x v="2"/>
  </r>
  <r>
    <x v="3"/>
    <d v="2025-08-01T00:00:00"/>
    <x v="3"/>
    <s v="Plant Area B"/>
    <x v="3"/>
    <x v="3"/>
    <s v="Ergonomic"/>
    <x v="3"/>
    <n v="5"/>
    <n v="3"/>
    <n v="15"/>
    <x v="1"/>
    <x v="0"/>
    <x v="3"/>
    <n v="3"/>
    <n v="3"/>
    <n v="9"/>
    <s v="Reduced"/>
    <x v="2"/>
    <x v="2"/>
    <s v="Maintenance Supervisor"/>
    <x v="3"/>
  </r>
  <r>
    <x v="4"/>
    <d v="2026-06-17T00:00:00"/>
    <x v="4"/>
    <s v="Office"/>
    <x v="4"/>
    <x v="4"/>
    <s v="Mechanical"/>
    <x v="4"/>
    <n v="2"/>
    <n v="5"/>
    <n v="10"/>
    <x v="1"/>
    <x v="3"/>
    <x v="4"/>
    <n v="1"/>
    <n v="5"/>
    <n v="5"/>
    <s v="Reduced"/>
    <x v="2"/>
    <x v="0"/>
    <s v="Production Supervisor"/>
    <x v="4"/>
  </r>
  <r>
    <x v="5"/>
    <d v="2026-01-21T00:00:00"/>
    <x v="5"/>
    <s v="Plant Area A"/>
    <x v="5"/>
    <x v="5"/>
    <s v="Electrical"/>
    <x v="5"/>
    <n v="3"/>
    <n v="2"/>
    <n v="6"/>
    <x v="0"/>
    <x v="4"/>
    <x v="3"/>
    <n v="3"/>
    <n v="1"/>
    <n v="3"/>
    <s v="Reduced"/>
    <x v="0"/>
    <x v="0"/>
    <s v="Department Supervisor"/>
    <x v="5"/>
  </r>
  <r>
    <x v="6"/>
    <d v="2025-11-05T00:00:00"/>
    <x v="0"/>
    <s v="Laboratory"/>
    <x v="6"/>
    <x v="6"/>
    <s v="Work at Height"/>
    <x v="4"/>
    <n v="4"/>
    <n v="3"/>
    <n v="12"/>
    <x v="1"/>
    <x v="5"/>
    <x v="1"/>
    <n v="3"/>
    <n v="2"/>
    <n v="6"/>
    <s v="Reduced"/>
    <x v="2"/>
    <x v="1"/>
    <s v="Department Supervisor"/>
    <x v="6"/>
  </r>
  <r>
    <x v="7"/>
    <d v="2026-11-04T00:00:00"/>
    <x v="6"/>
    <s v="Plant Area B"/>
    <x v="7"/>
    <x v="7"/>
    <s v="Chemical"/>
    <x v="6"/>
    <n v="5"/>
    <n v="2"/>
    <n v="10"/>
    <x v="1"/>
    <x v="2"/>
    <x v="5"/>
    <n v="4"/>
    <n v="1"/>
    <n v="4"/>
    <s v="Reduced"/>
    <x v="0"/>
    <x v="1"/>
    <s v="HSE Officer"/>
    <x v="7"/>
  </r>
  <r>
    <x v="8"/>
    <d v="2025-07-27T00:00:00"/>
    <x v="4"/>
    <s v="Laboratory"/>
    <x v="8"/>
    <x v="8"/>
    <s v="Mechanical"/>
    <x v="7"/>
    <n v="5"/>
    <n v="4"/>
    <n v="20"/>
    <x v="2"/>
    <x v="6"/>
    <x v="2"/>
    <n v="4"/>
    <n v="4"/>
    <n v="16"/>
    <s v="Reduced"/>
    <x v="1"/>
    <x v="2"/>
    <s v="HSE Engineer"/>
    <x v="8"/>
  </r>
  <r>
    <x v="9"/>
    <d v="2025-09-17T00:00:00"/>
    <x v="0"/>
    <s v="Workshop"/>
    <x v="9"/>
    <x v="9"/>
    <s v="Mechanical"/>
    <x v="4"/>
    <n v="4"/>
    <n v="2"/>
    <n v="8"/>
    <x v="0"/>
    <x v="7"/>
    <x v="6"/>
    <n v="2"/>
    <n v="1"/>
    <n v="2"/>
    <s v="Reduced"/>
    <x v="0"/>
    <x v="1"/>
    <s v="Department Supervisor"/>
    <x v="9"/>
  </r>
  <r>
    <x v="10"/>
    <d v="2026-05-30T00:00:00"/>
    <x v="5"/>
    <s v="Workshop"/>
    <x v="10"/>
    <x v="10"/>
    <s v="Electrical"/>
    <x v="5"/>
    <n v="3"/>
    <n v="4"/>
    <n v="12"/>
    <x v="1"/>
    <x v="4"/>
    <x v="7"/>
    <n v="1"/>
    <n v="3"/>
    <n v="3"/>
    <s v="Reduced"/>
    <x v="0"/>
    <x v="2"/>
    <s v="Department Supervisor"/>
    <x v="10"/>
  </r>
  <r>
    <x v="11"/>
    <d v="2025-06-08T00:00:00"/>
    <x v="0"/>
    <s v="Warehouse"/>
    <x v="11"/>
    <x v="11"/>
    <s v="Excavation"/>
    <x v="4"/>
    <n v="5"/>
    <n v="5"/>
    <n v="25"/>
    <x v="2"/>
    <x v="6"/>
    <x v="7"/>
    <n v="5"/>
    <n v="5"/>
    <n v="25"/>
    <s v="Reduced"/>
    <x v="3"/>
    <x v="2"/>
    <s v="HSE Officer"/>
    <x v="11"/>
  </r>
  <r>
    <x v="12"/>
    <d v="2026-01-14T00:00:00"/>
    <x v="1"/>
    <s v="Warehouse"/>
    <x v="1"/>
    <x v="1"/>
    <s v="Fire / Chemical"/>
    <x v="8"/>
    <n v="5"/>
    <n v="5"/>
    <n v="25"/>
    <x v="2"/>
    <x v="7"/>
    <x v="1"/>
    <n v="4"/>
    <n v="4"/>
    <n v="16"/>
    <s v="Reduced"/>
    <x v="1"/>
    <x v="2"/>
    <s v="Production Supervisor"/>
    <x v="12"/>
  </r>
  <r>
    <x v="13"/>
    <d v="2026-03-24T00:00:00"/>
    <x v="0"/>
    <s v="Warehouse"/>
    <x v="6"/>
    <x v="6"/>
    <s v="Work at Height"/>
    <x v="4"/>
    <n v="2"/>
    <n v="4"/>
    <n v="8"/>
    <x v="0"/>
    <x v="7"/>
    <x v="6"/>
    <n v="2"/>
    <n v="3"/>
    <n v="6"/>
    <s v="Reduced"/>
    <x v="2"/>
    <x v="0"/>
    <s v="Department Supervisor"/>
    <x v="13"/>
  </r>
  <r>
    <x v="14"/>
    <d v="2025-06-19T00:00:00"/>
    <x v="1"/>
    <s v="Laboratory"/>
    <x v="1"/>
    <x v="1"/>
    <s v="Fire / Chemical"/>
    <x v="9"/>
    <n v="3"/>
    <n v="5"/>
    <n v="15"/>
    <x v="1"/>
    <x v="6"/>
    <x v="0"/>
    <n v="3"/>
    <n v="5"/>
    <n v="15"/>
    <s v="No Reduction"/>
    <x v="1"/>
    <x v="2"/>
    <s v="HSE Officer"/>
    <x v="14"/>
  </r>
  <r>
    <x v="15"/>
    <d v="2025-09-09T00:00:00"/>
    <x v="0"/>
    <s v="Workshop"/>
    <x v="0"/>
    <x v="0"/>
    <s v="Thermal"/>
    <x v="0"/>
    <n v="5"/>
    <n v="2"/>
    <n v="10"/>
    <x v="1"/>
    <x v="1"/>
    <x v="3"/>
    <n v="4"/>
    <n v="1"/>
    <n v="4"/>
    <s v="Reduced"/>
    <x v="0"/>
    <x v="1"/>
    <s v="Department Supervisor"/>
    <x v="15"/>
  </r>
  <r>
    <x v="16"/>
    <d v="2026-07-15T00:00:00"/>
    <x v="4"/>
    <s v="Utilities Area"/>
    <x v="4"/>
    <x v="4"/>
    <s v="Mechanical"/>
    <x v="4"/>
    <n v="3"/>
    <n v="2"/>
    <n v="6"/>
    <x v="0"/>
    <x v="1"/>
    <x v="4"/>
    <n v="2"/>
    <n v="1"/>
    <n v="2"/>
    <s v="Reduced"/>
    <x v="0"/>
    <x v="2"/>
    <s v="HSE Officer"/>
    <x v="16"/>
  </r>
  <r>
    <x v="17"/>
    <d v="2026-07-23T00:00:00"/>
    <x v="1"/>
    <s v="Workshop"/>
    <x v="12"/>
    <x v="12"/>
    <s v="Mechanical"/>
    <x v="10"/>
    <n v="3"/>
    <n v="4"/>
    <n v="12"/>
    <x v="1"/>
    <x v="5"/>
    <x v="0"/>
    <n v="2"/>
    <n v="4"/>
    <n v="8"/>
    <s v="Reduced"/>
    <x v="2"/>
    <x v="0"/>
    <s v="HSE Officer"/>
    <x v="17"/>
  </r>
  <r>
    <x v="18"/>
    <d v="2026-06-18T00:00:00"/>
    <x v="5"/>
    <s v="Warehouse"/>
    <x v="10"/>
    <x v="10"/>
    <s v="Electrical"/>
    <x v="4"/>
    <n v="2"/>
    <n v="5"/>
    <n v="10"/>
    <x v="1"/>
    <x v="7"/>
    <x v="8"/>
    <n v="1"/>
    <n v="4"/>
    <n v="4"/>
    <s v="Reduced"/>
    <x v="0"/>
    <x v="1"/>
    <s v="Production Supervisor"/>
    <x v="18"/>
  </r>
  <r>
    <x v="19"/>
    <d v="2025-04-16T00:00:00"/>
    <x v="6"/>
    <s v="Warehouse"/>
    <x v="7"/>
    <x v="7"/>
    <s v="Chemical"/>
    <x v="6"/>
    <n v="3"/>
    <n v="4"/>
    <n v="12"/>
    <x v="1"/>
    <x v="0"/>
    <x v="7"/>
    <n v="1"/>
    <n v="4"/>
    <n v="4"/>
    <s v="Reduced"/>
    <x v="0"/>
    <x v="1"/>
    <s v="HSE Engineer"/>
    <x v="19"/>
  </r>
  <r>
    <x v="20"/>
    <d v="2026-03-26T00:00:00"/>
    <x v="0"/>
    <s v="Utilities Area"/>
    <x v="6"/>
    <x v="6"/>
    <s v="Work at Height"/>
    <x v="11"/>
    <n v="5"/>
    <n v="2"/>
    <n v="10"/>
    <x v="1"/>
    <x v="5"/>
    <x v="9"/>
    <n v="4"/>
    <n v="1"/>
    <n v="4"/>
    <s v="Reduced"/>
    <x v="0"/>
    <x v="1"/>
    <s v="Department Supervisor"/>
    <x v="20"/>
  </r>
  <r>
    <x v="21"/>
    <d v="2026-03-10T00:00:00"/>
    <x v="1"/>
    <s v="Plant Area B"/>
    <x v="12"/>
    <x v="12"/>
    <s v="Mechanical"/>
    <x v="4"/>
    <n v="3"/>
    <n v="5"/>
    <n v="15"/>
    <x v="1"/>
    <x v="6"/>
    <x v="3"/>
    <n v="2"/>
    <n v="4"/>
    <n v="8"/>
    <s v="Reduced"/>
    <x v="2"/>
    <x v="0"/>
    <s v="HSE Officer"/>
    <x v="21"/>
  </r>
  <r>
    <x v="22"/>
    <d v="2025-07-04T00:00:00"/>
    <x v="1"/>
    <s v="Utilities Area"/>
    <x v="1"/>
    <x v="1"/>
    <s v="Fire / Chemical"/>
    <x v="8"/>
    <n v="5"/>
    <n v="4"/>
    <n v="20"/>
    <x v="2"/>
    <x v="4"/>
    <x v="6"/>
    <n v="4"/>
    <n v="3"/>
    <n v="12"/>
    <s v="Reduced"/>
    <x v="1"/>
    <x v="1"/>
    <s v="HSE Officer"/>
    <x v="22"/>
  </r>
  <r>
    <x v="23"/>
    <d v="2025-04-06T00:00:00"/>
    <x v="0"/>
    <s v="Laboratory"/>
    <x v="0"/>
    <x v="0"/>
    <s v="Thermal"/>
    <x v="0"/>
    <n v="2"/>
    <n v="5"/>
    <n v="10"/>
    <x v="1"/>
    <x v="3"/>
    <x v="5"/>
    <n v="2"/>
    <n v="5"/>
    <n v="10"/>
    <s v="No Reduction"/>
    <x v="1"/>
    <x v="0"/>
    <s v="Department Supervisor"/>
    <x v="23"/>
  </r>
  <r>
    <x v="24"/>
    <d v="2025-07-04T00:00:00"/>
    <x v="1"/>
    <s v="Laboratory"/>
    <x v="1"/>
    <x v="1"/>
    <s v="Fire / Chemical"/>
    <x v="9"/>
    <n v="2"/>
    <n v="2"/>
    <n v="4"/>
    <x v="3"/>
    <x v="7"/>
    <x v="8"/>
    <n v="2"/>
    <n v="1"/>
    <n v="2"/>
    <s v="Reduced"/>
    <x v="0"/>
    <x v="0"/>
    <s v="Department Supervisor"/>
    <x v="22"/>
  </r>
  <r>
    <x v="25"/>
    <d v="2025-10-06T00:00:00"/>
    <x v="0"/>
    <s v="Workshop"/>
    <x v="6"/>
    <x v="6"/>
    <s v="Work at Height"/>
    <x v="11"/>
    <n v="3"/>
    <n v="2"/>
    <n v="6"/>
    <x v="0"/>
    <x v="5"/>
    <x v="9"/>
    <n v="1"/>
    <n v="2"/>
    <n v="2"/>
    <s v="Reduced"/>
    <x v="0"/>
    <x v="2"/>
    <s v="Maintenance Supervisor"/>
    <x v="24"/>
  </r>
  <r>
    <x v="26"/>
    <d v="2025-07-09T00:00:00"/>
    <x v="0"/>
    <s v="Laboratory"/>
    <x v="13"/>
    <x v="13"/>
    <s v="Mechanical"/>
    <x v="12"/>
    <n v="5"/>
    <n v="3"/>
    <n v="15"/>
    <x v="1"/>
    <x v="2"/>
    <x v="3"/>
    <n v="3"/>
    <n v="3"/>
    <n v="9"/>
    <s v="Reduced"/>
    <x v="2"/>
    <x v="2"/>
    <s v="Production Supervisor"/>
    <x v="25"/>
  </r>
  <r>
    <x v="27"/>
    <d v="2026-06-27T00:00:00"/>
    <x v="0"/>
    <s v="Plant Area B"/>
    <x v="13"/>
    <x v="13"/>
    <s v="Mechanical"/>
    <x v="7"/>
    <n v="4"/>
    <n v="2"/>
    <n v="8"/>
    <x v="0"/>
    <x v="6"/>
    <x v="0"/>
    <n v="3"/>
    <n v="1"/>
    <n v="3"/>
    <s v="Reduced"/>
    <x v="0"/>
    <x v="2"/>
    <s v="Maintenance Supervisor"/>
    <x v="26"/>
  </r>
  <r>
    <x v="28"/>
    <d v="2026-10-09T00:00:00"/>
    <x v="6"/>
    <s v="Plant Area A"/>
    <x v="14"/>
    <x v="14"/>
    <s v="Pressure"/>
    <x v="13"/>
    <n v="3"/>
    <n v="4"/>
    <n v="12"/>
    <x v="1"/>
    <x v="5"/>
    <x v="5"/>
    <n v="1"/>
    <n v="4"/>
    <n v="4"/>
    <s v="Reduced"/>
    <x v="0"/>
    <x v="0"/>
    <s v="Maintenance Supervisor"/>
    <x v="27"/>
  </r>
  <r>
    <x v="29"/>
    <d v="2026-08-06T00:00:00"/>
    <x v="0"/>
    <s v="Utilities Area"/>
    <x v="6"/>
    <x v="6"/>
    <s v="Work at Height"/>
    <x v="11"/>
    <n v="2"/>
    <n v="5"/>
    <n v="10"/>
    <x v="1"/>
    <x v="4"/>
    <x v="7"/>
    <n v="1"/>
    <n v="5"/>
    <n v="5"/>
    <s v="Reduced"/>
    <x v="2"/>
    <x v="2"/>
    <s v="Production Supervisor"/>
    <x v="28"/>
  </r>
  <r>
    <x v="30"/>
    <d v="2025-05-16T00:00:00"/>
    <x v="1"/>
    <s v="Plant Area B"/>
    <x v="1"/>
    <x v="1"/>
    <s v="Fire / Chemical"/>
    <x v="1"/>
    <n v="5"/>
    <n v="4"/>
    <n v="20"/>
    <x v="2"/>
    <x v="5"/>
    <x v="2"/>
    <n v="5"/>
    <n v="3"/>
    <n v="15"/>
    <s v="Reduced"/>
    <x v="1"/>
    <x v="2"/>
    <s v="HSE Engineer"/>
    <x v="29"/>
  </r>
  <r>
    <x v="31"/>
    <d v="2026-02-11T00:00:00"/>
    <x v="1"/>
    <s v="Laboratory"/>
    <x v="12"/>
    <x v="12"/>
    <s v="Mechanical"/>
    <x v="12"/>
    <n v="2"/>
    <n v="4"/>
    <n v="8"/>
    <x v="0"/>
    <x v="6"/>
    <x v="7"/>
    <n v="1"/>
    <n v="3"/>
    <n v="3"/>
    <s v="Reduced"/>
    <x v="0"/>
    <x v="2"/>
    <s v="Maintenance Supervisor"/>
    <x v="30"/>
  </r>
  <r>
    <x v="32"/>
    <d v="2026-05-14T00:00:00"/>
    <x v="0"/>
    <s v="Plant Area B"/>
    <x v="0"/>
    <x v="0"/>
    <s v="Thermal"/>
    <x v="9"/>
    <n v="2"/>
    <n v="5"/>
    <n v="10"/>
    <x v="1"/>
    <x v="4"/>
    <x v="3"/>
    <n v="1"/>
    <n v="4"/>
    <n v="4"/>
    <s v="Reduced"/>
    <x v="0"/>
    <x v="0"/>
    <s v="Department Supervisor"/>
    <x v="31"/>
  </r>
  <r>
    <x v="33"/>
    <d v="2026-02-01T00:00:00"/>
    <x v="7"/>
    <s v="Office"/>
    <x v="15"/>
    <x v="15"/>
    <s v="Vehicle / Traffic"/>
    <x v="13"/>
    <n v="5"/>
    <n v="5"/>
    <n v="25"/>
    <x v="2"/>
    <x v="1"/>
    <x v="7"/>
    <n v="4"/>
    <n v="4"/>
    <n v="16"/>
    <s v="Reduced"/>
    <x v="1"/>
    <x v="2"/>
    <s v="HSE Engineer"/>
    <x v="32"/>
  </r>
  <r>
    <x v="34"/>
    <d v="2025-10-27T00:00:00"/>
    <x v="6"/>
    <s v="Workshop"/>
    <x v="14"/>
    <x v="14"/>
    <s v="Pressure"/>
    <x v="14"/>
    <n v="3"/>
    <n v="2"/>
    <n v="6"/>
    <x v="0"/>
    <x v="7"/>
    <x v="8"/>
    <n v="2"/>
    <n v="2"/>
    <n v="4"/>
    <s v="Reduced"/>
    <x v="0"/>
    <x v="2"/>
    <s v="Department Supervisor"/>
    <x v="33"/>
  </r>
  <r>
    <x v="35"/>
    <d v="2025-03-10T00:00:00"/>
    <x v="2"/>
    <s v="Office"/>
    <x v="2"/>
    <x v="2"/>
    <s v="Chemical"/>
    <x v="2"/>
    <n v="5"/>
    <n v="5"/>
    <n v="25"/>
    <x v="2"/>
    <x v="7"/>
    <x v="3"/>
    <n v="4"/>
    <n v="5"/>
    <n v="20"/>
    <s v="Reduced"/>
    <x v="3"/>
    <x v="1"/>
    <s v="Department Supervisor"/>
    <x v="34"/>
  </r>
  <r>
    <x v="36"/>
    <d v="2025-07-05T00:00:00"/>
    <x v="4"/>
    <s v="Workshop"/>
    <x v="8"/>
    <x v="8"/>
    <s v="Mechanical"/>
    <x v="10"/>
    <n v="4"/>
    <n v="5"/>
    <n v="20"/>
    <x v="2"/>
    <x v="5"/>
    <x v="2"/>
    <n v="3"/>
    <n v="4"/>
    <n v="12"/>
    <s v="Reduced"/>
    <x v="1"/>
    <x v="0"/>
    <s v="Department Supervisor"/>
    <x v="35"/>
  </r>
  <r>
    <x v="37"/>
    <d v="2026-05-24T00:00:00"/>
    <x v="0"/>
    <s v="Utilities Area"/>
    <x v="11"/>
    <x v="11"/>
    <s v="Excavation"/>
    <x v="13"/>
    <n v="2"/>
    <n v="5"/>
    <n v="10"/>
    <x v="1"/>
    <x v="0"/>
    <x v="0"/>
    <n v="2"/>
    <n v="4"/>
    <n v="8"/>
    <s v="Reduced"/>
    <x v="2"/>
    <x v="2"/>
    <s v="HSE Engineer"/>
    <x v="36"/>
  </r>
  <r>
    <x v="38"/>
    <d v="2025-06-30T00:00:00"/>
    <x v="6"/>
    <s v="Office"/>
    <x v="14"/>
    <x v="14"/>
    <s v="Pressure"/>
    <x v="14"/>
    <n v="5"/>
    <n v="5"/>
    <n v="25"/>
    <x v="2"/>
    <x v="3"/>
    <x v="6"/>
    <n v="4"/>
    <n v="4"/>
    <n v="16"/>
    <s v="Reduced"/>
    <x v="1"/>
    <x v="1"/>
    <s v="Maintenance Supervisor"/>
    <x v="37"/>
  </r>
  <r>
    <x v="39"/>
    <d v="2025-01-07T00:00:00"/>
    <x v="3"/>
    <s v="Warehouse"/>
    <x v="3"/>
    <x v="3"/>
    <s v="Ergonomic"/>
    <x v="3"/>
    <n v="4"/>
    <n v="4"/>
    <n v="16"/>
    <x v="1"/>
    <x v="0"/>
    <x v="4"/>
    <n v="2"/>
    <n v="3"/>
    <n v="6"/>
    <s v="Reduced"/>
    <x v="2"/>
    <x v="2"/>
    <s v="HSE Engineer"/>
    <x v="38"/>
  </r>
  <r>
    <x v="40"/>
    <d v="2025-12-29T00:00:00"/>
    <x v="5"/>
    <s v="Utilities Area"/>
    <x v="5"/>
    <x v="5"/>
    <s v="Electrical"/>
    <x v="4"/>
    <n v="2"/>
    <n v="5"/>
    <n v="10"/>
    <x v="1"/>
    <x v="4"/>
    <x v="5"/>
    <n v="2"/>
    <n v="4"/>
    <n v="8"/>
    <s v="Reduced"/>
    <x v="2"/>
    <x v="0"/>
    <s v="HSE Engineer"/>
    <x v="39"/>
  </r>
  <r>
    <x v="41"/>
    <d v="2025-11-04T00:00:00"/>
    <x v="2"/>
    <s v="Warehouse"/>
    <x v="2"/>
    <x v="2"/>
    <s v="Chemical"/>
    <x v="6"/>
    <n v="4"/>
    <n v="4"/>
    <n v="16"/>
    <x v="1"/>
    <x v="0"/>
    <x v="8"/>
    <n v="4"/>
    <n v="3"/>
    <n v="12"/>
    <s v="Reduced"/>
    <x v="1"/>
    <x v="0"/>
    <s v="HSE Engineer"/>
    <x v="40"/>
  </r>
  <r>
    <x v="42"/>
    <d v="2026-01-14T00:00:00"/>
    <x v="7"/>
    <s v="Workshop"/>
    <x v="16"/>
    <x v="16"/>
    <s v="Physical"/>
    <x v="4"/>
    <n v="4"/>
    <n v="2"/>
    <n v="8"/>
    <x v="0"/>
    <x v="3"/>
    <x v="1"/>
    <n v="2"/>
    <n v="2"/>
    <n v="4"/>
    <s v="Reduced"/>
    <x v="0"/>
    <x v="2"/>
    <s v="HSE Engineer"/>
    <x v="41"/>
  </r>
  <r>
    <x v="43"/>
    <d v="2026-02-15T00:00:00"/>
    <x v="0"/>
    <s v="Utilities Area"/>
    <x v="6"/>
    <x v="6"/>
    <s v="Work at Height"/>
    <x v="4"/>
    <n v="3"/>
    <n v="2"/>
    <n v="6"/>
    <x v="0"/>
    <x v="0"/>
    <x v="1"/>
    <n v="2"/>
    <n v="1"/>
    <n v="2"/>
    <s v="Reduced"/>
    <x v="0"/>
    <x v="1"/>
    <s v="Department Supervisor"/>
    <x v="42"/>
  </r>
  <r>
    <x v="44"/>
    <d v="2026-06-29T00:00:00"/>
    <x v="4"/>
    <s v="Workshop"/>
    <x v="4"/>
    <x v="4"/>
    <s v="Mechanical"/>
    <x v="7"/>
    <n v="4"/>
    <n v="3"/>
    <n v="12"/>
    <x v="1"/>
    <x v="7"/>
    <x v="9"/>
    <n v="3"/>
    <n v="2"/>
    <n v="6"/>
    <s v="Reduced"/>
    <x v="2"/>
    <x v="2"/>
    <s v="HSE Engineer"/>
    <x v="43"/>
  </r>
  <r>
    <x v="45"/>
    <d v="2026-10-02T00:00:00"/>
    <x v="0"/>
    <s v="Office"/>
    <x v="6"/>
    <x v="6"/>
    <s v="Work at Height"/>
    <x v="4"/>
    <n v="5"/>
    <n v="2"/>
    <n v="10"/>
    <x v="1"/>
    <x v="2"/>
    <x v="2"/>
    <n v="3"/>
    <n v="2"/>
    <n v="6"/>
    <s v="Reduced"/>
    <x v="2"/>
    <x v="2"/>
    <s v="HSE Officer"/>
    <x v="44"/>
  </r>
  <r>
    <x v="46"/>
    <d v="2025-11-19T00:00:00"/>
    <x v="0"/>
    <s v="Laboratory"/>
    <x v="11"/>
    <x v="11"/>
    <s v="Excavation"/>
    <x v="13"/>
    <n v="2"/>
    <n v="2"/>
    <n v="4"/>
    <x v="3"/>
    <x v="7"/>
    <x v="3"/>
    <n v="1"/>
    <n v="2"/>
    <n v="2"/>
    <s v="Reduced"/>
    <x v="0"/>
    <x v="0"/>
    <s v="HSE Engineer"/>
    <x v="45"/>
  </r>
  <r>
    <x v="47"/>
    <d v="2025-07-02T00:00:00"/>
    <x v="5"/>
    <s v="Warehouse"/>
    <x v="10"/>
    <x v="10"/>
    <s v="Electrical"/>
    <x v="4"/>
    <n v="3"/>
    <n v="5"/>
    <n v="15"/>
    <x v="1"/>
    <x v="6"/>
    <x v="8"/>
    <n v="1"/>
    <n v="4"/>
    <n v="4"/>
    <s v="Reduced"/>
    <x v="0"/>
    <x v="0"/>
    <s v="Maintenance Supervisor"/>
    <x v="46"/>
  </r>
  <r>
    <x v="48"/>
    <d v="2025-09-07T00:00:00"/>
    <x v="3"/>
    <s v="Laboratory"/>
    <x v="3"/>
    <x v="3"/>
    <s v="Ergonomic"/>
    <x v="3"/>
    <n v="5"/>
    <n v="2"/>
    <n v="10"/>
    <x v="1"/>
    <x v="7"/>
    <x v="4"/>
    <n v="5"/>
    <n v="1"/>
    <n v="5"/>
    <s v="Reduced"/>
    <x v="2"/>
    <x v="0"/>
    <s v="HSE Officer"/>
    <x v="47"/>
  </r>
  <r>
    <x v="49"/>
    <d v="2026-04-14T00:00:00"/>
    <x v="0"/>
    <s v="Workshop"/>
    <x v="6"/>
    <x v="6"/>
    <s v="Work at Height"/>
    <x v="4"/>
    <n v="3"/>
    <n v="5"/>
    <n v="15"/>
    <x v="1"/>
    <x v="6"/>
    <x v="9"/>
    <n v="1"/>
    <n v="4"/>
    <n v="4"/>
    <s v="Reduced"/>
    <x v="0"/>
    <x v="0"/>
    <s v="Maintenance Supervisor"/>
    <x v="48"/>
  </r>
  <r>
    <x v="50"/>
    <d v="2026-08-01T00:00:00"/>
    <x v="0"/>
    <s v="Utilities Area"/>
    <x v="11"/>
    <x v="11"/>
    <s v="Excavation"/>
    <x v="13"/>
    <n v="5"/>
    <n v="4"/>
    <n v="20"/>
    <x v="2"/>
    <x v="6"/>
    <x v="0"/>
    <n v="4"/>
    <n v="3"/>
    <n v="12"/>
    <s v="Reduced"/>
    <x v="1"/>
    <x v="0"/>
    <s v="HSE Engineer"/>
    <x v="3"/>
  </r>
  <r>
    <x v="51"/>
    <d v="2025-03-29T00:00:00"/>
    <x v="4"/>
    <s v="Warehouse"/>
    <x v="17"/>
    <x v="17"/>
    <s v="Confined Space"/>
    <x v="15"/>
    <n v="2"/>
    <n v="3"/>
    <n v="6"/>
    <x v="0"/>
    <x v="2"/>
    <x v="6"/>
    <n v="1"/>
    <n v="3"/>
    <n v="3"/>
    <s v="Reduced"/>
    <x v="0"/>
    <x v="0"/>
    <s v="HSE Engineer"/>
    <x v="49"/>
  </r>
  <r>
    <x v="52"/>
    <d v="2026-02-13T00:00:00"/>
    <x v="0"/>
    <s v="Utilities Area"/>
    <x v="13"/>
    <x v="13"/>
    <s v="Mechanical"/>
    <x v="12"/>
    <n v="4"/>
    <n v="3"/>
    <n v="12"/>
    <x v="1"/>
    <x v="6"/>
    <x v="5"/>
    <n v="2"/>
    <n v="2"/>
    <n v="4"/>
    <s v="Reduced"/>
    <x v="0"/>
    <x v="1"/>
    <s v="Department Supervisor"/>
    <x v="50"/>
  </r>
  <r>
    <x v="53"/>
    <d v="2025-04-18T00:00:00"/>
    <x v="0"/>
    <s v="Laboratory"/>
    <x v="13"/>
    <x v="13"/>
    <s v="Mechanical"/>
    <x v="12"/>
    <n v="5"/>
    <n v="4"/>
    <n v="20"/>
    <x v="2"/>
    <x v="4"/>
    <x v="3"/>
    <n v="4"/>
    <n v="4"/>
    <n v="16"/>
    <s v="Reduced"/>
    <x v="1"/>
    <x v="1"/>
    <s v="Department Supervisor"/>
    <x v="51"/>
  </r>
  <r>
    <x v="54"/>
    <d v="2025-10-28T00:00:00"/>
    <x v="5"/>
    <s v="Utilities Area"/>
    <x v="10"/>
    <x v="10"/>
    <s v="Electrical"/>
    <x v="9"/>
    <n v="2"/>
    <n v="2"/>
    <n v="4"/>
    <x v="3"/>
    <x v="3"/>
    <x v="6"/>
    <n v="1"/>
    <n v="1"/>
    <n v="1"/>
    <s v="Reduced"/>
    <x v="0"/>
    <x v="0"/>
    <s v="HSE Officer"/>
    <x v="52"/>
  </r>
  <r>
    <x v="55"/>
    <d v="2026-02-26T00:00:00"/>
    <x v="0"/>
    <s v="Laboratory"/>
    <x v="9"/>
    <x v="9"/>
    <s v="Mechanical"/>
    <x v="10"/>
    <n v="2"/>
    <n v="3"/>
    <n v="6"/>
    <x v="0"/>
    <x v="6"/>
    <x v="6"/>
    <n v="1"/>
    <n v="2"/>
    <n v="2"/>
    <s v="Reduced"/>
    <x v="0"/>
    <x v="2"/>
    <s v="HSE Engineer"/>
    <x v="53"/>
  </r>
  <r>
    <x v="56"/>
    <d v="2026-01-17T00:00:00"/>
    <x v="0"/>
    <s v="Workshop"/>
    <x v="9"/>
    <x v="9"/>
    <s v="Mechanical"/>
    <x v="7"/>
    <n v="3"/>
    <n v="4"/>
    <n v="12"/>
    <x v="1"/>
    <x v="4"/>
    <x v="9"/>
    <n v="2"/>
    <n v="3"/>
    <n v="6"/>
    <s v="Reduced"/>
    <x v="2"/>
    <x v="1"/>
    <s v="Maintenance Supervisor"/>
    <x v="54"/>
  </r>
  <r>
    <x v="57"/>
    <d v="2026-10-06T00:00:00"/>
    <x v="0"/>
    <s v="Warehouse"/>
    <x v="6"/>
    <x v="6"/>
    <s v="Work at Height"/>
    <x v="4"/>
    <n v="3"/>
    <n v="2"/>
    <n v="6"/>
    <x v="0"/>
    <x v="3"/>
    <x v="1"/>
    <n v="2"/>
    <n v="1"/>
    <n v="2"/>
    <s v="Reduced"/>
    <x v="0"/>
    <x v="2"/>
    <s v="Department Supervisor"/>
    <x v="24"/>
  </r>
  <r>
    <x v="58"/>
    <d v="2025-06-30T00:00:00"/>
    <x v="0"/>
    <s v="Workshop"/>
    <x v="9"/>
    <x v="9"/>
    <s v="Mechanical"/>
    <x v="4"/>
    <n v="5"/>
    <n v="3"/>
    <n v="15"/>
    <x v="1"/>
    <x v="0"/>
    <x v="7"/>
    <n v="3"/>
    <n v="2"/>
    <n v="6"/>
    <s v="Reduced"/>
    <x v="2"/>
    <x v="0"/>
    <s v="Maintenance Supervisor"/>
    <x v="55"/>
  </r>
  <r>
    <x v="59"/>
    <d v="2025-12-08T00:00:00"/>
    <x v="4"/>
    <s v="Office"/>
    <x v="8"/>
    <x v="8"/>
    <s v="Mechanical"/>
    <x v="7"/>
    <n v="3"/>
    <n v="3"/>
    <n v="9"/>
    <x v="0"/>
    <x v="4"/>
    <x v="5"/>
    <n v="2"/>
    <n v="2"/>
    <n v="4"/>
    <s v="Reduced"/>
    <x v="0"/>
    <x v="2"/>
    <s v="Department Supervisor"/>
    <x v="56"/>
  </r>
  <r>
    <x v="60"/>
    <d v="2025-06-29T00:00:00"/>
    <x v="1"/>
    <s v="Office"/>
    <x v="12"/>
    <x v="12"/>
    <s v="Mechanical"/>
    <x v="7"/>
    <n v="5"/>
    <n v="3"/>
    <n v="15"/>
    <x v="1"/>
    <x v="7"/>
    <x v="4"/>
    <n v="4"/>
    <n v="2"/>
    <n v="8"/>
    <s v="Reduced"/>
    <x v="2"/>
    <x v="0"/>
    <s v="Production Supervisor"/>
    <x v="57"/>
  </r>
  <r>
    <x v="61"/>
    <d v="2025-11-24T00:00:00"/>
    <x v="6"/>
    <s v="Plant Area B"/>
    <x v="7"/>
    <x v="7"/>
    <s v="Chemical"/>
    <x v="6"/>
    <n v="2"/>
    <n v="4"/>
    <n v="8"/>
    <x v="0"/>
    <x v="1"/>
    <x v="1"/>
    <n v="1"/>
    <n v="3"/>
    <n v="3"/>
    <s v="Reduced"/>
    <x v="0"/>
    <x v="2"/>
    <s v="HSE Engineer"/>
    <x v="58"/>
  </r>
  <r>
    <x v="62"/>
    <d v="2025-02-02T00:00:00"/>
    <x v="1"/>
    <s v="Laboratory"/>
    <x v="12"/>
    <x v="12"/>
    <s v="Mechanical"/>
    <x v="4"/>
    <n v="5"/>
    <n v="3"/>
    <n v="15"/>
    <x v="1"/>
    <x v="7"/>
    <x v="7"/>
    <n v="3"/>
    <n v="2"/>
    <n v="6"/>
    <s v="Reduced"/>
    <x v="2"/>
    <x v="2"/>
    <s v="Production Supervisor"/>
    <x v="59"/>
  </r>
  <r>
    <x v="63"/>
    <d v="2025-05-17T00:00:00"/>
    <x v="6"/>
    <s v="Plant Area A"/>
    <x v="14"/>
    <x v="14"/>
    <s v="Pressure"/>
    <x v="4"/>
    <n v="4"/>
    <n v="3"/>
    <n v="12"/>
    <x v="1"/>
    <x v="3"/>
    <x v="9"/>
    <n v="3"/>
    <n v="3"/>
    <n v="9"/>
    <s v="Reduced"/>
    <x v="2"/>
    <x v="2"/>
    <s v="Department Supervisor"/>
    <x v="60"/>
  </r>
  <r>
    <x v="64"/>
    <d v="2026-02-03T00:00:00"/>
    <x v="4"/>
    <s v="Workshop"/>
    <x v="8"/>
    <x v="8"/>
    <s v="Mechanical"/>
    <x v="10"/>
    <n v="5"/>
    <n v="4"/>
    <n v="20"/>
    <x v="2"/>
    <x v="5"/>
    <x v="5"/>
    <n v="3"/>
    <n v="4"/>
    <n v="12"/>
    <s v="Reduced"/>
    <x v="1"/>
    <x v="2"/>
    <s v="Production Supervisor"/>
    <x v="61"/>
  </r>
  <r>
    <x v="65"/>
    <d v="2025-03-03T00:00:00"/>
    <x v="1"/>
    <s v="Utilities Area"/>
    <x v="1"/>
    <x v="1"/>
    <s v="Fire / Chemical"/>
    <x v="8"/>
    <n v="2"/>
    <n v="2"/>
    <n v="4"/>
    <x v="3"/>
    <x v="7"/>
    <x v="2"/>
    <n v="2"/>
    <n v="2"/>
    <n v="4"/>
    <s v="No Reduction"/>
    <x v="0"/>
    <x v="2"/>
    <s v="HSE Engineer"/>
    <x v="62"/>
  </r>
  <r>
    <x v="66"/>
    <d v="2026-09-17T00:00:00"/>
    <x v="5"/>
    <s v="Workshop"/>
    <x v="10"/>
    <x v="10"/>
    <s v="Electrical"/>
    <x v="9"/>
    <n v="3"/>
    <n v="3"/>
    <n v="9"/>
    <x v="0"/>
    <x v="6"/>
    <x v="9"/>
    <n v="2"/>
    <n v="2"/>
    <n v="4"/>
    <s v="Reduced"/>
    <x v="0"/>
    <x v="2"/>
    <s v="HSE Officer"/>
    <x v="63"/>
  </r>
  <r>
    <x v="67"/>
    <d v="2026-04-04T00:00:00"/>
    <x v="0"/>
    <s v="Warehouse"/>
    <x v="9"/>
    <x v="9"/>
    <s v="Mechanical"/>
    <x v="4"/>
    <n v="5"/>
    <n v="3"/>
    <n v="15"/>
    <x v="1"/>
    <x v="0"/>
    <x v="0"/>
    <n v="4"/>
    <n v="3"/>
    <n v="12"/>
    <s v="Reduced"/>
    <x v="1"/>
    <x v="0"/>
    <s v="Production Supervisor"/>
    <x v="64"/>
  </r>
  <r>
    <x v="68"/>
    <d v="2025-07-09T00:00:00"/>
    <x v="6"/>
    <s v="Plant Area B"/>
    <x v="14"/>
    <x v="14"/>
    <s v="Pressure"/>
    <x v="13"/>
    <n v="3"/>
    <n v="5"/>
    <n v="15"/>
    <x v="1"/>
    <x v="4"/>
    <x v="8"/>
    <n v="2"/>
    <n v="5"/>
    <n v="10"/>
    <s v="Reduced"/>
    <x v="1"/>
    <x v="1"/>
    <s v="Department Supervisor"/>
    <x v="25"/>
  </r>
  <r>
    <x v="69"/>
    <d v="2026-11-14T00:00:00"/>
    <x v="0"/>
    <s v="Workshop"/>
    <x v="11"/>
    <x v="11"/>
    <s v="Excavation"/>
    <x v="13"/>
    <n v="3"/>
    <n v="5"/>
    <n v="15"/>
    <x v="1"/>
    <x v="2"/>
    <x v="7"/>
    <n v="2"/>
    <n v="5"/>
    <n v="10"/>
    <s v="Reduced"/>
    <x v="1"/>
    <x v="0"/>
    <s v="Maintenance Supervisor"/>
    <x v="65"/>
  </r>
  <r>
    <x v="70"/>
    <d v="2025-07-05T00:00:00"/>
    <x v="0"/>
    <s v="Laboratory"/>
    <x v="11"/>
    <x v="11"/>
    <s v="Excavation"/>
    <x v="16"/>
    <n v="5"/>
    <n v="3"/>
    <n v="15"/>
    <x v="1"/>
    <x v="0"/>
    <x v="3"/>
    <n v="4"/>
    <n v="2"/>
    <n v="8"/>
    <s v="Reduced"/>
    <x v="2"/>
    <x v="1"/>
    <s v="Department Supervisor"/>
    <x v="35"/>
  </r>
  <r>
    <x v="71"/>
    <d v="2026-06-26T00:00:00"/>
    <x v="4"/>
    <s v="Warehouse"/>
    <x v="8"/>
    <x v="8"/>
    <s v="Mechanical"/>
    <x v="10"/>
    <n v="3"/>
    <n v="4"/>
    <n v="12"/>
    <x v="1"/>
    <x v="3"/>
    <x v="3"/>
    <n v="2"/>
    <n v="4"/>
    <n v="8"/>
    <s v="Reduced"/>
    <x v="2"/>
    <x v="1"/>
    <s v="Production Supervisor"/>
    <x v="0"/>
  </r>
  <r>
    <x v="72"/>
    <d v="2026-07-08T00:00:00"/>
    <x v="1"/>
    <s v="Laboratory"/>
    <x v="1"/>
    <x v="1"/>
    <s v="Fire / Chemical"/>
    <x v="9"/>
    <n v="2"/>
    <n v="5"/>
    <n v="10"/>
    <x v="1"/>
    <x v="2"/>
    <x v="6"/>
    <n v="1"/>
    <n v="5"/>
    <n v="5"/>
    <s v="Reduced"/>
    <x v="2"/>
    <x v="1"/>
    <s v="HSE Officer"/>
    <x v="66"/>
  </r>
  <r>
    <x v="73"/>
    <d v="2025-05-16T00:00:00"/>
    <x v="4"/>
    <s v="Laboratory"/>
    <x v="17"/>
    <x v="17"/>
    <s v="Confined Space"/>
    <x v="17"/>
    <n v="4"/>
    <n v="5"/>
    <n v="20"/>
    <x v="2"/>
    <x v="2"/>
    <x v="1"/>
    <n v="3"/>
    <n v="5"/>
    <n v="15"/>
    <s v="Reduced"/>
    <x v="1"/>
    <x v="1"/>
    <s v="Maintenance Supervisor"/>
    <x v="67"/>
  </r>
  <r>
    <x v="74"/>
    <d v="2025-10-19T00:00:00"/>
    <x v="6"/>
    <s v="Workshop"/>
    <x v="7"/>
    <x v="7"/>
    <s v="Chemical"/>
    <x v="2"/>
    <n v="4"/>
    <n v="2"/>
    <n v="8"/>
    <x v="0"/>
    <x v="1"/>
    <x v="4"/>
    <n v="4"/>
    <n v="1"/>
    <n v="4"/>
    <s v="Reduced"/>
    <x v="0"/>
    <x v="0"/>
    <s v="Maintenance Supervisor"/>
    <x v="68"/>
  </r>
  <r>
    <x v="75"/>
    <d v="2026-11-07T00:00:00"/>
    <x v="6"/>
    <s v="Utilities Area"/>
    <x v="7"/>
    <x v="7"/>
    <s v="Chemical"/>
    <x v="2"/>
    <n v="2"/>
    <n v="5"/>
    <n v="10"/>
    <x v="1"/>
    <x v="1"/>
    <x v="7"/>
    <n v="1"/>
    <n v="5"/>
    <n v="5"/>
    <s v="Reduced"/>
    <x v="2"/>
    <x v="0"/>
    <s v="HSE Engineer"/>
    <x v="69"/>
  </r>
  <r>
    <x v="76"/>
    <d v="2026-01-23T00:00:00"/>
    <x v="6"/>
    <s v="Plant Area A"/>
    <x v="7"/>
    <x v="7"/>
    <s v="Chemical"/>
    <x v="6"/>
    <n v="2"/>
    <n v="5"/>
    <n v="10"/>
    <x v="1"/>
    <x v="4"/>
    <x v="0"/>
    <n v="1"/>
    <n v="4"/>
    <n v="4"/>
    <s v="Reduced"/>
    <x v="0"/>
    <x v="1"/>
    <s v="Maintenance Supervisor"/>
    <x v="70"/>
  </r>
  <r>
    <x v="77"/>
    <d v="2025-09-06T00:00:00"/>
    <x v="0"/>
    <s v="Plant Area B"/>
    <x v="13"/>
    <x v="13"/>
    <s v="Mechanical"/>
    <x v="4"/>
    <n v="2"/>
    <n v="4"/>
    <n v="8"/>
    <x v="0"/>
    <x v="3"/>
    <x v="9"/>
    <n v="1"/>
    <n v="3"/>
    <n v="3"/>
    <s v="Reduced"/>
    <x v="0"/>
    <x v="1"/>
    <s v="HSE Officer"/>
    <x v="21"/>
  </r>
  <r>
    <x v="78"/>
    <d v="2026-10-16T00:00:00"/>
    <x v="1"/>
    <s v="Office"/>
    <x v="1"/>
    <x v="1"/>
    <s v="Fire / Chemical"/>
    <x v="8"/>
    <n v="3"/>
    <n v="4"/>
    <n v="12"/>
    <x v="1"/>
    <x v="3"/>
    <x v="5"/>
    <n v="2"/>
    <n v="4"/>
    <n v="8"/>
    <s v="Reduced"/>
    <x v="2"/>
    <x v="2"/>
    <s v="Department Supervisor"/>
    <x v="71"/>
  </r>
  <r>
    <x v="79"/>
    <d v="2026-07-19T00:00:00"/>
    <x v="6"/>
    <s v="Laboratory"/>
    <x v="7"/>
    <x v="7"/>
    <s v="Chemical"/>
    <x v="1"/>
    <n v="3"/>
    <n v="3"/>
    <n v="9"/>
    <x v="0"/>
    <x v="2"/>
    <x v="1"/>
    <n v="2"/>
    <n v="2"/>
    <n v="4"/>
    <s v="Reduced"/>
    <x v="0"/>
    <x v="2"/>
    <s v="Department Supervisor"/>
    <x v="72"/>
  </r>
  <r>
    <x v="80"/>
    <d v="2025-05-13T00:00:00"/>
    <x v="3"/>
    <s v="Plant Area A"/>
    <x v="3"/>
    <x v="3"/>
    <s v="Ergonomic"/>
    <x v="18"/>
    <n v="5"/>
    <n v="5"/>
    <n v="25"/>
    <x v="2"/>
    <x v="2"/>
    <x v="1"/>
    <n v="4"/>
    <n v="5"/>
    <n v="20"/>
    <s v="Reduced"/>
    <x v="3"/>
    <x v="2"/>
    <s v="HSE Officer"/>
    <x v="73"/>
  </r>
  <r>
    <x v="81"/>
    <d v="2025-10-23T00:00:00"/>
    <x v="0"/>
    <s v="Plant Area A"/>
    <x v="11"/>
    <x v="11"/>
    <s v="Excavation"/>
    <x v="4"/>
    <n v="2"/>
    <n v="4"/>
    <n v="8"/>
    <x v="0"/>
    <x v="4"/>
    <x v="4"/>
    <n v="1"/>
    <n v="4"/>
    <n v="4"/>
    <s v="Reduced"/>
    <x v="0"/>
    <x v="0"/>
    <s v="Maintenance Supervisor"/>
    <x v="74"/>
  </r>
  <r>
    <x v="82"/>
    <d v="2026-11-14T00:00:00"/>
    <x v="6"/>
    <s v="Workshop"/>
    <x v="14"/>
    <x v="14"/>
    <s v="Pressure"/>
    <x v="14"/>
    <n v="4"/>
    <n v="5"/>
    <n v="20"/>
    <x v="2"/>
    <x v="7"/>
    <x v="3"/>
    <n v="3"/>
    <n v="4"/>
    <n v="12"/>
    <s v="Reduced"/>
    <x v="1"/>
    <x v="2"/>
    <s v="Maintenance Supervisor"/>
    <x v="65"/>
  </r>
  <r>
    <x v="83"/>
    <d v="2026-06-09T00:00:00"/>
    <x v="4"/>
    <s v="Warehouse"/>
    <x v="4"/>
    <x v="4"/>
    <s v="Mechanical"/>
    <x v="10"/>
    <n v="4"/>
    <n v="3"/>
    <n v="12"/>
    <x v="1"/>
    <x v="3"/>
    <x v="6"/>
    <n v="4"/>
    <n v="2"/>
    <n v="8"/>
    <s v="Reduced"/>
    <x v="2"/>
    <x v="0"/>
    <s v="HSE Officer"/>
    <x v="75"/>
  </r>
  <r>
    <x v="84"/>
    <d v="2026-09-02T00:00:00"/>
    <x v="6"/>
    <s v="Workshop"/>
    <x v="7"/>
    <x v="7"/>
    <s v="Chemical"/>
    <x v="2"/>
    <n v="4"/>
    <n v="3"/>
    <n v="12"/>
    <x v="1"/>
    <x v="7"/>
    <x v="0"/>
    <n v="3"/>
    <n v="2"/>
    <n v="6"/>
    <s v="Reduced"/>
    <x v="2"/>
    <x v="1"/>
    <s v="HSE Officer"/>
    <x v="76"/>
  </r>
  <r>
    <x v="85"/>
    <d v="2026-04-22T00:00:00"/>
    <x v="2"/>
    <s v="Office"/>
    <x v="2"/>
    <x v="2"/>
    <s v="Chemical"/>
    <x v="1"/>
    <n v="2"/>
    <n v="5"/>
    <n v="10"/>
    <x v="1"/>
    <x v="5"/>
    <x v="4"/>
    <n v="1"/>
    <n v="5"/>
    <n v="5"/>
    <s v="Reduced"/>
    <x v="2"/>
    <x v="2"/>
    <s v="HSE Officer"/>
    <x v="68"/>
  </r>
  <r>
    <x v="86"/>
    <d v="2025-05-04T00:00:00"/>
    <x v="6"/>
    <s v="Utilities Area"/>
    <x v="14"/>
    <x v="14"/>
    <s v="Pressure"/>
    <x v="14"/>
    <n v="5"/>
    <n v="3"/>
    <n v="15"/>
    <x v="1"/>
    <x v="0"/>
    <x v="5"/>
    <n v="3"/>
    <n v="2"/>
    <n v="6"/>
    <s v="Reduced"/>
    <x v="2"/>
    <x v="0"/>
    <s v="HSE Engineer"/>
    <x v="77"/>
  </r>
  <r>
    <x v="87"/>
    <d v="2026-04-19T00:00:00"/>
    <x v="5"/>
    <s v="Plant Area B"/>
    <x v="10"/>
    <x v="10"/>
    <s v="Electrical"/>
    <x v="5"/>
    <n v="3"/>
    <n v="5"/>
    <n v="15"/>
    <x v="1"/>
    <x v="2"/>
    <x v="7"/>
    <n v="3"/>
    <n v="4"/>
    <n v="12"/>
    <s v="Reduced"/>
    <x v="1"/>
    <x v="1"/>
    <s v="Production Supervisor"/>
    <x v="78"/>
  </r>
  <r>
    <x v="88"/>
    <d v="2025-08-16T00:00:00"/>
    <x v="4"/>
    <s v="Workshop"/>
    <x v="17"/>
    <x v="17"/>
    <s v="Confined Space"/>
    <x v="15"/>
    <n v="4"/>
    <n v="5"/>
    <n v="20"/>
    <x v="2"/>
    <x v="0"/>
    <x v="3"/>
    <n v="3"/>
    <n v="5"/>
    <n v="15"/>
    <s v="Reduced"/>
    <x v="1"/>
    <x v="2"/>
    <s v="Maintenance Supervisor"/>
    <x v="79"/>
  </r>
  <r>
    <x v="89"/>
    <d v="2026-06-23T00:00:00"/>
    <x v="7"/>
    <s v="Workshop"/>
    <x v="16"/>
    <x v="16"/>
    <s v="Physical"/>
    <x v="19"/>
    <n v="3"/>
    <n v="3"/>
    <n v="9"/>
    <x v="0"/>
    <x v="2"/>
    <x v="4"/>
    <n v="2"/>
    <n v="2"/>
    <n v="4"/>
    <s v="Reduced"/>
    <x v="0"/>
    <x v="2"/>
    <s v="Production Supervisor"/>
    <x v="80"/>
  </r>
  <r>
    <x v="90"/>
    <d v="2025-01-27T00:00:00"/>
    <x v="1"/>
    <s v="Plant Area A"/>
    <x v="12"/>
    <x v="12"/>
    <s v="Mechanical"/>
    <x v="4"/>
    <n v="4"/>
    <n v="5"/>
    <n v="20"/>
    <x v="2"/>
    <x v="6"/>
    <x v="1"/>
    <n v="2"/>
    <n v="4"/>
    <n v="8"/>
    <s v="Reduced"/>
    <x v="2"/>
    <x v="1"/>
    <s v="Department Supervisor"/>
    <x v="81"/>
  </r>
  <r>
    <x v="91"/>
    <d v="2026-04-27T00:00:00"/>
    <x v="4"/>
    <s v="Laboratory"/>
    <x v="8"/>
    <x v="8"/>
    <s v="Mechanical"/>
    <x v="12"/>
    <n v="5"/>
    <n v="4"/>
    <n v="20"/>
    <x v="2"/>
    <x v="0"/>
    <x v="2"/>
    <n v="5"/>
    <n v="4"/>
    <n v="20"/>
    <s v="No Reduction"/>
    <x v="3"/>
    <x v="2"/>
    <s v="Production Supervisor"/>
    <x v="82"/>
  </r>
  <r>
    <x v="92"/>
    <d v="2026-08-11T00:00:00"/>
    <x v="0"/>
    <s v="Office"/>
    <x v="0"/>
    <x v="0"/>
    <s v="Thermal"/>
    <x v="20"/>
    <n v="3"/>
    <n v="4"/>
    <n v="12"/>
    <x v="1"/>
    <x v="4"/>
    <x v="6"/>
    <n v="2"/>
    <n v="3"/>
    <n v="6"/>
    <s v="Reduced"/>
    <x v="2"/>
    <x v="0"/>
    <s v="HSE Engineer"/>
    <x v="83"/>
  </r>
  <r>
    <x v="93"/>
    <d v="2026-10-03T00:00:00"/>
    <x v="7"/>
    <s v="Plant Area B"/>
    <x v="15"/>
    <x v="15"/>
    <s v="Vehicle / Traffic"/>
    <x v="21"/>
    <n v="4"/>
    <n v="4"/>
    <n v="16"/>
    <x v="1"/>
    <x v="4"/>
    <x v="2"/>
    <n v="4"/>
    <n v="3"/>
    <n v="12"/>
    <s v="Reduced"/>
    <x v="1"/>
    <x v="0"/>
    <s v="Department Supervisor"/>
    <x v="84"/>
  </r>
  <r>
    <x v="94"/>
    <d v="2025-08-06T00:00:00"/>
    <x v="6"/>
    <s v="Workshop"/>
    <x v="7"/>
    <x v="7"/>
    <s v="Chemical"/>
    <x v="2"/>
    <n v="3"/>
    <n v="2"/>
    <n v="6"/>
    <x v="0"/>
    <x v="6"/>
    <x v="8"/>
    <n v="3"/>
    <n v="2"/>
    <n v="6"/>
    <s v="Reduced"/>
    <x v="2"/>
    <x v="1"/>
    <s v="Maintenance Supervisor"/>
    <x v="85"/>
  </r>
  <r>
    <x v="95"/>
    <d v="2025-05-21T00:00:00"/>
    <x v="5"/>
    <s v="Laboratory"/>
    <x v="10"/>
    <x v="10"/>
    <s v="Electrical"/>
    <x v="4"/>
    <n v="3"/>
    <n v="2"/>
    <n v="6"/>
    <x v="0"/>
    <x v="7"/>
    <x v="2"/>
    <n v="2"/>
    <n v="1"/>
    <n v="2"/>
    <s v="Reduced"/>
    <x v="0"/>
    <x v="1"/>
    <s v="HSE Officer"/>
    <x v="86"/>
  </r>
  <r>
    <x v="96"/>
    <d v="2026-02-11T00:00:00"/>
    <x v="4"/>
    <s v="Workshop"/>
    <x v="4"/>
    <x v="4"/>
    <s v="Mechanical"/>
    <x v="4"/>
    <n v="4"/>
    <n v="4"/>
    <n v="16"/>
    <x v="1"/>
    <x v="2"/>
    <x v="0"/>
    <n v="3"/>
    <n v="3"/>
    <n v="9"/>
    <s v="Reduced"/>
    <x v="2"/>
    <x v="2"/>
    <s v="HSE Engineer"/>
    <x v="87"/>
  </r>
  <r>
    <x v="97"/>
    <d v="2025-04-30T00:00:00"/>
    <x v="6"/>
    <s v="Office"/>
    <x v="18"/>
    <x v="18"/>
    <s v="Pressure / Thermal"/>
    <x v="22"/>
    <n v="2"/>
    <n v="5"/>
    <n v="10"/>
    <x v="1"/>
    <x v="5"/>
    <x v="2"/>
    <n v="1"/>
    <n v="4"/>
    <n v="4"/>
    <s v="Reduced"/>
    <x v="0"/>
    <x v="0"/>
    <s v="Maintenance Supervisor"/>
    <x v="88"/>
  </r>
  <r>
    <x v="98"/>
    <d v="2025-12-16T00:00:00"/>
    <x v="5"/>
    <s v="Utilities Area"/>
    <x v="10"/>
    <x v="10"/>
    <s v="Electrical"/>
    <x v="4"/>
    <n v="2"/>
    <n v="4"/>
    <n v="8"/>
    <x v="0"/>
    <x v="3"/>
    <x v="5"/>
    <n v="1"/>
    <n v="4"/>
    <n v="4"/>
    <s v="Reduced"/>
    <x v="0"/>
    <x v="1"/>
    <s v="HSE Engineer"/>
    <x v="89"/>
  </r>
  <r>
    <x v="99"/>
    <d v="2025-07-07T00:00:00"/>
    <x v="1"/>
    <s v="Office"/>
    <x v="12"/>
    <x v="12"/>
    <s v="Mechanical"/>
    <x v="12"/>
    <n v="5"/>
    <n v="2"/>
    <n v="10"/>
    <x v="1"/>
    <x v="5"/>
    <x v="5"/>
    <n v="4"/>
    <n v="1"/>
    <n v="4"/>
    <s v="Reduced"/>
    <x v="0"/>
    <x v="2"/>
    <s v="Maintenance Supervisor"/>
    <x v="90"/>
  </r>
  <r>
    <x v="100"/>
    <d v="2026-08-13T00:00:00"/>
    <x v="7"/>
    <s v="Utilities Area"/>
    <x v="15"/>
    <x v="15"/>
    <s v="Vehicle / Traffic"/>
    <x v="13"/>
    <n v="3"/>
    <n v="3"/>
    <n v="9"/>
    <x v="0"/>
    <x v="2"/>
    <x v="2"/>
    <n v="2"/>
    <n v="2"/>
    <n v="4"/>
    <s v="Reduced"/>
    <x v="0"/>
    <x v="1"/>
    <s v="HSE Officer"/>
    <x v="91"/>
  </r>
  <r>
    <x v="101"/>
    <d v="2025-04-25T00:00:00"/>
    <x v="0"/>
    <s v="Laboratory"/>
    <x v="9"/>
    <x v="9"/>
    <s v="Mechanical"/>
    <x v="10"/>
    <n v="5"/>
    <n v="3"/>
    <n v="15"/>
    <x v="1"/>
    <x v="1"/>
    <x v="3"/>
    <n v="4"/>
    <n v="3"/>
    <n v="12"/>
    <s v="Reduced"/>
    <x v="1"/>
    <x v="0"/>
    <s v="HSE Officer"/>
    <x v="92"/>
  </r>
  <r>
    <x v="102"/>
    <d v="2026-01-22T00:00:00"/>
    <x v="0"/>
    <s v="Utilities Area"/>
    <x v="13"/>
    <x v="13"/>
    <s v="Mechanical"/>
    <x v="4"/>
    <n v="5"/>
    <n v="3"/>
    <n v="15"/>
    <x v="1"/>
    <x v="5"/>
    <x v="0"/>
    <n v="3"/>
    <n v="3"/>
    <n v="9"/>
    <s v="Reduced"/>
    <x v="2"/>
    <x v="0"/>
    <s v="HSE Engineer"/>
    <x v="93"/>
  </r>
  <r>
    <x v="103"/>
    <d v="2026-04-06T00:00:00"/>
    <x v="0"/>
    <s v="Plant Area B"/>
    <x v="0"/>
    <x v="0"/>
    <s v="Thermal"/>
    <x v="20"/>
    <n v="4"/>
    <n v="3"/>
    <n v="12"/>
    <x v="1"/>
    <x v="1"/>
    <x v="5"/>
    <n v="3"/>
    <n v="2"/>
    <n v="6"/>
    <s v="Reduced"/>
    <x v="2"/>
    <x v="0"/>
    <s v="Maintenance Supervisor"/>
    <x v="94"/>
  </r>
  <r>
    <x v="104"/>
    <d v="2025-03-31T00:00:00"/>
    <x v="6"/>
    <s v="Plant Area B"/>
    <x v="7"/>
    <x v="7"/>
    <s v="Chemical"/>
    <x v="1"/>
    <n v="4"/>
    <n v="3"/>
    <n v="12"/>
    <x v="1"/>
    <x v="5"/>
    <x v="0"/>
    <n v="3"/>
    <n v="3"/>
    <n v="9"/>
    <s v="Reduced"/>
    <x v="2"/>
    <x v="2"/>
    <s v="Production Supervisor"/>
    <x v="95"/>
  </r>
  <r>
    <x v="105"/>
    <d v="2026-04-13T00:00:00"/>
    <x v="7"/>
    <s v="Workshop"/>
    <x v="16"/>
    <x v="16"/>
    <s v="Physical"/>
    <x v="4"/>
    <n v="5"/>
    <n v="4"/>
    <n v="20"/>
    <x v="2"/>
    <x v="2"/>
    <x v="0"/>
    <n v="4"/>
    <n v="4"/>
    <n v="16"/>
    <s v="Reduced"/>
    <x v="1"/>
    <x v="2"/>
    <s v="HSE Engineer"/>
    <x v="96"/>
  </r>
  <r>
    <x v="106"/>
    <d v="2025-01-17T00:00:00"/>
    <x v="5"/>
    <s v="Workshop"/>
    <x v="10"/>
    <x v="10"/>
    <s v="Electrical"/>
    <x v="5"/>
    <n v="2"/>
    <n v="3"/>
    <n v="6"/>
    <x v="0"/>
    <x v="1"/>
    <x v="4"/>
    <n v="1"/>
    <n v="2"/>
    <n v="2"/>
    <s v="Reduced"/>
    <x v="0"/>
    <x v="1"/>
    <s v="Department Supervisor"/>
    <x v="97"/>
  </r>
  <r>
    <x v="107"/>
    <d v="2026-11-24T00:00:00"/>
    <x v="3"/>
    <s v="Workshop"/>
    <x v="3"/>
    <x v="3"/>
    <s v="Ergonomic"/>
    <x v="3"/>
    <n v="3"/>
    <n v="5"/>
    <n v="15"/>
    <x v="1"/>
    <x v="5"/>
    <x v="4"/>
    <n v="2"/>
    <n v="5"/>
    <n v="10"/>
    <s v="Reduced"/>
    <x v="1"/>
    <x v="2"/>
    <s v="Department Supervisor"/>
    <x v="98"/>
  </r>
  <r>
    <x v="108"/>
    <d v="2026-08-11T00:00:00"/>
    <x v="7"/>
    <s v="Office"/>
    <x v="15"/>
    <x v="15"/>
    <s v="Vehicle / Traffic"/>
    <x v="21"/>
    <n v="3"/>
    <n v="5"/>
    <n v="15"/>
    <x v="1"/>
    <x v="5"/>
    <x v="5"/>
    <n v="2"/>
    <n v="5"/>
    <n v="10"/>
    <s v="Reduced"/>
    <x v="1"/>
    <x v="1"/>
    <s v="Maintenance Supervisor"/>
    <x v="99"/>
  </r>
  <r>
    <x v="109"/>
    <d v="2025-10-09T00:00:00"/>
    <x v="6"/>
    <s v="Office"/>
    <x v="18"/>
    <x v="18"/>
    <s v="Pressure / Thermal"/>
    <x v="22"/>
    <n v="4"/>
    <n v="3"/>
    <n v="12"/>
    <x v="1"/>
    <x v="5"/>
    <x v="4"/>
    <n v="2"/>
    <n v="3"/>
    <n v="6"/>
    <s v="Reduced"/>
    <x v="2"/>
    <x v="0"/>
    <s v="Production Supervisor"/>
    <x v="27"/>
  </r>
  <r>
    <x v="110"/>
    <d v="2025-01-13T00:00:00"/>
    <x v="3"/>
    <s v="Office"/>
    <x v="3"/>
    <x v="3"/>
    <s v="Ergonomic"/>
    <x v="3"/>
    <n v="4"/>
    <n v="3"/>
    <n v="12"/>
    <x v="1"/>
    <x v="0"/>
    <x v="7"/>
    <n v="3"/>
    <n v="2"/>
    <n v="6"/>
    <s v="Reduced"/>
    <x v="2"/>
    <x v="2"/>
    <s v="Production Supervisor"/>
    <x v="100"/>
  </r>
  <r>
    <x v="111"/>
    <d v="2026-11-11T00:00:00"/>
    <x v="3"/>
    <s v="Warehouse"/>
    <x v="3"/>
    <x v="3"/>
    <s v="Ergonomic"/>
    <x v="3"/>
    <n v="2"/>
    <n v="5"/>
    <n v="10"/>
    <x v="1"/>
    <x v="2"/>
    <x v="9"/>
    <n v="1"/>
    <n v="4"/>
    <n v="4"/>
    <s v="Reduced"/>
    <x v="0"/>
    <x v="0"/>
    <s v="Maintenance Supervisor"/>
    <x v="101"/>
  </r>
  <r>
    <x v="112"/>
    <d v="2026-02-24T00:00:00"/>
    <x v="4"/>
    <s v="Laboratory"/>
    <x v="17"/>
    <x v="17"/>
    <s v="Confined Space"/>
    <x v="15"/>
    <n v="5"/>
    <n v="5"/>
    <n v="25"/>
    <x v="2"/>
    <x v="3"/>
    <x v="8"/>
    <n v="4"/>
    <n v="4"/>
    <n v="16"/>
    <s v="Reduced"/>
    <x v="1"/>
    <x v="2"/>
    <s v="Department Supervisor"/>
    <x v="102"/>
  </r>
  <r>
    <x v="113"/>
    <d v="2026-12-25T00:00:00"/>
    <x v="1"/>
    <s v="Plant Area B"/>
    <x v="12"/>
    <x v="12"/>
    <s v="Mechanical"/>
    <x v="12"/>
    <n v="4"/>
    <n v="2"/>
    <n v="8"/>
    <x v="0"/>
    <x v="5"/>
    <x v="4"/>
    <n v="3"/>
    <n v="2"/>
    <n v="6"/>
    <s v="Reduced"/>
    <x v="2"/>
    <x v="1"/>
    <s v="Department Supervisor"/>
    <x v="103"/>
  </r>
  <r>
    <x v="114"/>
    <d v="2026-04-01T00:00:00"/>
    <x v="6"/>
    <s v="Workshop"/>
    <x v="14"/>
    <x v="14"/>
    <s v="Pressure"/>
    <x v="4"/>
    <n v="2"/>
    <n v="4"/>
    <n v="8"/>
    <x v="0"/>
    <x v="2"/>
    <x v="2"/>
    <n v="1"/>
    <n v="3"/>
    <n v="3"/>
    <s v="Reduced"/>
    <x v="0"/>
    <x v="1"/>
    <s v="HSE Engineer"/>
    <x v="104"/>
  </r>
  <r>
    <x v="115"/>
    <d v="2025-07-18T00:00:00"/>
    <x v="0"/>
    <s v="Plant Area B"/>
    <x v="11"/>
    <x v="11"/>
    <s v="Excavation"/>
    <x v="4"/>
    <n v="3"/>
    <n v="2"/>
    <n v="6"/>
    <x v="0"/>
    <x v="5"/>
    <x v="5"/>
    <n v="3"/>
    <n v="2"/>
    <n v="6"/>
    <s v="Reduced"/>
    <x v="2"/>
    <x v="2"/>
    <s v="Maintenance Supervisor"/>
    <x v="105"/>
  </r>
  <r>
    <x v="116"/>
    <d v="2026-06-05T00:00:00"/>
    <x v="0"/>
    <s v="Laboratory"/>
    <x v="13"/>
    <x v="13"/>
    <s v="Mechanical"/>
    <x v="12"/>
    <n v="5"/>
    <n v="2"/>
    <n v="10"/>
    <x v="1"/>
    <x v="2"/>
    <x v="6"/>
    <n v="4"/>
    <n v="2"/>
    <n v="8"/>
    <s v="Reduced"/>
    <x v="2"/>
    <x v="0"/>
    <s v="HSE Officer"/>
    <x v="106"/>
  </r>
  <r>
    <x v="117"/>
    <d v="2026-04-16T00:00:00"/>
    <x v="7"/>
    <s v="Office"/>
    <x v="16"/>
    <x v="16"/>
    <s v="Physical"/>
    <x v="4"/>
    <n v="5"/>
    <n v="5"/>
    <n v="25"/>
    <x v="2"/>
    <x v="0"/>
    <x v="3"/>
    <n v="5"/>
    <n v="5"/>
    <n v="25"/>
    <s v="No Reduction"/>
    <x v="3"/>
    <x v="2"/>
    <s v="HSE Officer"/>
    <x v="107"/>
  </r>
  <r>
    <x v="118"/>
    <d v="2026-05-27T00:00:00"/>
    <x v="7"/>
    <s v="Office"/>
    <x v="15"/>
    <x v="15"/>
    <s v="Vehicle / Traffic"/>
    <x v="13"/>
    <n v="5"/>
    <n v="2"/>
    <n v="10"/>
    <x v="1"/>
    <x v="3"/>
    <x v="8"/>
    <n v="4"/>
    <n v="2"/>
    <n v="8"/>
    <s v="Reduced"/>
    <x v="2"/>
    <x v="0"/>
    <s v="HSE Officer"/>
    <x v="108"/>
  </r>
  <r>
    <x v="119"/>
    <d v="2026-05-20T00:00:00"/>
    <x v="5"/>
    <s v="Plant Area B"/>
    <x v="10"/>
    <x v="10"/>
    <s v="Electrical"/>
    <x v="5"/>
    <n v="4"/>
    <n v="3"/>
    <n v="12"/>
    <x v="1"/>
    <x v="0"/>
    <x v="8"/>
    <n v="2"/>
    <n v="3"/>
    <n v="6"/>
    <s v="Reduced"/>
    <x v="2"/>
    <x v="2"/>
    <s v="HSE Engineer"/>
    <x v="109"/>
  </r>
  <r>
    <x v="120"/>
    <d v="2026-07-11T00:00:00"/>
    <x v="7"/>
    <s v="Office"/>
    <x v="15"/>
    <x v="15"/>
    <s v="Vehicle / Traffic"/>
    <x v="21"/>
    <n v="3"/>
    <n v="2"/>
    <n v="6"/>
    <x v="0"/>
    <x v="4"/>
    <x v="1"/>
    <n v="2"/>
    <n v="1"/>
    <n v="2"/>
    <s v="Reduced"/>
    <x v="0"/>
    <x v="2"/>
    <s v="Department Supervisor"/>
    <x v="110"/>
  </r>
  <r>
    <x v="121"/>
    <d v="2025-06-02T00:00:00"/>
    <x v="1"/>
    <s v="Office"/>
    <x v="12"/>
    <x v="12"/>
    <s v="Mechanical"/>
    <x v="10"/>
    <n v="3"/>
    <n v="2"/>
    <n v="6"/>
    <x v="0"/>
    <x v="6"/>
    <x v="9"/>
    <n v="2"/>
    <n v="1"/>
    <n v="2"/>
    <s v="Reduced"/>
    <x v="0"/>
    <x v="1"/>
    <s v="Maintenance Supervisor"/>
    <x v="111"/>
  </r>
  <r>
    <x v="122"/>
    <d v="2025-05-01T00:00:00"/>
    <x v="5"/>
    <s v="Plant Area B"/>
    <x v="10"/>
    <x v="10"/>
    <s v="Electrical"/>
    <x v="9"/>
    <n v="5"/>
    <n v="4"/>
    <n v="20"/>
    <x v="2"/>
    <x v="3"/>
    <x v="2"/>
    <n v="5"/>
    <n v="4"/>
    <n v="20"/>
    <s v="Reduced"/>
    <x v="3"/>
    <x v="0"/>
    <s v="Production Supervisor"/>
    <x v="112"/>
  </r>
  <r>
    <x v="123"/>
    <d v="2025-01-14T00:00:00"/>
    <x v="0"/>
    <s v="Utilities Area"/>
    <x v="9"/>
    <x v="9"/>
    <s v="Mechanical"/>
    <x v="7"/>
    <n v="5"/>
    <n v="5"/>
    <n v="25"/>
    <x v="2"/>
    <x v="0"/>
    <x v="1"/>
    <n v="5"/>
    <n v="4"/>
    <n v="20"/>
    <s v="Reduced"/>
    <x v="3"/>
    <x v="2"/>
    <s v="Maintenance Supervisor"/>
    <x v="113"/>
  </r>
  <r>
    <x v="124"/>
    <d v="2026-07-21T00:00:00"/>
    <x v="4"/>
    <s v="Laboratory"/>
    <x v="4"/>
    <x v="4"/>
    <s v="Mechanical"/>
    <x v="7"/>
    <n v="2"/>
    <n v="5"/>
    <n v="10"/>
    <x v="1"/>
    <x v="0"/>
    <x v="9"/>
    <n v="1"/>
    <n v="5"/>
    <n v="5"/>
    <s v="Reduced"/>
    <x v="2"/>
    <x v="1"/>
    <s v="HSE Officer"/>
    <x v="54"/>
  </r>
  <r>
    <x v="125"/>
    <d v="2026-02-28T00:00:00"/>
    <x v="0"/>
    <s v="Plant Area B"/>
    <x v="13"/>
    <x v="13"/>
    <s v="Mechanical"/>
    <x v="12"/>
    <n v="2"/>
    <n v="2"/>
    <n v="4"/>
    <x v="3"/>
    <x v="0"/>
    <x v="5"/>
    <n v="1"/>
    <n v="1"/>
    <n v="1"/>
    <s v="Reduced"/>
    <x v="0"/>
    <x v="2"/>
    <s v="Maintenance Supervisor"/>
    <x v="114"/>
  </r>
  <r>
    <x v="126"/>
    <d v="2025-06-15T00:00:00"/>
    <x v="6"/>
    <s v="Plant Area B"/>
    <x v="14"/>
    <x v="14"/>
    <s v="Pressure"/>
    <x v="14"/>
    <n v="2"/>
    <n v="3"/>
    <n v="6"/>
    <x v="0"/>
    <x v="1"/>
    <x v="3"/>
    <n v="1"/>
    <n v="3"/>
    <n v="3"/>
    <s v="Reduced"/>
    <x v="0"/>
    <x v="0"/>
    <s v="HSE Officer"/>
    <x v="115"/>
  </r>
  <r>
    <x v="127"/>
    <d v="2026-05-21T00:00:00"/>
    <x v="6"/>
    <s v="Laboratory"/>
    <x v="18"/>
    <x v="18"/>
    <s v="Pressure / Thermal"/>
    <x v="22"/>
    <n v="3"/>
    <n v="4"/>
    <n v="12"/>
    <x v="1"/>
    <x v="3"/>
    <x v="6"/>
    <n v="1"/>
    <n v="3"/>
    <n v="3"/>
    <s v="Reduced"/>
    <x v="0"/>
    <x v="2"/>
    <s v="Production Supervisor"/>
    <x v="116"/>
  </r>
  <r>
    <x v="128"/>
    <d v="2026-09-23T00:00:00"/>
    <x v="0"/>
    <s v="Laboratory"/>
    <x v="11"/>
    <x v="11"/>
    <s v="Excavation"/>
    <x v="16"/>
    <n v="3"/>
    <n v="4"/>
    <n v="12"/>
    <x v="1"/>
    <x v="1"/>
    <x v="1"/>
    <n v="2"/>
    <n v="3"/>
    <n v="6"/>
    <s v="Reduced"/>
    <x v="2"/>
    <x v="0"/>
    <s v="Production Supervisor"/>
    <x v="117"/>
  </r>
  <r>
    <x v="129"/>
    <d v="2025-09-22T00:00:00"/>
    <x v="4"/>
    <s v="Office"/>
    <x v="17"/>
    <x v="17"/>
    <s v="Confined Space"/>
    <x v="4"/>
    <n v="3"/>
    <n v="2"/>
    <n v="6"/>
    <x v="0"/>
    <x v="0"/>
    <x v="3"/>
    <n v="2"/>
    <n v="1"/>
    <n v="2"/>
    <s v="Reduced"/>
    <x v="0"/>
    <x v="0"/>
    <s v="Production Supervisor"/>
    <x v="118"/>
  </r>
  <r>
    <x v="130"/>
    <d v="2025-06-21T00:00:00"/>
    <x v="4"/>
    <s v="Plant Area A"/>
    <x v="8"/>
    <x v="8"/>
    <s v="Mechanical"/>
    <x v="12"/>
    <n v="3"/>
    <n v="2"/>
    <n v="6"/>
    <x v="0"/>
    <x v="4"/>
    <x v="6"/>
    <n v="2"/>
    <n v="2"/>
    <n v="4"/>
    <s v="Reduced"/>
    <x v="0"/>
    <x v="2"/>
    <s v="Production Supervisor"/>
    <x v="119"/>
  </r>
  <r>
    <x v="131"/>
    <d v="2026-05-10T00:00:00"/>
    <x v="7"/>
    <s v="Utilities Area"/>
    <x v="15"/>
    <x v="15"/>
    <s v="Vehicle / Traffic"/>
    <x v="4"/>
    <n v="3"/>
    <n v="2"/>
    <n v="6"/>
    <x v="0"/>
    <x v="6"/>
    <x v="1"/>
    <n v="2"/>
    <n v="1"/>
    <n v="2"/>
    <s v="Reduced"/>
    <x v="0"/>
    <x v="2"/>
    <s v="Department Supervisor"/>
    <x v="120"/>
  </r>
  <r>
    <x v="132"/>
    <d v="2025-03-27T00:00:00"/>
    <x v="6"/>
    <s v="Laboratory"/>
    <x v="14"/>
    <x v="14"/>
    <s v="Pressure"/>
    <x v="4"/>
    <n v="2"/>
    <n v="3"/>
    <n v="6"/>
    <x v="0"/>
    <x v="0"/>
    <x v="9"/>
    <n v="2"/>
    <n v="2"/>
    <n v="4"/>
    <s v="Reduced"/>
    <x v="0"/>
    <x v="0"/>
    <s v="Department Supervisor"/>
    <x v="121"/>
  </r>
  <r>
    <x v="133"/>
    <d v="2025-11-03T00:00:00"/>
    <x v="4"/>
    <s v="Plant Area B"/>
    <x v="4"/>
    <x v="4"/>
    <s v="Mechanical"/>
    <x v="10"/>
    <n v="3"/>
    <n v="5"/>
    <n v="15"/>
    <x v="1"/>
    <x v="7"/>
    <x v="2"/>
    <n v="2"/>
    <n v="5"/>
    <n v="10"/>
    <s v="Reduced"/>
    <x v="1"/>
    <x v="1"/>
    <s v="HSE Officer"/>
    <x v="122"/>
  </r>
  <r>
    <x v="134"/>
    <d v="2025-03-15T00:00:00"/>
    <x v="5"/>
    <s v="Warehouse"/>
    <x v="10"/>
    <x v="10"/>
    <s v="Electrical"/>
    <x v="9"/>
    <n v="5"/>
    <n v="5"/>
    <n v="25"/>
    <x v="2"/>
    <x v="4"/>
    <x v="0"/>
    <n v="4"/>
    <n v="4"/>
    <n v="16"/>
    <s v="Reduced"/>
    <x v="1"/>
    <x v="2"/>
    <s v="Department Supervisor"/>
    <x v="123"/>
  </r>
  <r>
    <x v="135"/>
    <d v="2025-03-15T00:00:00"/>
    <x v="5"/>
    <s v="Utilities Area"/>
    <x v="5"/>
    <x v="5"/>
    <s v="Electrical"/>
    <x v="5"/>
    <n v="3"/>
    <n v="5"/>
    <n v="15"/>
    <x v="1"/>
    <x v="1"/>
    <x v="7"/>
    <n v="3"/>
    <n v="4"/>
    <n v="12"/>
    <s v="Reduced"/>
    <x v="1"/>
    <x v="0"/>
    <s v="Department Supervisor"/>
    <x v="124"/>
  </r>
  <r>
    <x v="136"/>
    <d v="2026-11-08T00:00:00"/>
    <x v="4"/>
    <s v="Office"/>
    <x v="8"/>
    <x v="8"/>
    <s v="Mechanical"/>
    <x v="10"/>
    <n v="2"/>
    <n v="5"/>
    <n v="10"/>
    <x v="1"/>
    <x v="0"/>
    <x v="2"/>
    <n v="1"/>
    <n v="5"/>
    <n v="5"/>
    <s v="Reduced"/>
    <x v="2"/>
    <x v="1"/>
    <s v="HSE Engineer"/>
    <x v="125"/>
  </r>
  <r>
    <x v="137"/>
    <d v="2026-03-18T00:00:00"/>
    <x v="3"/>
    <s v="Laboratory"/>
    <x v="3"/>
    <x v="3"/>
    <s v="Ergonomic"/>
    <x v="3"/>
    <n v="5"/>
    <n v="4"/>
    <n v="20"/>
    <x v="2"/>
    <x v="3"/>
    <x v="3"/>
    <n v="4"/>
    <n v="4"/>
    <n v="16"/>
    <s v="Reduced"/>
    <x v="1"/>
    <x v="0"/>
    <s v="Production Supervisor"/>
    <x v="126"/>
  </r>
  <r>
    <x v="138"/>
    <d v="2025-11-27T00:00:00"/>
    <x v="4"/>
    <s v="Laboratory"/>
    <x v="8"/>
    <x v="8"/>
    <s v="Mechanical"/>
    <x v="7"/>
    <n v="2"/>
    <n v="5"/>
    <n v="10"/>
    <x v="1"/>
    <x v="7"/>
    <x v="1"/>
    <n v="1"/>
    <n v="5"/>
    <n v="5"/>
    <s v="Reduced"/>
    <x v="2"/>
    <x v="0"/>
    <s v="HSE Engineer"/>
    <x v="127"/>
  </r>
  <r>
    <x v="139"/>
    <d v="2026-03-07T00:00:00"/>
    <x v="4"/>
    <s v="Workshop"/>
    <x v="8"/>
    <x v="8"/>
    <s v="Mechanical"/>
    <x v="10"/>
    <n v="2"/>
    <n v="4"/>
    <n v="8"/>
    <x v="0"/>
    <x v="7"/>
    <x v="9"/>
    <n v="1"/>
    <n v="3"/>
    <n v="3"/>
    <s v="Reduced"/>
    <x v="0"/>
    <x v="2"/>
    <s v="Department Supervisor"/>
    <x v="128"/>
  </r>
  <r>
    <x v="140"/>
    <d v="2025-06-05T00:00:00"/>
    <x v="5"/>
    <s v="Utilities Area"/>
    <x v="10"/>
    <x v="10"/>
    <s v="Electrical"/>
    <x v="4"/>
    <n v="3"/>
    <n v="5"/>
    <n v="15"/>
    <x v="1"/>
    <x v="4"/>
    <x v="9"/>
    <n v="1"/>
    <n v="4"/>
    <n v="4"/>
    <s v="Reduced"/>
    <x v="0"/>
    <x v="0"/>
    <s v="HSE Officer"/>
    <x v="106"/>
  </r>
  <r>
    <x v="141"/>
    <d v="2026-10-05T00:00:00"/>
    <x v="4"/>
    <s v="Plant Area A"/>
    <x v="4"/>
    <x v="4"/>
    <s v="Mechanical"/>
    <x v="7"/>
    <n v="5"/>
    <n v="5"/>
    <n v="25"/>
    <x v="2"/>
    <x v="2"/>
    <x v="9"/>
    <n v="4"/>
    <n v="4"/>
    <n v="16"/>
    <s v="Reduced"/>
    <x v="1"/>
    <x v="1"/>
    <s v="HSE Officer"/>
    <x v="129"/>
  </r>
  <r>
    <x v="142"/>
    <d v="2026-03-14T00:00:00"/>
    <x v="0"/>
    <s v="Utilities Area"/>
    <x v="9"/>
    <x v="9"/>
    <s v="Mechanical"/>
    <x v="4"/>
    <n v="2"/>
    <n v="2"/>
    <n v="4"/>
    <x v="3"/>
    <x v="2"/>
    <x v="4"/>
    <n v="1"/>
    <n v="2"/>
    <n v="2"/>
    <s v="Reduced"/>
    <x v="0"/>
    <x v="1"/>
    <s v="Department Supervisor"/>
    <x v="130"/>
  </r>
  <r>
    <x v="143"/>
    <d v="2025-09-17T00:00:00"/>
    <x v="0"/>
    <s v="Plant Area B"/>
    <x v="6"/>
    <x v="6"/>
    <s v="Work at Height"/>
    <x v="13"/>
    <n v="4"/>
    <n v="3"/>
    <n v="12"/>
    <x v="1"/>
    <x v="4"/>
    <x v="5"/>
    <n v="2"/>
    <n v="2"/>
    <n v="4"/>
    <s v="Reduced"/>
    <x v="0"/>
    <x v="1"/>
    <s v="HSE Engineer"/>
    <x v="9"/>
  </r>
  <r>
    <x v="144"/>
    <d v="2025-04-05T00:00:00"/>
    <x v="5"/>
    <s v="Workshop"/>
    <x v="10"/>
    <x v="10"/>
    <s v="Electrical"/>
    <x v="9"/>
    <n v="4"/>
    <n v="3"/>
    <n v="12"/>
    <x v="1"/>
    <x v="0"/>
    <x v="3"/>
    <n v="3"/>
    <n v="3"/>
    <n v="9"/>
    <s v="Reduced"/>
    <x v="2"/>
    <x v="1"/>
    <s v="Production Supervisor"/>
    <x v="131"/>
  </r>
  <r>
    <x v="145"/>
    <d v="2026-01-18T00:00:00"/>
    <x v="0"/>
    <s v="Workshop"/>
    <x v="0"/>
    <x v="0"/>
    <s v="Thermal"/>
    <x v="20"/>
    <n v="2"/>
    <n v="2"/>
    <n v="4"/>
    <x v="3"/>
    <x v="0"/>
    <x v="1"/>
    <n v="1"/>
    <n v="2"/>
    <n v="2"/>
    <s v="Reduced"/>
    <x v="0"/>
    <x v="1"/>
    <s v="HSE Officer"/>
    <x v="132"/>
  </r>
  <r>
    <x v="146"/>
    <d v="2025-09-25T00:00:00"/>
    <x v="1"/>
    <s v="Office"/>
    <x v="12"/>
    <x v="12"/>
    <s v="Mechanical"/>
    <x v="10"/>
    <n v="3"/>
    <n v="3"/>
    <n v="9"/>
    <x v="0"/>
    <x v="4"/>
    <x v="4"/>
    <n v="2"/>
    <n v="2"/>
    <n v="4"/>
    <s v="Reduced"/>
    <x v="0"/>
    <x v="2"/>
    <s v="HSE Officer"/>
    <x v="133"/>
  </r>
  <r>
    <x v="147"/>
    <d v="2026-03-13T00:00:00"/>
    <x v="5"/>
    <s v="Office"/>
    <x v="5"/>
    <x v="5"/>
    <s v="Electrical"/>
    <x v="9"/>
    <n v="3"/>
    <n v="3"/>
    <n v="9"/>
    <x v="0"/>
    <x v="1"/>
    <x v="5"/>
    <n v="3"/>
    <n v="2"/>
    <n v="6"/>
    <s v="Reduced"/>
    <x v="2"/>
    <x v="0"/>
    <s v="HSE Officer"/>
    <x v="134"/>
  </r>
  <r>
    <x v="148"/>
    <d v="2025-05-28T00:00:00"/>
    <x v="0"/>
    <s v="Plant Area B"/>
    <x v="6"/>
    <x v="6"/>
    <s v="Work at Height"/>
    <x v="4"/>
    <n v="4"/>
    <n v="4"/>
    <n v="16"/>
    <x v="1"/>
    <x v="1"/>
    <x v="3"/>
    <n v="3"/>
    <n v="3"/>
    <n v="9"/>
    <s v="Reduced"/>
    <x v="2"/>
    <x v="2"/>
    <s v="Department Supervisor"/>
    <x v="135"/>
  </r>
  <r>
    <x v="149"/>
    <d v="2026-08-18T00:00:00"/>
    <x v="1"/>
    <s v="Office"/>
    <x v="1"/>
    <x v="1"/>
    <s v="Fire / Chemical"/>
    <x v="9"/>
    <n v="3"/>
    <n v="4"/>
    <n v="12"/>
    <x v="1"/>
    <x v="3"/>
    <x v="4"/>
    <n v="2"/>
    <n v="3"/>
    <n v="6"/>
    <s v="Reduced"/>
    <x v="2"/>
    <x v="0"/>
    <s v="HSE Engineer"/>
    <x v="136"/>
  </r>
  <r>
    <x v="150"/>
    <d v="2025-03-02T00:00:00"/>
    <x v="6"/>
    <s v="Plant Area A"/>
    <x v="7"/>
    <x v="7"/>
    <s v="Chemical"/>
    <x v="1"/>
    <n v="4"/>
    <n v="5"/>
    <n v="20"/>
    <x v="2"/>
    <x v="3"/>
    <x v="5"/>
    <n v="3"/>
    <n v="4"/>
    <n v="12"/>
    <s v="Reduced"/>
    <x v="1"/>
    <x v="0"/>
    <s v="Production Supervisor"/>
    <x v="137"/>
  </r>
  <r>
    <x v="151"/>
    <d v="2026-03-10T00:00:00"/>
    <x v="4"/>
    <s v="Warehouse"/>
    <x v="8"/>
    <x v="8"/>
    <s v="Mechanical"/>
    <x v="12"/>
    <n v="2"/>
    <n v="5"/>
    <n v="10"/>
    <x v="1"/>
    <x v="3"/>
    <x v="3"/>
    <n v="2"/>
    <n v="5"/>
    <n v="10"/>
    <s v="No Reduction"/>
    <x v="1"/>
    <x v="1"/>
    <s v="Production Supervisor"/>
    <x v="138"/>
  </r>
  <r>
    <x v="152"/>
    <d v="2026-08-14T00:00:00"/>
    <x v="0"/>
    <s v="Plant Area A"/>
    <x v="9"/>
    <x v="9"/>
    <s v="Mechanical"/>
    <x v="7"/>
    <n v="5"/>
    <n v="2"/>
    <n v="10"/>
    <x v="1"/>
    <x v="4"/>
    <x v="4"/>
    <n v="3"/>
    <n v="1"/>
    <n v="3"/>
    <s v="Reduced"/>
    <x v="0"/>
    <x v="0"/>
    <s v="Maintenance Supervisor"/>
    <x v="139"/>
  </r>
  <r>
    <x v="153"/>
    <d v="2025-05-23T00:00:00"/>
    <x v="0"/>
    <s v="Plant Area B"/>
    <x v="13"/>
    <x v="13"/>
    <s v="Mechanical"/>
    <x v="7"/>
    <n v="2"/>
    <n v="4"/>
    <n v="8"/>
    <x v="0"/>
    <x v="0"/>
    <x v="4"/>
    <n v="1"/>
    <n v="4"/>
    <n v="4"/>
    <s v="Reduced"/>
    <x v="0"/>
    <x v="0"/>
    <s v="Maintenance Supervisor"/>
    <x v="140"/>
  </r>
  <r>
    <x v="154"/>
    <d v="2025-10-17T00:00:00"/>
    <x v="7"/>
    <s v="Utilities Area"/>
    <x v="15"/>
    <x v="15"/>
    <s v="Vehicle / Traffic"/>
    <x v="21"/>
    <n v="2"/>
    <n v="4"/>
    <n v="8"/>
    <x v="0"/>
    <x v="1"/>
    <x v="1"/>
    <n v="1"/>
    <n v="4"/>
    <n v="4"/>
    <s v="Reduced"/>
    <x v="0"/>
    <x v="2"/>
    <s v="Production Supervisor"/>
    <x v="141"/>
  </r>
  <r>
    <x v="155"/>
    <d v="2026-08-08T00:00:00"/>
    <x v="6"/>
    <s v="Workshop"/>
    <x v="7"/>
    <x v="7"/>
    <s v="Chemical"/>
    <x v="1"/>
    <n v="5"/>
    <n v="3"/>
    <n v="15"/>
    <x v="1"/>
    <x v="6"/>
    <x v="1"/>
    <n v="3"/>
    <n v="3"/>
    <n v="9"/>
    <s v="Reduced"/>
    <x v="2"/>
    <x v="0"/>
    <s v="HSE Engineer"/>
    <x v="142"/>
  </r>
  <r>
    <x v="156"/>
    <d v="2026-03-21T00:00:00"/>
    <x v="4"/>
    <s v="Warehouse"/>
    <x v="8"/>
    <x v="8"/>
    <s v="Mechanical"/>
    <x v="12"/>
    <n v="5"/>
    <n v="3"/>
    <n v="15"/>
    <x v="1"/>
    <x v="6"/>
    <x v="8"/>
    <n v="4"/>
    <n v="3"/>
    <n v="12"/>
    <s v="Reduced"/>
    <x v="1"/>
    <x v="2"/>
    <s v="HSE Engineer"/>
    <x v="143"/>
  </r>
  <r>
    <x v="157"/>
    <d v="2025-11-05T00:00:00"/>
    <x v="0"/>
    <s v="Laboratory"/>
    <x v="11"/>
    <x v="11"/>
    <s v="Excavation"/>
    <x v="13"/>
    <n v="5"/>
    <n v="4"/>
    <n v="20"/>
    <x v="2"/>
    <x v="6"/>
    <x v="9"/>
    <n v="4"/>
    <n v="3"/>
    <n v="12"/>
    <s v="Reduced"/>
    <x v="1"/>
    <x v="2"/>
    <s v="Production Supervisor"/>
    <x v="6"/>
  </r>
  <r>
    <x v="158"/>
    <d v="2026-05-28T00:00:00"/>
    <x v="5"/>
    <s v="Plant Area A"/>
    <x v="10"/>
    <x v="10"/>
    <s v="Electrical"/>
    <x v="9"/>
    <n v="5"/>
    <n v="5"/>
    <n v="25"/>
    <x v="2"/>
    <x v="3"/>
    <x v="2"/>
    <n v="3"/>
    <n v="5"/>
    <n v="15"/>
    <s v="Reduced"/>
    <x v="1"/>
    <x v="2"/>
    <s v="Maintenance Supervisor"/>
    <x v="144"/>
  </r>
  <r>
    <x v="159"/>
    <d v="2026-07-23T00:00:00"/>
    <x v="7"/>
    <s v="Laboratory"/>
    <x v="15"/>
    <x v="15"/>
    <s v="Vehicle / Traffic"/>
    <x v="13"/>
    <n v="4"/>
    <n v="3"/>
    <n v="12"/>
    <x v="1"/>
    <x v="4"/>
    <x v="6"/>
    <n v="3"/>
    <n v="3"/>
    <n v="9"/>
    <s v="Reduced"/>
    <x v="2"/>
    <x v="1"/>
    <s v="Maintenance Supervisor"/>
    <x v="17"/>
  </r>
  <r>
    <x v="160"/>
    <d v="2025-06-20T00:00:00"/>
    <x v="5"/>
    <s v="Plant Area A"/>
    <x v="10"/>
    <x v="10"/>
    <s v="Electrical"/>
    <x v="4"/>
    <n v="2"/>
    <n v="2"/>
    <n v="4"/>
    <x v="3"/>
    <x v="4"/>
    <x v="4"/>
    <n v="1"/>
    <n v="2"/>
    <n v="2"/>
    <s v="Reduced"/>
    <x v="0"/>
    <x v="0"/>
    <s v="Production Supervisor"/>
    <x v="145"/>
  </r>
  <r>
    <x v="161"/>
    <d v="2026-11-28T00:00:00"/>
    <x v="4"/>
    <s v="Plant Area A"/>
    <x v="4"/>
    <x v="4"/>
    <s v="Mechanical"/>
    <x v="4"/>
    <n v="2"/>
    <n v="3"/>
    <n v="6"/>
    <x v="0"/>
    <x v="1"/>
    <x v="3"/>
    <n v="1"/>
    <n v="2"/>
    <n v="2"/>
    <s v="Reduced"/>
    <x v="0"/>
    <x v="2"/>
    <s v="HSE Engineer"/>
    <x v="146"/>
  </r>
  <r>
    <x v="162"/>
    <d v="2026-07-03T00:00:00"/>
    <x v="4"/>
    <s v="Warehouse"/>
    <x v="4"/>
    <x v="4"/>
    <s v="Mechanical"/>
    <x v="12"/>
    <n v="5"/>
    <n v="2"/>
    <n v="10"/>
    <x v="1"/>
    <x v="0"/>
    <x v="0"/>
    <n v="3"/>
    <n v="2"/>
    <n v="6"/>
    <s v="Reduced"/>
    <x v="2"/>
    <x v="0"/>
    <s v="HSE Engineer"/>
    <x v="147"/>
  </r>
  <r>
    <x v="163"/>
    <d v="2026-10-03T00:00:00"/>
    <x v="0"/>
    <s v="Office"/>
    <x v="0"/>
    <x v="0"/>
    <s v="Thermal"/>
    <x v="20"/>
    <n v="4"/>
    <n v="5"/>
    <n v="20"/>
    <x v="2"/>
    <x v="3"/>
    <x v="6"/>
    <n v="3"/>
    <n v="4"/>
    <n v="12"/>
    <s v="Reduced"/>
    <x v="1"/>
    <x v="2"/>
    <s v="HSE Officer"/>
    <x v="84"/>
  </r>
  <r>
    <x v="164"/>
    <d v="2025-04-08T00:00:00"/>
    <x v="3"/>
    <s v="Workshop"/>
    <x v="3"/>
    <x v="3"/>
    <s v="Ergonomic"/>
    <x v="3"/>
    <n v="5"/>
    <n v="4"/>
    <n v="20"/>
    <x v="2"/>
    <x v="4"/>
    <x v="1"/>
    <n v="4"/>
    <n v="3"/>
    <n v="12"/>
    <s v="Reduced"/>
    <x v="1"/>
    <x v="1"/>
    <s v="Maintenance Supervisor"/>
    <x v="148"/>
  </r>
  <r>
    <x v="165"/>
    <d v="2026-06-16T00:00:00"/>
    <x v="1"/>
    <s v="Plant Area B"/>
    <x v="1"/>
    <x v="1"/>
    <s v="Fire / Chemical"/>
    <x v="9"/>
    <n v="5"/>
    <n v="5"/>
    <n v="25"/>
    <x v="2"/>
    <x v="1"/>
    <x v="9"/>
    <n v="4"/>
    <n v="4"/>
    <n v="16"/>
    <s v="Reduced"/>
    <x v="1"/>
    <x v="1"/>
    <s v="Production Supervisor"/>
    <x v="149"/>
  </r>
  <r>
    <x v="166"/>
    <d v="2025-10-05T00:00:00"/>
    <x v="7"/>
    <s v="Laboratory"/>
    <x v="16"/>
    <x v="16"/>
    <s v="Physical"/>
    <x v="19"/>
    <n v="4"/>
    <n v="3"/>
    <n v="12"/>
    <x v="1"/>
    <x v="5"/>
    <x v="1"/>
    <n v="3"/>
    <n v="3"/>
    <n v="9"/>
    <s v="Reduced"/>
    <x v="2"/>
    <x v="1"/>
    <s v="HSE Engineer"/>
    <x v="150"/>
  </r>
  <r>
    <x v="167"/>
    <d v="2025-11-21T00:00:00"/>
    <x v="2"/>
    <s v="Utilities Area"/>
    <x v="2"/>
    <x v="2"/>
    <s v="Chemical"/>
    <x v="6"/>
    <n v="4"/>
    <n v="4"/>
    <n v="16"/>
    <x v="1"/>
    <x v="1"/>
    <x v="0"/>
    <n v="3"/>
    <n v="4"/>
    <n v="12"/>
    <s v="Reduced"/>
    <x v="1"/>
    <x v="2"/>
    <s v="Department Supervisor"/>
    <x v="151"/>
  </r>
  <r>
    <x v="168"/>
    <d v="2026-06-24T00:00:00"/>
    <x v="4"/>
    <s v="Warehouse"/>
    <x v="4"/>
    <x v="4"/>
    <s v="Mechanical"/>
    <x v="10"/>
    <n v="5"/>
    <n v="4"/>
    <n v="20"/>
    <x v="2"/>
    <x v="5"/>
    <x v="5"/>
    <n v="4"/>
    <n v="3"/>
    <n v="12"/>
    <s v="Reduced"/>
    <x v="1"/>
    <x v="1"/>
    <s v="Production Supervisor"/>
    <x v="152"/>
  </r>
  <r>
    <x v="169"/>
    <d v="2026-11-08T00:00:00"/>
    <x v="4"/>
    <s v="Utilities Area"/>
    <x v="8"/>
    <x v="8"/>
    <s v="Mechanical"/>
    <x v="12"/>
    <n v="2"/>
    <n v="3"/>
    <n v="6"/>
    <x v="0"/>
    <x v="1"/>
    <x v="9"/>
    <n v="1"/>
    <n v="2"/>
    <n v="2"/>
    <s v="Reduced"/>
    <x v="0"/>
    <x v="1"/>
    <s v="Maintenance Supervisor"/>
    <x v="153"/>
  </r>
  <r>
    <x v="170"/>
    <d v="2026-06-14T00:00:00"/>
    <x v="5"/>
    <s v="Laboratory"/>
    <x v="5"/>
    <x v="5"/>
    <s v="Electrical"/>
    <x v="4"/>
    <n v="2"/>
    <n v="3"/>
    <n v="6"/>
    <x v="0"/>
    <x v="2"/>
    <x v="5"/>
    <n v="1"/>
    <n v="3"/>
    <n v="3"/>
    <s v="Reduced"/>
    <x v="0"/>
    <x v="2"/>
    <s v="HSE Engineer"/>
    <x v="154"/>
  </r>
  <r>
    <x v="171"/>
    <d v="2025-10-07T00:00:00"/>
    <x v="6"/>
    <s v="Plant Area B"/>
    <x v="14"/>
    <x v="14"/>
    <s v="Pressure"/>
    <x v="4"/>
    <n v="2"/>
    <n v="2"/>
    <n v="4"/>
    <x v="3"/>
    <x v="3"/>
    <x v="5"/>
    <n v="1"/>
    <n v="2"/>
    <n v="2"/>
    <s v="Reduced"/>
    <x v="0"/>
    <x v="0"/>
    <s v="Production Supervisor"/>
    <x v="131"/>
  </r>
  <r>
    <x v="172"/>
    <d v="2026-05-30T00:00:00"/>
    <x v="3"/>
    <s v="Plant Area A"/>
    <x v="3"/>
    <x v="3"/>
    <s v="Ergonomic"/>
    <x v="18"/>
    <n v="4"/>
    <n v="3"/>
    <n v="12"/>
    <x v="1"/>
    <x v="3"/>
    <x v="4"/>
    <n v="3"/>
    <n v="3"/>
    <n v="9"/>
    <s v="Reduced"/>
    <x v="2"/>
    <x v="2"/>
    <s v="HSE Engineer"/>
    <x v="10"/>
  </r>
  <r>
    <x v="173"/>
    <d v="2025-06-08T00:00:00"/>
    <x v="4"/>
    <s v="Utilities Area"/>
    <x v="8"/>
    <x v="8"/>
    <s v="Mechanical"/>
    <x v="7"/>
    <n v="3"/>
    <n v="2"/>
    <n v="6"/>
    <x v="0"/>
    <x v="2"/>
    <x v="0"/>
    <n v="3"/>
    <n v="2"/>
    <n v="6"/>
    <s v="Reduced"/>
    <x v="2"/>
    <x v="2"/>
    <s v="Maintenance Supervisor"/>
    <x v="155"/>
  </r>
  <r>
    <x v="174"/>
    <d v="2025-04-02T00:00:00"/>
    <x v="0"/>
    <s v="Plant Area B"/>
    <x v="0"/>
    <x v="0"/>
    <s v="Thermal"/>
    <x v="0"/>
    <n v="4"/>
    <n v="2"/>
    <n v="8"/>
    <x v="0"/>
    <x v="1"/>
    <x v="7"/>
    <n v="3"/>
    <n v="1"/>
    <n v="3"/>
    <s v="Reduced"/>
    <x v="0"/>
    <x v="2"/>
    <s v="Maintenance Supervisor"/>
    <x v="156"/>
  </r>
  <r>
    <x v="175"/>
    <d v="2025-09-05T00:00:00"/>
    <x v="7"/>
    <s v="Plant Area B"/>
    <x v="16"/>
    <x v="16"/>
    <s v="Physical"/>
    <x v="4"/>
    <n v="3"/>
    <n v="4"/>
    <n v="12"/>
    <x v="1"/>
    <x v="7"/>
    <x v="9"/>
    <n v="2"/>
    <n v="4"/>
    <n v="8"/>
    <s v="Reduced"/>
    <x v="2"/>
    <x v="0"/>
    <s v="HSE Engineer"/>
    <x v="157"/>
  </r>
  <r>
    <x v="176"/>
    <d v="2025-09-14T00:00:00"/>
    <x v="1"/>
    <s v="Workshop"/>
    <x v="1"/>
    <x v="1"/>
    <s v="Fire / Chemical"/>
    <x v="8"/>
    <n v="5"/>
    <n v="4"/>
    <n v="20"/>
    <x v="2"/>
    <x v="2"/>
    <x v="5"/>
    <n v="4"/>
    <n v="4"/>
    <n v="16"/>
    <s v="Reduced"/>
    <x v="1"/>
    <x v="1"/>
    <s v="HSE Engineer"/>
    <x v="158"/>
  </r>
  <r>
    <x v="177"/>
    <d v="2025-04-05T00:00:00"/>
    <x v="6"/>
    <s v="Warehouse"/>
    <x v="14"/>
    <x v="14"/>
    <s v="Pressure"/>
    <x v="14"/>
    <n v="5"/>
    <n v="5"/>
    <n v="25"/>
    <x v="2"/>
    <x v="4"/>
    <x v="9"/>
    <n v="4"/>
    <n v="4"/>
    <n v="16"/>
    <s v="Reduced"/>
    <x v="1"/>
    <x v="1"/>
    <s v="HSE Officer"/>
    <x v="159"/>
  </r>
  <r>
    <x v="178"/>
    <d v="2025-12-14T00:00:00"/>
    <x v="3"/>
    <s v="Workshop"/>
    <x v="3"/>
    <x v="3"/>
    <s v="Ergonomic"/>
    <x v="3"/>
    <n v="3"/>
    <n v="3"/>
    <n v="9"/>
    <x v="0"/>
    <x v="1"/>
    <x v="4"/>
    <n v="2"/>
    <n v="2"/>
    <n v="4"/>
    <s v="Reduced"/>
    <x v="0"/>
    <x v="1"/>
    <s v="Department Supervisor"/>
    <x v="160"/>
  </r>
  <r>
    <x v="179"/>
    <d v="2025-05-13T00:00:00"/>
    <x v="5"/>
    <s v="Plant Area A"/>
    <x v="10"/>
    <x v="10"/>
    <s v="Electrical"/>
    <x v="4"/>
    <n v="2"/>
    <n v="4"/>
    <n v="8"/>
    <x v="0"/>
    <x v="1"/>
    <x v="0"/>
    <n v="1"/>
    <n v="4"/>
    <n v="4"/>
    <s v="Reduced"/>
    <x v="0"/>
    <x v="1"/>
    <s v="Production Supervisor"/>
    <x v="161"/>
  </r>
  <r>
    <x v="180"/>
    <d v="2025-05-15T00:00:00"/>
    <x v="6"/>
    <s v="Workshop"/>
    <x v="18"/>
    <x v="18"/>
    <s v="Pressure / Thermal"/>
    <x v="4"/>
    <n v="2"/>
    <n v="4"/>
    <n v="8"/>
    <x v="0"/>
    <x v="6"/>
    <x v="5"/>
    <n v="1"/>
    <n v="3"/>
    <n v="3"/>
    <s v="Reduced"/>
    <x v="0"/>
    <x v="0"/>
    <s v="Maintenance Supervisor"/>
    <x v="162"/>
  </r>
  <r>
    <x v="181"/>
    <d v="2025-06-21T00:00:00"/>
    <x v="4"/>
    <s v="Utilities Area"/>
    <x v="8"/>
    <x v="8"/>
    <s v="Mechanical"/>
    <x v="4"/>
    <n v="3"/>
    <n v="5"/>
    <n v="15"/>
    <x v="1"/>
    <x v="1"/>
    <x v="1"/>
    <n v="1"/>
    <n v="5"/>
    <n v="5"/>
    <s v="Reduced"/>
    <x v="2"/>
    <x v="2"/>
    <s v="Production Supervisor"/>
    <x v="163"/>
  </r>
  <r>
    <x v="182"/>
    <d v="2026-11-19T00:00:00"/>
    <x v="5"/>
    <s v="Utilities Area"/>
    <x v="10"/>
    <x v="10"/>
    <s v="Electrical"/>
    <x v="9"/>
    <n v="2"/>
    <n v="2"/>
    <n v="4"/>
    <x v="3"/>
    <x v="5"/>
    <x v="3"/>
    <n v="1"/>
    <n v="1"/>
    <n v="1"/>
    <s v="Reduced"/>
    <x v="0"/>
    <x v="2"/>
    <s v="Maintenance Supervisor"/>
    <x v="164"/>
  </r>
  <r>
    <x v="183"/>
    <d v="2025-04-23T00:00:00"/>
    <x v="6"/>
    <s v="Utilities Area"/>
    <x v="18"/>
    <x v="18"/>
    <s v="Pressure / Thermal"/>
    <x v="22"/>
    <n v="5"/>
    <n v="4"/>
    <n v="20"/>
    <x v="2"/>
    <x v="4"/>
    <x v="5"/>
    <n v="4"/>
    <n v="4"/>
    <n v="16"/>
    <s v="Reduced"/>
    <x v="1"/>
    <x v="1"/>
    <s v="HSE Officer"/>
    <x v="165"/>
  </r>
  <r>
    <x v="184"/>
    <d v="2026-03-10T00:00:00"/>
    <x v="6"/>
    <s v="Plant Area B"/>
    <x v="7"/>
    <x v="7"/>
    <s v="Chemical"/>
    <x v="1"/>
    <n v="2"/>
    <n v="2"/>
    <n v="4"/>
    <x v="3"/>
    <x v="2"/>
    <x v="3"/>
    <n v="1"/>
    <n v="2"/>
    <n v="2"/>
    <s v="Reduced"/>
    <x v="0"/>
    <x v="0"/>
    <s v="HSE Engineer"/>
    <x v="21"/>
  </r>
  <r>
    <x v="185"/>
    <d v="2025-10-29T00:00:00"/>
    <x v="4"/>
    <s v="Office"/>
    <x v="17"/>
    <x v="17"/>
    <s v="Confined Space"/>
    <x v="17"/>
    <n v="2"/>
    <n v="4"/>
    <n v="8"/>
    <x v="0"/>
    <x v="5"/>
    <x v="5"/>
    <n v="1"/>
    <n v="4"/>
    <n v="4"/>
    <s v="Reduced"/>
    <x v="0"/>
    <x v="0"/>
    <s v="Department Supervisor"/>
    <x v="166"/>
  </r>
  <r>
    <x v="186"/>
    <d v="2026-06-22T00:00:00"/>
    <x v="0"/>
    <s v="Plant Area A"/>
    <x v="13"/>
    <x v="13"/>
    <s v="Mechanical"/>
    <x v="4"/>
    <n v="2"/>
    <n v="5"/>
    <n v="10"/>
    <x v="1"/>
    <x v="5"/>
    <x v="2"/>
    <n v="2"/>
    <n v="5"/>
    <n v="10"/>
    <s v="No Reduction"/>
    <x v="1"/>
    <x v="0"/>
    <s v="HSE Officer"/>
    <x v="167"/>
  </r>
  <r>
    <x v="187"/>
    <d v="2026-03-20T00:00:00"/>
    <x v="0"/>
    <s v="Laboratory"/>
    <x v="9"/>
    <x v="9"/>
    <s v="Mechanical"/>
    <x v="12"/>
    <n v="3"/>
    <n v="3"/>
    <n v="9"/>
    <x v="0"/>
    <x v="4"/>
    <x v="4"/>
    <n v="3"/>
    <n v="3"/>
    <n v="9"/>
    <s v="No Reduction"/>
    <x v="2"/>
    <x v="1"/>
    <s v="HSE Engineer"/>
    <x v="168"/>
  </r>
  <r>
    <x v="188"/>
    <d v="2025-03-30T00:00:00"/>
    <x v="1"/>
    <s v="Utilities Area"/>
    <x v="1"/>
    <x v="1"/>
    <s v="Fire / Chemical"/>
    <x v="1"/>
    <n v="3"/>
    <n v="3"/>
    <n v="9"/>
    <x v="0"/>
    <x v="3"/>
    <x v="1"/>
    <n v="2"/>
    <n v="3"/>
    <n v="6"/>
    <s v="Reduced"/>
    <x v="2"/>
    <x v="1"/>
    <s v="Maintenance Supervisor"/>
    <x v="169"/>
  </r>
  <r>
    <x v="189"/>
    <d v="2026-08-13T00:00:00"/>
    <x v="3"/>
    <s v="Laboratory"/>
    <x v="3"/>
    <x v="3"/>
    <s v="Ergonomic"/>
    <x v="18"/>
    <n v="5"/>
    <n v="2"/>
    <n v="10"/>
    <x v="1"/>
    <x v="4"/>
    <x v="1"/>
    <n v="4"/>
    <n v="1"/>
    <n v="4"/>
    <s v="Reduced"/>
    <x v="0"/>
    <x v="0"/>
    <s v="HSE Officer"/>
    <x v="170"/>
  </r>
  <r>
    <x v="190"/>
    <d v="2026-12-16T00:00:00"/>
    <x v="4"/>
    <s v="Workshop"/>
    <x v="8"/>
    <x v="8"/>
    <s v="Mechanical"/>
    <x v="10"/>
    <n v="4"/>
    <n v="4"/>
    <n v="16"/>
    <x v="1"/>
    <x v="3"/>
    <x v="8"/>
    <n v="4"/>
    <n v="4"/>
    <n v="16"/>
    <s v="No Reduction"/>
    <x v="1"/>
    <x v="0"/>
    <s v="HSE Engineer"/>
    <x v="171"/>
  </r>
  <r>
    <x v="191"/>
    <d v="2026-04-20T00:00:00"/>
    <x v="6"/>
    <s v="Utilities Area"/>
    <x v="7"/>
    <x v="7"/>
    <s v="Chemical"/>
    <x v="6"/>
    <n v="5"/>
    <n v="4"/>
    <n v="20"/>
    <x v="2"/>
    <x v="5"/>
    <x v="6"/>
    <n v="5"/>
    <n v="4"/>
    <n v="20"/>
    <s v="No Reduction"/>
    <x v="3"/>
    <x v="1"/>
    <s v="HSE Engineer"/>
    <x v="172"/>
  </r>
  <r>
    <x v="192"/>
    <d v="2025-04-16T00:00:00"/>
    <x v="0"/>
    <s v="Workshop"/>
    <x v="13"/>
    <x v="13"/>
    <s v="Mechanical"/>
    <x v="12"/>
    <n v="3"/>
    <n v="4"/>
    <n v="12"/>
    <x v="1"/>
    <x v="3"/>
    <x v="2"/>
    <n v="2"/>
    <n v="4"/>
    <n v="8"/>
    <s v="Reduced"/>
    <x v="2"/>
    <x v="1"/>
    <s v="Department Supervisor"/>
    <x v="173"/>
  </r>
  <r>
    <x v="193"/>
    <d v="2025-06-20T00:00:00"/>
    <x v="4"/>
    <s v="Office"/>
    <x v="4"/>
    <x v="4"/>
    <s v="Mechanical"/>
    <x v="7"/>
    <n v="4"/>
    <n v="2"/>
    <n v="8"/>
    <x v="0"/>
    <x v="1"/>
    <x v="7"/>
    <n v="3"/>
    <n v="2"/>
    <n v="6"/>
    <s v="Reduced"/>
    <x v="2"/>
    <x v="0"/>
    <s v="HSE Officer"/>
    <x v="174"/>
  </r>
  <r>
    <x v="194"/>
    <d v="2025-11-21T00:00:00"/>
    <x v="3"/>
    <s v="Utilities Area"/>
    <x v="3"/>
    <x v="3"/>
    <s v="Ergonomic"/>
    <x v="3"/>
    <n v="2"/>
    <n v="2"/>
    <n v="4"/>
    <x v="3"/>
    <x v="4"/>
    <x v="7"/>
    <n v="2"/>
    <n v="1"/>
    <n v="2"/>
    <s v="Reduced"/>
    <x v="0"/>
    <x v="2"/>
    <s v="HSE Officer"/>
    <x v="151"/>
  </r>
  <r>
    <x v="195"/>
    <d v="2025-05-20T00:00:00"/>
    <x v="0"/>
    <s v="Office"/>
    <x v="9"/>
    <x v="9"/>
    <s v="Mechanical"/>
    <x v="4"/>
    <n v="4"/>
    <n v="2"/>
    <n v="8"/>
    <x v="0"/>
    <x v="4"/>
    <x v="1"/>
    <n v="2"/>
    <n v="1"/>
    <n v="2"/>
    <s v="Reduced"/>
    <x v="0"/>
    <x v="1"/>
    <s v="HSE Engineer"/>
    <x v="175"/>
  </r>
  <r>
    <x v="196"/>
    <d v="2026-08-15T00:00:00"/>
    <x v="0"/>
    <s v="Workshop"/>
    <x v="0"/>
    <x v="0"/>
    <s v="Thermal"/>
    <x v="20"/>
    <n v="5"/>
    <n v="2"/>
    <n v="10"/>
    <x v="1"/>
    <x v="7"/>
    <x v="0"/>
    <n v="5"/>
    <n v="1"/>
    <n v="5"/>
    <s v="Reduced"/>
    <x v="2"/>
    <x v="1"/>
    <s v="Maintenance Supervisor"/>
    <x v="30"/>
  </r>
  <r>
    <x v="197"/>
    <d v="2026-01-22T00:00:00"/>
    <x v="4"/>
    <s v="Office"/>
    <x v="17"/>
    <x v="17"/>
    <s v="Confined Space"/>
    <x v="17"/>
    <n v="4"/>
    <n v="4"/>
    <n v="16"/>
    <x v="1"/>
    <x v="6"/>
    <x v="8"/>
    <n v="3"/>
    <n v="3"/>
    <n v="9"/>
    <s v="Reduced"/>
    <x v="2"/>
    <x v="1"/>
    <s v="Maintenance Supervisor"/>
    <x v="93"/>
  </r>
  <r>
    <x v="198"/>
    <d v="2026-04-12T00:00:00"/>
    <x v="6"/>
    <s v="Warehouse"/>
    <x v="14"/>
    <x v="14"/>
    <s v="Pressure"/>
    <x v="14"/>
    <n v="2"/>
    <n v="2"/>
    <n v="4"/>
    <x v="3"/>
    <x v="5"/>
    <x v="3"/>
    <n v="1"/>
    <n v="1"/>
    <n v="1"/>
    <s v="Reduced"/>
    <x v="0"/>
    <x v="1"/>
    <s v="HSE Officer"/>
    <x v="176"/>
  </r>
  <r>
    <x v="199"/>
    <d v="2025-05-04T00:00:00"/>
    <x v="6"/>
    <s v="Plant Area B"/>
    <x v="18"/>
    <x v="18"/>
    <s v="Pressure / Thermal"/>
    <x v="22"/>
    <n v="2"/>
    <n v="2"/>
    <n v="4"/>
    <x v="3"/>
    <x v="1"/>
    <x v="3"/>
    <n v="1"/>
    <n v="2"/>
    <n v="2"/>
    <s v="Reduced"/>
    <x v="0"/>
    <x v="0"/>
    <s v="Maintenance Supervisor"/>
    <x v="77"/>
  </r>
  <r>
    <x v="200"/>
    <d v="2025-11-22T00:00:00"/>
    <x v="1"/>
    <s v="Office"/>
    <x v="1"/>
    <x v="1"/>
    <s v="Fire / Chemical"/>
    <x v="9"/>
    <n v="5"/>
    <n v="2"/>
    <n v="10"/>
    <x v="1"/>
    <x v="7"/>
    <x v="2"/>
    <n v="4"/>
    <n v="2"/>
    <n v="8"/>
    <s v="Reduced"/>
    <x v="2"/>
    <x v="0"/>
    <s v="Production Supervisor"/>
    <x v="177"/>
  </r>
  <r>
    <x v="201"/>
    <d v="2025-04-04T00:00:00"/>
    <x v="7"/>
    <s v="Warehouse"/>
    <x v="16"/>
    <x v="16"/>
    <s v="Physical"/>
    <x v="19"/>
    <n v="4"/>
    <n v="3"/>
    <n v="12"/>
    <x v="1"/>
    <x v="5"/>
    <x v="5"/>
    <n v="2"/>
    <n v="2"/>
    <n v="4"/>
    <s v="Reduced"/>
    <x v="0"/>
    <x v="2"/>
    <s v="Department Supervisor"/>
    <x v="178"/>
  </r>
  <r>
    <x v="202"/>
    <d v="2026-11-25T00:00:00"/>
    <x v="0"/>
    <s v="Utilities Area"/>
    <x v="13"/>
    <x v="13"/>
    <s v="Mechanical"/>
    <x v="10"/>
    <n v="5"/>
    <n v="2"/>
    <n v="10"/>
    <x v="1"/>
    <x v="4"/>
    <x v="5"/>
    <n v="4"/>
    <n v="2"/>
    <n v="8"/>
    <s v="Reduced"/>
    <x v="2"/>
    <x v="0"/>
    <s v="Production Supervisor"/>
    <x v="179"/>
  </r>
  <r>
    <x v="203"/>
    <d v="2026-04-02T00:00:00"/>
    <x v="4"/>
    <s v="Office"/>
    <x v="17"/>
    <x v="17"/>
    <s v="Confined Space"/>
    <x v="15"/>
    <n v="5"/>
    <n v="3"/>
    <n v="15"/>
    <x v="1"/>
    <x v="0"/>
    <x v="3"/>
    <n v="4"/>
    <n v="3"/>
    <n v="12"/>
    <s v="Reduced"/>
    <x v="1"/>
    <x v="1"/>
    <s v="HSE Engineer"/>
    <x v="180"/>
  </r>
  <r>
    <x v="204"/>
    <d v="2025-08-25T00:00:00"/>
    <x v="2"/>
    <s v="Utilities Area"/>
    <x v="2"/>
    <x v="2"/>
    <s v="Chemical"/>
    <x v="6"/>
    <n v="3"/>
    <n v="2"/>
    <n v="6"/>
    <x v="0"/>
    <x v="6"/>
    <x v="3"/>
    <n v="2"/>
    <n v="2"/>
    <n v="4"/>
    <s v="Reduced"/>
    <x v="0"/>
    <x v="1"/>
    <s v="Department Supervisor"/>
    <x v="181"/>
  </r>
  <r>
    <x v="205"/>
    <d v="2025-09-20T00:00:00"/>
    <x v="0"/>
    <s v="Office"/>
    <x v="6"/>
    <x v="6"/>
    <s v="Work at Height"/>
    <x v="11"/>
    <n v="4"/>
    <n v="4"/>
    <n v="16"/>
    <x v="1"/>
    <x v="3"/>
    <x v="0"/>
    <n v="3"/>
    <n v="3"/>
    <n v="9"/>
    <s v="Reduced"/>
    <x v="2"/>
    <x v="0"/>
    <s v="Department Supervisor"/>
    <x v="182"/>
  </r>
  <r>
    <x v="206"/>
    <d v="2025-05-26T00:00:00"/>
    <x v="2"/>
    <s v="Plant Area A"/>
    <x v="2"/>
    <x v="2"/>
    <s v="Chemical"/>
    <x v="6"/>
    <n v="4"/>
    <n v="4"/>
    <n v="16"/>
    <x v="1"/>
    <x v="3"/>
    <x v="8"/>
    <n v="3"/>
    <n v="3"/>
    <n v="9"/>
    <s v="Reduced"/>
    <x v="2"/>
    <x v="0"/>
    <s v="Department Supervisor"/>
    <x v="183"/>
  </r>
  <r>
    <x v="207"/>
    <d v="2025-03-04T00:00:00"/>
    <x v="6"/>
    <s v="Laboratory"/>
    <x v="14"/>
    <x v="14"/>
    <s v="Pressure"/>
    <x v="13"/>
    <n v="4"/>
    <n v="2"/>
    <n v="8"/>
    <x v="0"/>
    <x v="4"/>
    <x v="7"/>
    <n v="3"/>
    <n v="2"/>
    <n v="6"/>
    <s v="Reduced"/>
    <x v="2"/>
    <x v="1"/>
    <s v="Maintenance Supervisor"/>
    <x v="184"/>
  </r>
  <r>
    <x v="208"/>
    <d v="2025-04-16T00:00:00"/>
    <x v="6"/>
    <s v="Plant Area A"/>
    <x v="14"/>
    <x v="14"/>
    <s v="Pressure"/>
    <x v="14"/>
    <n v="5"/>
    <n v="2"/>
    <n v="10"/>
    <x v="1"/>
    <x v="5"/>
    <x v="2"/>
    <n v="4"/>
    <n v="2"/>
    <n v="8"/>
    <s v="Reduced"/>
    <x v="2"/>
    <x v="1"/>
    <s v="HSE Engineer"/>
    <x v="185"/>
  </r>
  <r>
    <x v="209"/>
    <d v="2025-08-02T00:00:00"/>
    <x v="7"/>
    <s v="Warehouse"/>
    <x v="15"/>
    <x v="15"/>
    <s v="Vehicle / Traffic"/>
    <x v="13"/>
    <n v="4"/>
    <n v="2"/>
    <n v="8"/>
    <x v="0"/>
    <x v="2"/>
    <x v="9"/>
    <n v="2"/>
    <n v="2"/>
    <n v="4"/>
    <s v="Reduced"/>
    <x v="0"/>
    <x v="2"/>
    <s v="HSE Officer"/>
    <x v="186"/>
  </r>
  <r>
    <x v="210"/>
    <d v="2025-10-23T00:00:00"/>
    <x v="0"/>
    <s v="Warehouse"/>
    <x v="6"/>
    <x v="6"/>
    <s v="Work at Height"/>
    <x v="11"/>
    <n v="2"/>
    <n v="2"/>
    <n v="4"/>
    <x v="3"/>
    <x v="3"/>
    <x v="3"/>
    <n v="1"/>
    <n v="2"/>
    <n v="2"/>
    <s v="Reduced"/>
    <x v="0"/>
    <x v="1"/>
    <s v="Department Supervisor"/>
    <x v="74"/>
  </r>
  <r>
    <x v="211"/>
    <d v="2025-08-02T00:00:00"/>
    <x v="0"/>
    <s v="Laboratory"/>
    <x v="0"/>
    <x v="0"/>
    <s v="Thermal"/>
    <x v="20"/>
    <n v="2"/>
    <n v="2"/>
    <n v="4"/>
    <x v="3"/>
    <x v="3"/>
    <x v="2"/>
    <n v="1"/>
    <n v="2"/>
    <n v="2"/>
    <s v="Reduced"/>
    <x v="0"/>
    <x v="2"/>
    <s v="Maintenance Supervisor"/>
    <x v="187"/>
  </r>
  <r>
    <x v="212"/>
    <d v="2025-06-08T00:00:00"/>
    <x v="0"/>
    <s v="Workshop"/>
    <x v="9"/>
    <x v="9"/>
    <s v="Mechanical"/>
    <x v="12"/>
    <n v="2"/>
    <n v="3"/>
    <n v="6"/>
    <x v="0"/>
    <x v="3"/>
    <x v="4"/>
    <n v="1"/>
    <n v="3"/>
    <n v="3"/>
    <s v="Reduced"/>
    <x v="0"/>
    <x v="0"/>
    <s v="Department Supervisor"/>
    <x v="155"/>
  </r>
  <r>
    <x v="213"/>
    <d v="2026-06-10T00:00:00"/>
    <x v="0"/>
    <s v="Laboratory"/>
    <x v="6"/>
    <x v="6"/>
    <s v="Work at Height"/>
    <x v="4"/>
    <n v="2"/>
    <n v="2"/>
    <n v="4"/>
    <x v="3"/>
    <x v="7"/>
    <x v="4"/>
    <n v="1"/>
    <n v="1"/>
    <n v="1"/>
    <s v="Reduced"/>
    <x v="0"/>
    <x v="2"/>
    <s v="Production Supervisor"/>
    <x v="188"/>
  </r>
  <r>
    <x v="214"/>
    <d v="2026-01-05T00:00:00"/>
    <x v="0"/>
    <s v="Plant Area A"/>
    <x v="9"/>
    <x v="9"/>
    <s v="Mechanical"/>
    <x v="10"/>
    <n v="4"/>
    <n v="5"/>
    <n v="20"/>
    <x v="2"/>
    <x v="1"/>
    <x v="0"/>
    <n v="3"/>
    <n v="5"/>
    <n v="15"/>
    <s v="Reduced"/>
    <x v="1"/>
    <x v="2"/>
    <s v="HSE Officer"/>
    <x v="189"/>
  </r>
  <r>
    <x v="215"/>
    <d v="2026-10-26T00:00:00"/>
    <x v="0"/>
    <s v="Plant Area A"/>
    <x v="6"/>
    <x v="6"/>
    <s v="Work at Height"/>
    <x v="13"/>
    <n v="4"/>
    <n v="4"/>
    <n v="16"/>
    <x v="1"/>
    <x v="5"/>
    <x v="4"/>
    <n v="3"/>
    <n v="3"/>
    <n v="9"/>
    <s v="Reduced"/>
    <x v="2"/>
    <x v="2"/>
    <s v="Department Supervisor"/>
    <x v="190"/>
  </r>
  <r>
    <x v="216"/>
    <d v="2026-05-20T00:00:00"/>
    <x v="6"/>
    <s v="Warehouse"/>
    <x v="7"/>
    <x v="7"/>
    <s v="Chemical"/>
    <x v="1"/>
    <n v="3"/>
    <n v="5"/>
    <n v="15"/>
    <x v="1"/>
    <x v="7"/>
    <x v="5"/>
    <n v="1"/>
    <n v="5"/>
    <n v="5"/>
    <s v="Reduced"/>
    <x v="2"/>
    <x v="2"/>
    <s v="Maintenance Supervisor"/>
    <x v="191"/>
  </r>
  <r>
    <x v="217"/>
    <d v="2025-11-30T00:00:00"/>
    <x v="6"/>
    <s v="Office"/>
    <x v="7"/>
    <x v="7"/>
    <s v="Chemical"/>
    <x v="2"/>
    <n v="3"/>
    <n v="5"/>
    <n v="15"/>
    <x v="1"/>
    <x v="5"/>
    <x v="9"/>
    <n v="2"/>
    <n v="4"/>
    <n v="8"/>
    <s v="Reduced"/>
    <x v="2"/>
    <x v="2"/>
    <s v="HSE Engineer"/>
    <x v="192"/>
  </r>
  <r>
    <x v="218"/>
    <d v="2025-02-16T00:00:00"/>
    <x v="0"/>
    <s v="Plant Area B"/>
    <x v="9"/>
    <x v="9"/>
    <s v="Mechanical"/>
    <x v="12"/>
    <n v="4"/>
    <n v="2"/>
    <n v="8"/>
    <x v="0"/>
    <x v="1"/>
    <x v="9"/>
    <n v="3"/>
    <n v="2"/>
    <n v="6"/>
    <s v="Reduced"/>
    <x v="2"/>
    <x v="2"/>
    <s v="Maintenance Supervisor"/>
    <x v="193"/>
  </r>
  <r>
    <x v="219"/>
    <d v="2026-04-14T00:00:00"/>
    <x v="0"/>
    <s v="Workshop"/>
    <x v="9"/>
    <x v="9"/>
    <s v="Mechanical"/>
    <x v="12"/>
    <n v="5"/>
    <n v="2"/>
    <n v="10"/>
    <x v="1"/>
    <x v="7"/>
    <x v="4"/>
    <n v="4"/>
    <n v="2"/>
    <n v="8"/>
    <s v="Reduced"/>
    <x v="2"/>
    <x v="2"/>
    <s v="HSE Engineer"/>
    <x v="48"/>
  </r>
  <r>
    <x v="220"/>
    <d v="2026-05-08T00:00:00"/>
    <x v="1"/>
    <s v="Utilities Area"/>
    <x v="12"/>
    <x v="12"/>
    <s v="Mechanical"/>
    <x v="7"/>
    <n v="4"/>
    <n v="5"/>
    <n v="20"/>
    <x v="2"/>
    <x v="6"/>
    <x v="2"/>
    <n v="3"/>
    <n v="4"/>
    <n v="12"/>
    <s v="Reduced"/>
    <x v="1"/>
    <x v="0"/>
    <s v="Department Supervisor"/>
    <x v="40"/>
  </r>
  <r>
    <x v="221"/>
    <d v="2026-08-12T00:00:00"/>
    <x v="0"/>
    <s v="Workshop"/>
    <x v="13"/>
    <x v="13"/>
    <s v="Mechanical"/>
    <x v="12"/>
    <n v="2"/>
    <n v="4"/>
    <n v="8"/>
    <x v="0"/>
    <x v="4"/>
    <x v="3"/>
    <n v="1"/>
    <n v="3"/>
    <n v="3"/>
    <s v="Reduced"/>
    <x v="0"/>
    <x v="1"/>
    <s v="Maintenance Supervisor"/>
    <x v="194"/>
  </r>
  <r>
    <x v="222"/>
    <d v="2026-10-02T00:00:00"/>
    <x v="4"/>
    <s v="Office"/>
    <x v="17"/>
    <x v="17"/>
    <s v="Confined Space"/>
    <x v="4"/>
    <n v="5"/>
    <n v="5"/>
    <n v="25"/>
    <x v="2"/>
    <x v="0"/>
    <x v="2"/>
    <n v="3"/>
    <n v="5"/>
    <n v="15"/>
    <s v="Reduced"/>
    <x v="1"/>
    <x v="0"/>
    <s v="Maintenance Supervisor"/>
    <x v="44"/>
  </r>
  <r>
    <x v="223"/>
    <d v="2025-07-06T00:00:00"/>
    <x v="4"/>
    <s v="Warehouse"/>
    <x v="17"/>
    <x v="17"/>
    <s v="Confined Space"/>
    <x v="4"/>
    <n v="4"/>
    <n v="3"/>
    <n v="12"/>
    <x v="1"/>
    <x v="7"/>
    <x v="6"/>
    <n v="3"/>
    <n v="2"/>
    <n v="6"/>
    <s v="Reduced"/>
    <x v="2"/>
    <x v="1"/>
    <s v="HSE Engineer"/>
    <x v="195"/>
  </r>
  <r>
    <x v="224"/>
    <d v="2025-11-04T00:00:00"/>
    <x v="6"/>
    <s v="Plant Area B"/>
    <x v="18"/>
    <x v="18"/>
    <s v="Pressure / Thermal"/>
    <x v="4"/>
    <n v="2"/>
    <n v="4"/>
    <n v="8"/>
    <x v="0"/>
    <x v="7"/>
    <x v="2"/>
    <n v="1"/>
    <n v="4"/>
    <n v="4"/>
    <s v="Reduced"/>
    <x v="0"/>
    <x v="2"/>
    <s v="HSE Engineer"/>
    <x v="40"/>
  </r>
  <r>
    <x v="225"/>
    <d v="2026-03-11T00:00:00"/>
    <x v="7"/>
    <s v="Plant Area B"/>
    <x v="16"/>
    <x v="16"/>
    <s v="Physical"/>
    <x v="4"/>
    <n v="5"/>
    <n v="5"/>
    <n v="25"/>
    <x v="2"/>
    <x v="5"/>
    <x v="1"/>
    <n v="4"/>
    <n v="5"/>
    <n v="20"/>
    <s v="Reduced"/>
    <x v="3"/>
    <x v="2"/>
    <s v="HSE Officer"/>
    <x v="196"/>
  </r>
  <r>
    <x v="226"/>
    <d v="2025-01-03T00:00:00"/>
    <x v="2"/>
    <s v="Plant Area A"/>
    <x v="2"/>
    <x v="2"/>
    <s v="Chemical"/>
    <x v="1"/>
    <n v="4"/>
    <n v="4"/>
    <n v="16"/>
    <x v="1"/>
    <x v="2"/>
    <x v="5"/>
    <n v="4"/>
    <n v="3"/>
    <n v="12"/>
    <s v="Reduced"/>
    <x v="1"/>
    <x v="1"/>
    <s v="Production Supervisor"/>
    <x v="197"/>
  </r>
  <r>
    <x v="227"/>
    <d v="2025-10-08T00:00:00"/>
    <x v="4"/>
    <s v="Plant Area B"/>
    <x v="8"/>
    <x v="8"/>
    <s v="Mechanical"/>
    <x v="4"/>
    <n v="4"/>
    <n v="3"/>
    <n v="12"/>
    <x v="1"/>
    <x v="4"/>
    <x v="9"/>
    <n v="3"/>
    <n v="2"/>
    <n v="6"/>
    <s v="Reduced"/>
    <x v="2"/>
    <x v="2"/>
    <s v="Production Supervisor"/>
    <x v="198"/>
  </r>
  <r>
    <x v="228"/>
    <d v="2026-09-19T00:00:00"/>
    <x v="1"/>
    <s v="Plant Area A"/>
    <x v="1"/>
    <x v="1"/>
    <s v="Fire / Chemical"/>
    <x v="1"/>
    <n v="5"/>
    <n v="4"/>
    <n v="20"/>
    <x v="2"/>
    <x v="7"/>
    <x v="6"/>
    <n v="5"/>
    <n v="3"/>
    <n v="15"/>
    <s v="Reduced"/>
    <x v="1"/>
    <x v="1"/>
    <s v="HSE Officer"/>
    <x v="199"/>
  </r>
  <r>
    <x v="229"/>
    <d v="2025-08-04T00:00:00"/>
    <x v="4"/>
    <s v="Plant Area A"/>
    <x v="4"/>
    <x v="4"/>
    <s v="Mechanical"/>
    <x v="4"/>
    <n v="4"/>
    <n v="3"/>
    <n v="12"/>
    <x v="1"/>
    <x v="6"/>
    <x v="1"/>
    <n v="4"/>
    <n v="3"/>
    <n v="12"/>
    <s v="Reduced"/>
    <x v="1"/>
    <x v="1"/>
    <s v="Production Supervisor"/>
    <x v="200"/>
  </r>
  <r>
    <x v="230"/>
    <d v="2025-10-13T00:00:00"/>
    <x v="0"/>
    <s v="Utilities Area"/>
    <x v="13"/>
    <x v="13"/>
    <s v="Mechanical"/>
    <x v="12"/>
    <n v="3"/>
    <n v="5"/>
    <n v="15"/>
    <x v="1"/>
    <x v="6"/>
    <x v="1"/>
    <n v="3"/>
    <n v="4"/>
    <n v="12"/>
    <s v="Reduced"/>
    <x v="1"/>
    <x v="1"/>
    <s v="Maintenance Supervisor"/>
    <x v="201"/>
  </r>
  <r>
    <x v="231"/>
    <d v="2026-05-18T00:00:00"/>
    <x v="7"/>
    <s v="Office"/>
    <x v="15"/>
    <x v="15"/>
    <s v="Vehicle / Traffic"/>
    <x v="4"/>
    <n v="3"/>
    <n v="2"/>
    <n v="6"/>
    <x v="0"/>
    <x v="7"/>
    <x v="6"/>
    <n v="2"/>
    <n v="2"/>
    <n v="4"/>
    <s v="Reduced"/>
    <x v="0"/>
    <x v="1"/>
    <s v="Maintenance Supervisor"/>
    <x v="164"/>
  </r>
  <r>
    <x v="232"/>
    <d v="2025-10-25T00:00:00"/>
    <x v="6"/>
    <s v="Office"/>
    <x v="7"/>
    <x v="7"/>
    <s v="Chemical"/>
    <x v="1"/>
    <n v="2"/>
    <n v="5"/>
    <n v="10"/>
    <x v="1"/>
    <x v="6"/>
    <x v="2"/>
    <n v="1"/>
    <n v="4"/>
    <n v="4"/>
    <s v="Reduced"/>
    <x v="0"/>
    <x v="1"/>
    <s v="Production Supervisor"/>
    <x v="165"/>
  </r>
  <r>
    <x v="233"/>
    <d v="2025-01-20T00:00:00"/>
    <x v="0"/>
    <s v="Laboratory"/>
    <x v="13"/>
    <x v="13"/>
    <s v="Mechanical"/>
    <x v="12"/>
    <n v="2"/>
    <n v="3"/>
    <n v="6"/>
    <x v="0"/>
    <x v="4"/>
    <x v="9"/>
    <n v="1"/>
    <n v="2"/>
    <n v="2"/>
    <s v="Reduced"/>
    <x v="0"/>
    <x v="2"/>
    <s v="Production Supervisor"/>
    <x v="202"/>
  </r>
  <r>
    <x v="234"/>
    <d v="2025-07-24T00:00:00"/>
    <x v="7"/>
    <s v="Plant Area B"/>
    <x v="16"/>
    <x v="16"/>
    <s v="Physical"/>
    <x v="4"/>
    <n v="3"/>
    <n v="2"/>
    <n v="6"/>
    <x v="0"/>
    <x v="2"/>
    <x v="5"/>
    <n v="2"/>
    <n v="2"/>
    <n v="4"/>
    <s v="Reduced"/>
    <x v="0"/>
    <x v="0"/>
    <s v="Production Supervisor"/>
    <x v="203"/>
  </r>
  <r>
    <x v="235"/>
    <d v="2026-03-12T00:00:00"/>
    <x v="1"/>
    <s v="Plant Area A"/>
    <x v="12"/>
    <x v="12"/>
    <s v="Mechanical"/>
    <x v="7"/>
    <n v="4"/>
    <n v="5"/>
    <n v="20"/>
    <x v="2"/>
    <x v="6"/>
    <x v="4"/>
    <n v="3"/>
    <n v="5"/>
    <n v="15"/>
    <s v="Reduced"/>
    <x v="1"/>
    <x v="1"/>
    <s v="Production Supervisor"/>
    <x v="204"/>
  </r>
  <r>
    <x v="236"/>
    <d v="2025-04-30T00:00:00"/>
    <x v="3"/>
    <s v="Plant Area A"/>
    <x v="3"/>
    <x v="3"/>
    <s v="Ergonomic"/>
    <x v="3"/>
    <n v="4"/>
    <n v="5"/>
    <n v="20"/>
    <x v="2"/>
    <x v="5"/>
    <x v="7"/>
    <n v="3"/>
    <n v="4"/>
    <n v="12"/>
    <s v="Reduced"/>
    <x v="1"/>
    <x v="2"/>
    <s v="HSE Officer"/>
    <x v="88"/>
  </r>
  <r>
    <x v="237"/>
    <d v="2026-01-30T00:00:00"/>
    <x v="4"/>
    <s v="Plant Area A"/>
    <x v="8"/>
    <x v="8"/>
    <s v="Mechanical"/>
    <x v="10"/>
    <n v="2"/>
    <n v="5"/>
    <n v="10"/>
    <x v="1"/>
    <x v="6"/>
    <x v="7"/>
    <n v="2"/>
    <n v="5"/>
    <n v="10"/>
    <s v="No Reduction"/>
    <x v="1"/>
    <x v="0"/>
    <s v="Maintenance Supervisor"/>
    <x v="205"/>
  </r>
  <r>
    <x v="238"/>
    <d v="2025-03-31T00:00:00"/>
    <x v="1"/>
    <s v="Plant Area B"/>
    <x v="1"/>
    <x v="1"/>
    <s v="Fire / Chemical"/>
    <x v="1"/>
    <n v="5"/>
    <n v="3"/>
    <n v="15"/>
    <x v="1"/>
    <x v="7"/>
    <x v="8"/>
    <n v="4"/>
    <n v="3"/>
    <n v="12"/>
    <s v="Reduced"/>
    <x v="1"/>
    <x v="2"/>
    <s v="Department Supervisor"/>
    <x v="95"/>
  </r>
  <r>
    <x v="239"/>
    <d v="2025-09-05T00:00:00"/>
    <x v="4"/>
    <s v="Plant Area B"/>
    <x v="8"/>
    <x v="8"/>
    <s v="Mechanical"/>
    <x v="10"/>
    <n v="5"/>
    <n v="2"/>
    <n v="10"/>
    <x v="1"/>
    <x v="6"/>
    <x v="4"/>
    <n v="4"/>
    <n v="1"/>
    <n v="4"/>
    <s v="Reduced"/>
    <x v="0"/>
    <x v="0"/>
    <s v="Department Supervisor"/>
    <x v="206"/>
  </r>
  <r>
    <x v="240"/>
    <d v="2026-04-08T00:00:00"/>
    <x v="0"/>
    <s v="Utilities Area"/>
    <x v="13"/>
    <x v="13"/>
    <s v="Mechanical"/>
    <x v="4"/>
    <n v="3"/>
    <n v="2"/>
    <n v="6"/>
    <x v="0"/>
    <x v="4"/>
    <x v="4"/>
    <n v="2"/>
    <n v="2"/>
    <n v="4"/>
    <s v="Reduced"/>
    <x v="0"/>
    <x v="2"/>
    <s v="Production Supervisor"/>
    <x v="148"/>
  </r>
  <r>
    <x v="241"/>
    <d v="2026-03-20T00:00:00"/>
    <x v="4"/>
    <s v="Laboratory"/>
    <x v="8"/>
    <x v="8"/>
    <s v="Mechanical"/>
    <x v="4"/>
    <n v="4"/>
    <n v="3"/>
    <n v="12"/>
    <x v="1"/>
    <x v="5"/>
    <x v="1"/>
    <n v="3"/>
    <n v="2"/>
    <n v="6"/>
    <s v="Reduced"/>
    <x v="2"/>
    <x v="0"/>
    <s v="Department Supervisor"/>
    <x v="207"/>
  </r>
  <r>
    <x v="242"/>
    <d v="2025-07-26T00:00:00"/>
    <x v="5"/>
    <s v="Utilities Area"/>
    <x v="5"/>
    <x v="5"/>
    <s v="Electrical"/>
    <x v="9"/>
    <n v="3"/>
    <n v="2"/>
    <n v="6"/>
    <x v="0"/>
    <x v="3"/>
    <x v="8"/>
    <n v="1"/>
    <n v="2"/>
    <n v="2"/>
    <s v="Reduced"/>
    <x v="0"/>
    <x v="2"/>
    <s v="HSE Officer"/>
    <x v="208"/>
  </r>
  <r>
    <x v="243"/>
    <d v="2025-05-04T00:00:00"/>
    <x v="1"/>
    <s v="Warehouse"/>
    <x v="1"/>
    <x v="1"/>
    <s v="Fire / Chemical"/>
    <x v="8"/>
    <n v="3"/>
    <n v="4"/>
    <n v="12"/>
    <x v="1"/>
    <x v="2"/>
    <x v="3"/>
    <n v="3"/>
    <n v="4"/>
    <n v="12"/>
    <s v="Reduced"/>
    <x v="1"/>
    <x v="0"/>
    <s v="HSE Engineer"/>
    <x v="77"/>
  </r>
  <r>
    <x v="244"/>
    <d v="2025-06-29T00:00:00"/>
    <x v="1"/>
    <s v="Utilities Area"/>
    <x v="12"/>
    <x v="12"/>
    <s v="Mechanical"/>
    <x v="10"/>
    <n v="2"/>
    <n v="2"/>
    <n v="4"/>
    <x v="3"/>
    <x v="0"/>
    <x v="8"/>
    <n v="1"/>
    <n v="2"/>
    <n v="2"/>
    <s v="Reduced"/>
    <x v="0"/>
    <x v="1"/>
    <s v="HSE Engineer"/>
    <x v="209"/>
  </r>
  <r>
    <x v="245"/>
    <d v="2025-01-29T00:00:00"/>
    <x v="0"/>
    <s v="Workshop"/>
    <x v="6"/>
    <x v="6"/>
    <s v="Work at Height"/>
    <x v="11"/>
    <n v="3"/>
    <n v="3"/>
    <n v="9"/>
    <x v="0"/>
    <x v="5"/>
    <x v="2"/>
    <n v="1"/>
    <n v="3"/>
    <n v="3"/>
    <s v="Reduced"/>
    <x v="0"/>
    <x v="0"/>
    <s v="Department Supervisor"/>
    <x v="210"/>
  </r>
  <r>
    <x v="246"/>
    <d v="2025-01-17T00:00:00"/>
    <x v="1"/>
    <s v="Plant Area B"/>
    <x v="12"/>
    <x v="12"/>
    <s v="Mechanical"/>
    <x v="12"/>
    <n v="5"/>
    <n v="5"/>
    <n v="25"/>
    <x v="2"/>
    <x v="6"/>
    <x v="2"/>
    <n v="5"/>
    <n v="5"/>
    <n v="25"/>
    <s v="Reduced"/>
    <x v="3"/>
    <x v="2"/>
    <s v="HSE Engineer"/>
    <x v="211"/>
  </r>
  <r>
    <x v="247"/>
    <d v="2025-07-12T00:00:00"/>
    <x v="0"/>
    <s v="Plant Area A"/>
    <x v="11"/>
    <x v="11"/>
    <s v="Excavation"/>
    <x v="16"/>
    <n v="2"/>
    <n v="5"/>
    <n v="10"/>
    <x v="1"/>
    <x v="5"/>
    <x v="8"/>
    <n v="2"/>
    <n v="4"/>
    <n v="8"/>
    <s v="Reduced"/>
    <x v="2"/>
    <x v="1"/>
    <s v="Production Supervisor"/>
    <x v="212"/>
  </r>
  <r>
    <x v="248"/>
    <d v="2025-06-08T00:00:00"/>
    <x v="0"/>
    <s v="Workshop"/>
    <x v="11"/>
    <x v="11"/>
    <s v="Excavation"/>
    <x v="13"/>
    <n v="2"/>
    <n v="3"/>
    <n v="6"/>
    <x v="0"/>
    <x v="1"/>
    <x v="3"/>
    <n v="1"/>
    <n v="3"/>
    <n v="3"/>
    <s v="Reduced"/>
    <x v="0"/>
    <x v="1"/>
    <s v="Maintenance Supervisor"/>
    <x v="155"/>
  </r>
  <r>
    <x v="249"/>
    <d v="2025-10-10T00:00:00"/>
    <x v="6"/>
    <s v="Workshop"/>
    <x v="18"/>
    <x v="18"/>
    <s v="Pressure / Thermal"/>
    <x v="4"/>
    <n v="5"/>
    <n v="5"/>
    <n v="25"/>
    <x v="2"/>
    <x v="0"/>
    <x v="8"/>
    <n v="4"/>
    <n v="5"/>
    <n v="20"/>
    <s v="Reduced"/>
    <x v="3"/>
    <x v="1"/>
    <s v="HSE Officer"/>
    <x v="213"/>
  </r>
  <r>
    <x v="250"/>
    <d v="2026-01-08T00:00:00"/>
    <x v="5"/>
    <s v="Laboratory"/>
    <x v="10"/>
    <x v="10"/>
    <s v="Electrical"/>
    <x v="9"/>
    <n v="4"/>
    <n v="3"/>
    <n v="12"/>
    <x v="1"/>
    <x v="7"/>
    <x v="4"/>
    <n v="3"/>
    <n v="3"/>
    <n v="9"/>
    <s v="Reduced"/>
    <x v="2"/>
    <x v="1"/>
    <s v="HSE Engineer"/>
    <x v="214"/>
  </r>
  <r>
    <x v="251"/>
    <d v="2025-07-27T00:00:00"/>
    <x v="6"/>
    <s v="Laboratory"/>
    <x v="14"/>
    <x v="14"/>
    <s v="Pressure"/>
    <x v="13"/>
    <n v="5"/>
    <n v="3"/>
    <n v="15"/>
    <x v="1"/>
    <x v="6"/>
    <x v="3"/>
    <n v="4"/>
    <n v="2"/>
    <n v="8"/>
    <s v="Reduced"/>
    <x v="2"/>
    <x v="2"/>
    <s v="Maintenance Supervisor"/>
    <x v="215"/>
  </r>
  <r>
    <x v="252"/>
    <d v="2025-09-12T00:00:00"/>
    <x v="6"/>
    <s v="Plant Area A"/>
    <x v="18"/>
    <x v="18"/>
    <s v="Pressure / Thermal"/>
    <x v="22"/>
    <n v="2"/>
    <n v="5"/>
    <n v="10"/>
    <x v="1"/>
    <x v="4"/>
    <x v="5"/>
    <n v="2"/>
    <n v="4"/>
    <n v="8"/>
    <s v="Reduced"/>
    <x v="2"/>
    <x v="1"/>
    <s v="HSE Engineer"/>
    <x v="216"/>
  </r>
  <r>
    <x v="253"/>
    <d v="2026-09-20T00:00:00"/>
    <x v="0"/>
    <s v="Office"/>
    <x v="13"/>
    <x v="13"/>
    <s v="Mechanical"/>
    <x v="4"/>
    <n v="4"/>
    <n v="4"/>
    <n v="16"/>
    <x v="1"/>
    <x v="4"/>
    <x v="3"/>
    <n v="4"/>
    <n v="3"/>
    <n v="12"/>
    <s v="Reduced"/>
    <x v="1"/>
    <x v="0"/>
    <s v="Department Supervisor"/>
    <x v="217"/>
  </r>
  <r>
    <x v="254"/>
    <d v="2025-07-25T00:00:00"/>
    <x v="0"/>
    <s v="Office"/>
    <x v="11"/>
    <x v="11"/>
    <s v="Excavation"/>
    <x v="16"/>
    <n v="3"/>
    <n v="4"/>
    <n v="12"/>
    <x v="1"/>
    <x v="2"/>
    <x v="2"/>
    <n v="2"/>
    <n v="3"/>
    <n v="6"/>
    <s v="Reduced"/>
    <x v="2"/>
    <x v="1"/>
    <s v="Department Supervisor"/>
    <x v="218"/>
  </r>
  <r>
    <x v="255"/>
    <d v="2025-02-17T00:00:00"/>
    <x v="4"/>
    <s v="Warehouse"/>
    <x v="17"/>
    <x v="17"/>
    <s v="Confined Space"/>
    <x v="17"/>
    <n v="4"/>
    <n v="3"/>
    <n v="12"/>
    <x v="1"/>
    <x v="0"/>
    <x v="9"/>
    <n v="3"/>
    <n v="3"/>
    <n v="9"/>
    <s v="Reduced"/>
    <x v="2"/>
    <x v="2"/>
    <s v="HSE Officer"/>
    <x v="219"/>
  </r>
  <r>
    <x v="256"/>
    <d v="2025-08-26T00:00:00"/>
    <x v="0"/>
    <s v="Plant Area B"/>
    <x v="0"/>
    <x v="0"/>
    <s v="Thermal"/>
    <x v="9"/>
    <n v="2"/>
    <n v="3"/>
    <n v="6"/>
    <x v="0"/>
    <x v="7"/>
    <x v="1"/>
    <n v="1"/>
    <n v="2"/>
    <n v="2"/>
    <s v="Reduced"/>
    <x v="0"/>
    <x v="0"/>
    <s v="HSE Engineer"/>
    <x v="220"/>
  </r>
  <r>
    <x v="257"/>
    <d v="2026-07-26T00:00:00"/>
    <x v="5"/>
    <s v="Plant Area A"/>
    <x v="10"/>
    <x v="10"/>
    <s v="Electrical"/>
    <x v="5"/>
    <n v="2"/>
    <n v="3"/>
    <n v="6"/>
    <x v="0"/>
    <x v="5"/>
    <x v="0"/>
    <n v="1"/>
    <n v="2"/>
    <n v="2"/>
    <s v="Reduced"/>
    <x v="0"/>
    <x v="1"/>
    <s v="Department Supervisor"/>
    <x v="221"/>
  </r>
  <r>
    <x v="258"/>
    <d v="2025-01-09T00:00:00"/>
    <x v="0"/>
    <s v="Workshop"/>
    <x v="9"/>
    <x v="9"/>
    <s v="Mechanical"/>
    <x v="4"/>
    <n v="4"/>
    <n v="2"/>
    <n v="8"/>
    <x v="0"/>
    <x v="4"/>
    <x v="2"/>
    <n v="3"/>
    <n v="1"/>
    <n v="3"/>
    <s v="Reduced"/>
    <x v="0"/>
    <x v="1"/>
    <s v="Maintenance Supervisor"/>
    <x v="222"/>
  </r>
  <r>
    <x v="259"/>
    <d v="2025-01-24T00:00:00"/>
    <x v="7"/>
    <s v="Utilities Area"/>
    <x v="16"/>
    <x v="16"/>
    <s v="Physical"/>
    <x v="19"/>
    <n v="5"/>
    <n v="3"/>
    <n v="15"/>
    <x v="1"/>
    <x v="5"/>
    <x v="5"/>
    <n v="4"/>
    <n v="3"/>
    <n v="12"/>
    <s v="Reduced"/>
    <x v="1"/>
    <x v="0"/>
    <s v="Maintenance Supervisor"/>
    <x v="223"/>
  </r>
  <r>
    <x v="260"/>
    <d v="2025-10-14T00:00:00"/>
    <x v="1"/>
    <s v="Plant Area A"/>
    <x v="1"/>
    <x v="1"/>
    <s v="Fire / Chemical"/>
    <x v="8"/>
    <n v="5"/>
    <n v="4"/>
    <n v="20"/>
    <x v="2"/>
    <x v="6"/>
    <x v="1"/>
    <n v="4"/>
    <n v="4"/>
    <n v="16"/>
    <s v="Reduced"/>
    <x v="1"/>
    <x v="2"/>
    <s v="Department Supervisor"/>
    <x v="224"/>
  </r>
  <r>
    <x v="261"/>
    <d v="2025-10-16T00:00:00"/>
    <x v="4"/>
    <s v="Office"/>
    <x v="4"/>
    <x v="4"/>
    <s v="Mechanical"/>
    <x v="4"/>
    <n v="2"/>
    <n v="3"/>
    <n v="6"/>
    <x v="0"/>
    <x v="2"/>
    <x v="1"/>
    <n v="1"/>
    <n v="2"/>
    <n v="2"/>
    <s v="Reduced"/>
    <x v="0"/>
    <x v="2"/>
    <s v="HSE Officer"/>
    <x v="225"/>
  </r>
  <r>
    <x v="262"/>
    <d v="2026-03-22T00:00:00"/>
    <x v="6"/>
    <s v="Workshop"/>
    <x v="14"/>
    <x v="14"/>
    <s v="Pressure"/>
    <x v="14"/>
    <n v="4"/>
    <n v="3"/>
    <n v="12"/>
    <x v="1"/>
    <x v="2"/>
    <x v="7"/>
    <n v="4"/>
    <n v="2"/>
    <n v="8"/>
    <s v="Reduced"/>
    <x v="2"/>
    <x v="1"/>
    <s v="Production Supervisor"/>
    <x v="117"/>
  </r>
  <r>
    <x v="263"/>
    <d v="2025-01-24T00:00:00"/>
    <x v="5"/>
    <s v="Plant Area A"/>
    <x v="5"/>
    <x v="5"/>
    <s v="Electrical"/>
    <x v="9"/>
    <n v="5"/>
    <n v="4"/>
    <n v="20"/>
    <x v="2"/>
    <x v="2"/>
    <x v="2"/>
    <n v="4"/>
    <n v="3"/>
    <n v="12"/>
    <s v="Reduced"/>
    <x v="1"/>
    <x v="2"/>
    <s v="Production Supervisor"/>
    <x v="226"/>
  </r>
  <r>
    <x v="264"/>
    <d v="2025-12-08T00:00:00"/>
    <x v="7"/>
    <s v="Warehouse"/>
    <x v="16"/>
    <x v="16"/>
    <s v="Physical"/>
    <x v="4"/>
    <n v="4"/>
    <n v="5"/>
    <n v="20"/>
    <x v="2"/>
    <x v="3"/>
    <x v="9"/>
    <n v="2"/>
    <n v="4"/>
    <n v="8"/>
    <s v="Reduced"/>
    <x v="2"/>
    <x v="2"/>
    <s v="Department Supervisor"/>
    <x v="227"/>
  </r>
  <r>
    <x v="265"/>
    <d v="2025-04-06T00:00:00"/>
    <x v="0"/>
    <s v="Office"/>
    <x v="0"/>
    <x v="0"/>
    <s v="Thermal"/>
    <x v="20"/>
    <n v="2"/>
    <n v="4"/>
    <n v="8"/>
    <x v="0"/>
    <x v="6"/>
    <x v="7"/>
    <n v="2"/>
    <n v="3"/>
    <n v="6"/>
    <s v="Reduced"/>
    <x v="2"/>
    <x v="0"/>
    <s v="HSE Engineer"/>
    <x v="228"/>
  </r>
  <r>
    <x v="266"/>
    <d v="2026-08-08T00:00:00"/>
    <x v="0"/>
    <s v="Plant Area B"/>
    <x v="0"/>
    <x v="0"/>
    <s v="Thermal"/>
    <x v="0"/>
    <n v="4"/>
    <n v="4"/>
    <n v="16"/>
    <x v="1"/>
    <x v="0"/>
    <x v="2"/>
    <n v="4"/>
    <n v="3"/>
    <n v="12"/>
    <s v="Reduced"/>
    <x v="1"/>
    <x v="2"/>
    <s v="Department Supervisor"/>
    <x v="229"/>
  </r>
  <r>
    <x v="267"/>
    <d v="2026-08-21T00:00:00"/>
    <x v="5"/>
    <s v="Plant Area A"/>
    <x v="5"/>
    <x v="5"/>
    <s v="Electrical"/>
    <x v="9"/>
    <n v="5"/>
    <n v="4"/>
    <n v="20"/>
    <x v="2"/>
    <x v="2"/>
    <x v="5"/>
    <n v="4"/>
    <n v="4"/>
    <n v="16"/>
    <s v="Reduced"/>
    <x v="1"/>
    <x v="2"/>
    <s v="HSE Engineer"/>
    <x v="230"/>
  </r>
  <r>
    <x v="268"/>
    <d v="2026-08-04T00:00:00"/>
    <x v="5"/>
    <s v="Plant Area B"/>
    <x v="5"/>
    <x v="5"/>
    <s v="Electrical"/>
    <x v="9"/>
    <n v="4"/>
    <n v="5"/>
    <n v="20"/>
    <x v="2"/>
    <x v="5"/>
    <x v="9"/>
    <n v="3"/>
    <n v="5"/>
    <n v="15"/>
    <s v="Reduced"/>
    <x v="1"/>
    <x v="2"/>
    <s v="Production Supervisor"/>
    <x v="231"/>
  </r>
  <r>
    <x v="269"/>
    <d v="2026-01-10T00:00:00"/>
    <x v="4"/>
    <s v="Laboratory"/>
    <x v="17"/>
    <x v="17"/>
    <s v="Confined Space"/>
    <x v="17"/>
    <n v="2"/>
    <n v="4"/>
    <n v="8"/>
    <x v="0"/>
    <x v="7"/>
    <x v="6"/>
    <n v="1"/>
    <n v="4"/>
    <n v="4"/>
    <s v="Reduced"/>
    <x v="0"/>
    <x v="0"/>
    <s v="HSE Officer"/>
    <x v="25"/>
  </r>
  <r>
    <x v="270"/>
    <d v="2026-02-08T00:00:00"/>
    <x v="6"/>
    <s v="Laboratory"/>
    <x v="14"/>
    <x v="14"/>
    <s v="Pressure"/>
    <x v="14"/>
    <n v="5"/>
    <n v="2"/>
    <n v="10"/>
    <x v="1"/>
    <x v="6"/>
    <x v="2"/>
    <n v="3"/>
    <n v="2"/>
    <n v="6"/>
    <s v="Reduced"/>
    <x v="2"/>
    <x v="2"/>
    <s v="HSE Officer"/>
    <x v="232"/>
  </r>
  <r>
    <x v="271"/>
    <d v="2026-05-15T00:00:00"/>
    <x v="4"/>
    <s v="Workshop"/>
    <x v="8"/>
    <x v="8"/>
    <s v="Mechanical"/>
    <x v="4"/>
    <n v="2"/>
    <n v="2"/>
    <n v="4"/>
    <x v="3"/>
    <x v="1"/>
    <x v="4"/>
    <n v="1"/>
    <n v="1"/>
    <n v="1"/>
    <s v="Reduced"/>
    <x v="0"/>
    <x v="2"/>
    <s v="Maintenance Supervisor"/>
    <x v="162"/>
  </r>
  <r>
    <x v="272"/>
    <d v="2026-04-06T00:00:00"/>
    <x v="2"/>
    <s v="Laboratory"/>
    <x v="2"/>
    <x v="2"/>
    <s v="Chemical"/>
    <x v="2"/>
    <n v="4"/>
    <n v="5"/>
    <n v="20"/>
    <x v="2"/>
    <x v="3"/>
    <x v="1"/>
    <n v="3"/>
    <n v="4"/>
    <n v="12"/>
    <s v="Reduced"/>
    <x v="1"/>
    <x v="1"/>
    <s v="Department Supervisor"/>
    <x v="23"/>
  </r>
  <r>
    <x v="273"/>
    <d v="2026-06-17T00:00:00"/>
    <x v="1"/>
    <s v="Plant Area A"/>
    <x v="12"/>
    <x v="12"/>
    <s v="Mechanical"/>
    <x v="4"/>
    <n v="3"/>
    <n v="2"/>
    <n v="6"/>
    <x v="0"/>
    <x v="5"/>
    <x v="9"/>
    <n v="2"/>
    <n v="1"/>
    <n v="2"/>
    <s v="Reduced"/>
    <x v="0"/>
    <x v="1"/>
    <s v="HSE Officer"/>
    <x v="233"/>
  </r>
  <r>
    <x v="274"/>
    <d v="2026-10-12T00:00:00"/>
    <x v="3"/>
    <s v="Workshop"/>
    <x v="3"/>
    <x v="3"/>
    <s v="Ergonomic"/>
    <x v="3"/>
    <n v="3"/>
    <n v="2"/>
    <n v="6"/>
    <x v="0"/>
    <x v="7"/>
    <x v="4"/>
    <n v="1"/>
    <n v="2"/>
    <n v="2"/>
    <s v="Reduced"/>
    <x v="0"/>
    <x v="0"/>
    <s v="HSE Engineer"/>
    <x v="234"/>
  </r>
  <r>
    <x v="275"/>
    <d v="2026-02-06T00:00:00"/>
    <x v="4"/>
    <s v="Plant Area B"/>
    <x v="4"/>
    <x v="4"/>
    <s v="Mechanical"/>
    <x v="10"/>
    <n v="3"/>
    <n v="4"/>
    <n v="12"/>
    <x v="1"/>
    <x v="1"/>
    <x v="9"/>
    <n v="3"/>
    <n v="4"/>
    <n v="12"/>
    <s v="No Reduction"/>
    <x v="1"/>
    <x v="0"/>
    <s v="Production Supervisor"/>
    <x v="235"/>
  </r>
  <r>
    <x v="276"/>
    <d v="2026-03-28T00:00:00"/>
    <x v="5"/>
    <s v="Plant Area B"/>
    <x v="5"/>
    <x v="5"/>
    <s v="Electrical"/>
    <x v="4"/>
    <n v="3"/>
    <n v="4"/>
    <n v="12"/>
    <x v="1"/>
    <x v="5"/>
    <x v="8"/>
    <n v="3"/>
    <n v="3"/>
    <n v="9"/>
    <s v="Reduced"/>
    <x v="2"/>
    <x v="1"/>
    <s v="HSE Officer"/>
    <x v="236"/>
  </r>
  <r>
    <x v="277"/>
    <d v="2026-04-08T00:00:00"/>
    <x v="6"/>
    <s v="Utilities Area"/>
    <x v="7"/>
    <x v="7"/>
    <s v="Chemical"/>
    <x v="6"/>
    <n v="5"/>
    <n v="3"/>
    <n v="15"/>
    <x v="1"/>
    <x v="4"/>
    <x v="1"/>
    <n v="5"/>
    <n v="2"/>
    <n v="10"/>
    <s v="Reduced"/>
    <x v="1"/>
    <x v="0"/>
    <s v="Maintenance Supervisor"/>
    <x v="148"/>
  </r>
  <r>
    <x v="278"/>
    <d v="2026-10-29T00:00:00"/>
    <x v="0"/>
    <s v="Laboratory"/>
    <x v="13"/>
    <x v="13"/>
    <s v="Mechanical"/>
    <x v="12"/>
    <n v="4"/>
    <n v="4"/>
    <n v="16"/>
    <x v="1"/>
    <x v="4"/>
    <x v="2"/>
    <n v="3"/>
    <n v="4"/>
    <n v="12"/>
    <s v="Reduced"/>
    <x v="1"/>
    <x v="0"/>
    <s v="HSE Engineer"/>
    <x v="237"/>
  </r>
  <r>
    <x v="279"/>
    <d v="2025-11-30T00:00:00"/>
    <x v="2"/>
    <s v="Workshop"/>
    <x v="2"/>
    <x v="2"/>
    <s v="Chemical"/>
    <x v="1"/>
    <n v="2"/>
    <n v="4"/>
    <n v="8"/>
    <x v="0"/>
    <x v="5"/>
    <x v="9"/>
    <n v="1"/>
    <n v="3"/>
    <n v="3"/>
    <s v="Reduced"/>
    <x v="0"/>
    <x v="2"/>
    <s v="Maintenance Supervisor"/>
    <x v="192"/>
  </r>
  <r>
    <x v="280"/>
    <d v="2025-02-02T00:00:00"/>
    <x v="5"/>
    <s v="Workshop"/>
    <x v="5"/>
    <x v="5"/>
    <s v="Electrical"/>
    <x v="5"/>
    <n v="3"/>
    <n v="3"/>
    <n v="9"/>
    <x v="0"/>
    <x v="2"/>
    <x v="8"/>
    <n v="2"/>
    <n v="2"/>
    <n v="4"/>
    <s v="Reduced"/>
    <x v="0"/>
    <x v="0"/>
    <s v="HSE Engineer"/>
    <x v="238"/>
  </r>
  <r>
    <x v="281"/>
    <d v="2026-04-17T00:00:00"/>
    <x v="5"/>
    <s v="Warehouse"/>
    <x v="5"/>
    <x v="5"/>
    <s v="Electrical"/>
    <x v="5"/>
    <n v="3"/>
    <n v="5"/>
    <n v="15"/>
    <x v="1"/>
    <x v="7"/>
    <x v="8"/>
    <n v="3"/>
    <n v="5"/>
    <n v="15"/>
    <s v="No Reduction"/>
    <x v="1"/>
    <x v="2"/>
    <s v="Production Supervisor"/>
    <x v="239"/>
  </r>
  <r>
    <x v="282"/>
    <d v="2026-06-02T00:00:00"/>
    <x v="0"/>
    <s v="Plant Area A"/>
    <x v="0"/>
    <x v="0"/>
    <s v="Thermal"/>
    <x v="0"/>
    <n v="5"/>
    <n v="5"/>
    <n v="25"/>
    <x v="2"/>
    <x v="5"/>
    <x v="9"/>
    <n v="4"/>
    <n v="5"/>
    <n v="20"/>
    <s v="Reduced"/>
    <x v="3"/>
    <x v="1"/>
    <s v="HSE Engineer"/>
    <x v="111"/>
  </r>
  <r>
    <x v="283"/>
    <d v="2026-06-10T00:00:00"/>
    <x v="1"/>
    <s v="Workshop"/>
    <x v="1"/>
    <x v="1"/>
    <s v="Fire / Chemical"/>
    <x v="9"/>
    <n v="2"/>
    <n v="2"/>
    <n v="4"/>
    <x v="3"/>
    <x v="1"/>
    <x v="2"/>
    <n v="2"/>
    <n v="2"/>
    <n v="4"/>
    <s v="No Reduction"/>
    <x v="0"/>
    <x v="1"/>
    <s v="HSE Engineer"/>
    <x v="240"/>
  </r>
  <r>
    <x v="284"/>
    <d v="2025-05-01T00:00:00"/>
    <x v="1"/>
    <s v="Laboratory"/>
    <x v="1"/>
    <x v="1"/>
    <s v="Fire / Chemical"/>
    <x v="8"/>
    <n v="2"/>
    <n v="2"/>
    <n v="4"/>
    <x v="3"/>
    <x v="2"/>
    <x v="5"/>
    <n v="1"/>
    <n v="2"/>
    <n v="2"/>
    <s v="Reduced"/>
    <x v="0"/>
    <x v="1"/>
    <s v="Department Supervisor"/>
    <x v="112"/>
  </r>
  <r>
    <x v="285"/>
    <d v="2025-07-26T00:00:00"/>
    <x v="2"/>
    <s v="Office"/>
    <x v="2"/>
    <x v="2"/>
    <s v="Chemical"/>
    <x v="2"/>
    <n v="4"/>
    <n v="2"/>
    <n v="8"/>
    <x v="0"/>
    <x v="3"/>
    <x v="8"/>
    <n v="2"/>
    <n v="2"/>
    <n v="4"/>
    <s v="Reduced"/>
    <x v="0"/>
    <x v="0"/>
    <s v="HSE Officer"/>
    <x v="208"/>
  </r>
  <r>
    <x v="286"/>
    <d v="2026-07-27T00:00:00"/>
    <x v="0"/>
    <s v="Office"/>
    <x v="6"/>
    <x v="6"/>
    <s v="Work at Height"/>
    <x v="13"/>
    <n v="3"/>
    <n v="4"/>
    <n v="12"/>
    <x v="1"/>
    <x v="3"/>
    <x v="0"/>
    <n v="3"/>
    <n v="3"/>
    <n v="9"/>
    <s v="Reduced"/>
    <x v="2"/>
    <x v="0"/>
    <s v="Department Supervisor"/>
    <x v="241"/>
  </r>
  <r>
    <x v="287"/>
    <d v="2026-08-16T00:00:00"/>
    <x v="2"/>
    <s v="Workshop"/>
    <x v="2"/>
    <x v="2"/>
    <s v="Chemical"/>
    <x v="2"/>
    <n v="3"/>
    <n v="3"/>
    <n v="9"/>
    <x v="0"/>
    <x v="1"/>
    <x v="7"/>
    <n v="2"/>
    <n v="3"/>
    <n v="6"/>
    <s v="Reduced"/>
    <x v="2"/>
    <x v="2"/>
    <s v="Department Supervisor"/>
    <x v="242"/>
  </r>
  <r>
    <x v="288"/>
    <d v="2026-03-01T00:00:00"/>
    <x v="4"/>
    <s v="Office"/>
    <x v="17"/>
    <x v="17"/>
    <s v="Confined Space"/>
    <x v="15"/>
    <n v="3"/>
    <n v="5"/>
    <n v="15"/>
    <x v="1"/>
    <x v="2"/>
    <x v="6"/>
    <n v="2"/>
    <n v="4"/>
    <n v="8"/>
    <s v="Reduced"/>
    <x v="2"/>
    <x v="1"/>
    <s v="HSE Officer"/>
    <x v="243"/>
  </r>
  <r>
    <x v="289"/>
    <d v="2025-07-06T00:00:00"/>
    <x v="6"/>
    <s v="Utilities Area"/>
    <x v="7"/>
    <x v="7"/>
    <s v="Chemical"/>
    <x v="6"/>
    <n v="4"/>
    <n v="4"/>
    <n v="16"/>
    <x v="1"/>
    <x v="3"/>
    <x v="3"/>
    <n v="3"/>
    <n v="3"/>
    <n v="9"/>
    <s v="Reduced"/>
    <x v="2"/>
    <x v="2"/>
    <s v="HSE Officer"/>
    <x v="244"/>
  </r>
  <r>
    <x v="290"/>
    <d v="2026-03-25T00:00:00"/>
    <x v="0"/>
    <s v="Plant Area A"/>
    <x v="13"/>
    <x v="13"/>
    <s v="Mechanical"/>
    <x v="7"/>
    <n v="4"/>
    <n v="2"/>
    <n v="8"/>
    <x v="0"/>
    <x v="6"/>
    <x v="2"/>
    <n v="4"/>
    <n v="2"/>
    <n v="8"/>
    <s v="Reduced"/>
    <x v="2"/>
    <x v="2"/>
    <s v="Maintenance Supervisor"/>
    <x v="245"/>
  </r>
  <r>
    <x v="291"/>
    <d v="2026-02-01T00:00:00"/>
    <x v="2"/>
    <s v="Laboratory"/>
    <x v="2"/>
    <x v="2"/>
    <s v="Chemical"/>
    <x v="2"/>
    <n v="3"/>
    <n v="2"/>
    <n v="6"/>
    <x v="0"/>
    <x v="6"/>
    <x v="9"/>
    <n v="3"/>
    <n v="2"/>
    <n v="6"/>
    <s v="No Reduction"/>
    <x v="2"/>
    <x v="0"/>
    <s v="HSE Engineer"/>
    <x v="246"/>
  </r>
  <r>
    <x v="292"/>
    <d v="2026-02-04T00:00:00"/>
    <x v="0"/>
    <s v="Plant Area B"/>
    <x v="9"/>
    <x v="9"/>
    <s v="Mechanical"/>
    <x v="12"/>
    <n v="2"/>
    <n v="3"/>
    <n v="6"/>
    <x v="0"/>
    <x v="4"/>
    <x v="3"/>
    <n v="1"/>
    <n v="3"/>
    <n v="3"/>
    <s v="Reduced"/>
    <x v="0"/>
    <x v="1"/>
    <s v="HSE Engineer"/>
    <x v="247"/>
  </r>
  <r>
    <x v="293"/>
    <d v="2025-06-18T00:00:00"/>
    <x v="1"/>
    <s v="Warehouse"/>
    <x v="1"/>
    <x v="1"/>
    <s v="Fire / Chemical"/>
    <x v="9"/>
    <n v="4"/>
    <n v="5"/>
    <n v="20"/>
    <x v="2"/>
    <x v="4"/>
    <x v="9"/>
    <n v="2"/>
    <n v="4"/>
    <n v="8"/>
    <s v="Reduced"/>
    <x v="2"/>
    <x v="2"/>
    <s v="Department Supervisor"/>
    <x v="18"/>
  </r>
  <r>
    <x v="294"/>
    <d v="2026-07-02T00:00:00"/>
    <x v="4"/>
    <s v="Laboratory"/>
    <x v="8"/>
    <x v="8"/>
    <s v="Mechanical"/>
    <x v="4"/>
    <n v="3"/>
    <n v="5"/>
    <n v="15"/>
    <x v="1"/>
    <x v="4"/>
    <x v="1"/>
    <n v="1"/>
    <n v="4"/>
    <n v="4"/>
    <s v="Reduced"/>
    <x v="0"/>
    <x v="1"/>
    <s v="Department Supervisor"/>
    <x v="46"/>
  </r>
  <r>
    <x v="295"/>
    <d v="2025-12-17T00:00:00"/>
    <x v="6"/>
    <s v="Laboratory"/>
    <x v="7"/>
    <x v="7"/>
    <s v="Chemical"/>
    <x v="2"/>
    <n v="2"/>
    <n v="5"/>
    <n v="10"/>
    <x v="1"/>
    <x v="1"/>
    <x v="1"/>
    <n v="1"/>
    <n v="5"/>
    <n v="5"/>
    <s v="Reduced"/>
    <x v="2"/>
    <x v="2"/>
    <s v="Production Supervisor"/>
    <x v="248"/>
  </r>
  <r>
    <x v="296"/>
    <d v="2026-10-27T00:00:00"/>
    <x v="4"/>
    <s v="Plant Area B"/>
    <x v="4"/>
    <x v="4"/>
    <s v="Mechanical"/>
    <x v="4"/>
    <n v="4"/>
    <n v="3"/>
    <n v="12"/>
    <x v="1"/>
    <x v="2"/>
    <x v="5"/>
    <n v="4"/>
    <n v="3"/>
    <n v="12"/>
    <s v="No Reduction"/>
    <x v="1"/>
    <x v="2"/>
    <s v="HSE Officer"/>
    <x v="249"/>
  </r>
  <r>
    <x v="297"/>
    <d v="2025-02-03T00:00:00"/>
    <x v="1"/>
    <s v="Workshop"/>
    <x v="1"/>
    <x v="1"/>
    <s v="Fire / Chemical"/>
    <x v="9"/>
    <n v="5"/>
    <n v="4"/>
    <n v="20"/>
    <x v="2"/>
    <x v="3"/>
    <x v="0"/>
    <n v="3"/>
    <n v="4"/>
    <n v="12"/>
    <s v="Reduced"/>
    <x v="1"/>
    <x v="1"/>
    <s v="Maintenance Supervisor"/>
    <x v="250"/>
  </r>
  <r>
    <x v="298"/>
    <d v="2026-09-29T00:00:00"/>
    <x v="1"/>
    <s v="Plant Area B"/>
    <x v="12"/>
    <x v="12"/>
    <s v="Mechanical"/>
    <x v="10"/>
    <n v="3"/>
    <n v="2"/>
    <n v="6"/>
    <x v="0"/>
    <x v="6"/>
    <x v="1"/>
    <n v="3"/>
    <n v="2"/>
    <n v="6"/>
    <s v="No Reduction"/>
    <x v="2"/>
    <x v="0"/>
    <s v="HSE Engineer"/>
    <x v="251"/>
  </r>
  <r>
    <x v="299"/>
    <d v="2025-04-05T00:00:00"/>
    <x v="6"/>
    <s v="Office"/>
    <x v="7"/>
    <x v="7"/>
    <s v="Chemical"/>
    <x v="6"/>
    <n v="4"/>
    <n v="3"/>
    <n v="12"/>
    <x v="1"/>
    <x v="4"/>
    <x v="2"/>
    <n v="3"/>
    <n v="2"/>
    <n v="6"/>
    <s v="Reduced"/>
    <x v="2"/>
    <x v="0"/>
    <s v="HSE Officer"/>
    <x v="131"/>
  </r>
  <r>
    <x v="300"/>
    <d v="2025-08-22T00:00:00"/>
    <x v="6"/>
    <s v="Laboratory"/>
    <x v="14"/>
    <x v="14"/>
    <s v="Pressure"/>
    <x v="14"/>
    <n v="4"/>
    <n v="3"/>
    <n v="12"/>
    <x v="1"/>
    <x v="1"/>
    <x v="2"/>
    <n v="3"/>
    <n v="3"/>
    <n v="9"/>
    <s v="Reduced"/>
    <x v="2"/>
    <x v="0"/>
    <s v="HSE Engineer"/>
    <x v="252"/>
  </r>
  <r>
    <x v="301"/>
    <d v="2025-02-06T00:00:00"/>
    <x v="4"/>
    <s v="Warehouse"/>
    <x v="8"/>
    <x v="8"/>
    <s v="Mechanical"/>
    <x v="4"/>
    <n v="3"/>
    <n v="2"/>
    <n v="6"/>
    <x v="0"/>
    <x v="1"/>
    <x v="5"/>
    <n v="2"/>
    <n v="1"/>
    <n v="2"/>
    <s v="Reduced"/>
    <x v="0"/>
    <x v="2"/>
    <s v="Department Supervisor"/>
    <x v="253"/>
  </r>
  <r>
    <x v="302"/>
    <d v="2026-06-22T00:00:00"/>
    <x v="1"/>
    <s v="Office"/>
    <x v="12"/>
    <x v="12"/>
    <s v="Mechanical"/>
    <x v="7"/>
    <n v="4"/>
    <n v="4"/>
    <n v="16"/>
    <x v="1"/>
    <x v="0"/>
    <x v="7"/>
    <n v="3"/>
    <n v="4"/>
    <n v="12"/>
    <s v="Reduced"/>
    <x v="1"/>
    <x v="0"/>
    <s v="Production Supervisor"/>
    <x v="254"/>
  </r>
  <r>
    <x v="303"/>
    <d v="2026-05-07T00:00:00"/>
    <x v="1"/>
    <s v="Workshop"/>
    <x v="12"/>
    <x v="12"/>
    <s v="Mechanical"/>
    <x v="4"/>
    <n v="4"/>
    <n v="3"/>
    <n v="12"/>
    <x v="1"/>
    <x v="0"/>
    <x v="6"/>
    <n v="4"/>
    <n v="3"/>
    <n v="12"/>
    <s v="No Reduction"/>
    <x v="1"/>
    <x v="0"/>
    <s v="HSE Officer"/>
    <x v="255"/>
  </r>
  <r>
    <x v="304"/>
    <d v="2025-04-24T00:00:00"/>
    <x v="0"/>
    <s v="Office"/>
    <x v="6"/>
    <x v="6"/>
    <s v="Work at Height"/>
    <x v="11"/>
    <n v="3"/>
    <n v="5"/>
    <n v="15"/>
    <x v="1"/>
    <x v="0"/>
    <x v="3"/>
    <n v="2"/>
    <n v="4"/>
    <n v="8"/>
    <s v="Reduced"/>
    <x v="2"/>
    <x v="0"/>
    <s v="Department Supervisor"/>
    <x v="256"/>
  </r>
  <r>
    <x v="305"/>
    <d v="2025-03-05T00:00:00"/>
    <x v="4"/>
    <s v="Plant Area B"/>
    <x v="17"/>
    <x v="17"/>
    <s v="Confined Space"/>
    <x v="4"/>
    <n v="3"/>
    <n v="2"/>
    <n v="6"/>
    <x v="0"/>
    <x v="4"/>
    <x v="3"/>
    <n v="3"/>
    <n v="2"/>
    <n v="6"/>
    <s v="Reduced"/>
    <x v="2"/>
    <x v="0"/>
    <s v="Maintenance Supervisor"/>
    <x v="257"/>
  </r>
  <r>
    <x v="306"/>
    <d v="2025-08-08T00:00:00"/>
    <x v="4"/>
    <s v="Plant Area A"/>
    <x v="8"/>
    <x v="8"/>
    <s v="Mechanical"/>
    <x v="4"/>
    <n v="5"/>
    <n v="2"/>
    <n v="10"/>
    <x v="1"/>
    <x v="5"/>
    <x v="0"/>
    <n v="3"/>
    <n v="2"/>
    <n v="6"/>
    <s v="Reduced"/>
    <x v="2"/>
    <x v="1"/>
    <s v="Production Supervisor"/>
    <x v="258"/>
  </r>
  <r>
    <x v="307"/>
    <d v="2026-03-08T00:00:00"/>
    <x v="7"/>
    <s v="Laboratory"/>
    <x v="16"/>
    <x v="16"/>
    <s v="Physical"/>
    <x v="19"/>
    <n v="3"/>
    <n v="2"/>
    <n v="6"/>
    <x v="0"/>
    <x v="5"/>
    <x v="8"/>
    <n v="2"/>
    <n v="1"/>
    <n v="2"/>
    <s v="Reduced"/>
    <x v="0"/>
    <x v="2"/>
    <s v="HSE Officer"/>
    <x v="259"/>
  </r>
  <r>
    <x v="308"/>
    <d v="2026-01-30T00:00:00"/>
    <x v="0"/>
    <s v="Workshop"/>
    <x v="9"/>
    <x v="9"/>
    <s v="Mechanical"/>
    <x v="7"/>
    <n v="4"/>
    <n v="3"/>
    <n v="12"/>
    <x v="1"/>
    <x v="7"/>
    <x v="1"/>
    <n v="3"/>
    <n v="3"/>
    <n v="9"/>
    <s v="Reduced"/>
    <x v="2"/>
    <x v="1"/>
    <s v="HSE Officer"/>
    <x v="205"/>
  </r>
  <r>
    <x v="309"/>
    <d v="2025-08-22T00:00:00"/>
    <x v="0"/>
    <s v="Warehouse"/>
    <x v="13"/>
    <x v="13"/>
    <s v="Mechanical"/>
    <x v="7"/>
    <n v="5"/>
    <n v="4"/>
    <n v="20"/>
    <x v="2"/>
    <x v="3"/>
    <x v="9"/>
    <n v="4"/>
    <n v="4"/>
    <n v="16"/>
    <s v="Reduced"/>
    <x v="1"/>
    <x v="1"/>
    <s v="HSE Engineer"/>
    <x v="252"/>
  </r>
  <r>
    <x v="310"/>
    <d v="2025-06-25T00:00:00"/>
    <x v="6"/>
    <s v="Plant Area B"/>
    <x v="14"/>
    <x v="14"/>
    <s v="Pressure"/>
    <x v="13"/>
    <n v="5"/>
    <n v="3"/>
    <n v="15"/>
    <x v="1"/>
    <x v="7"/>
    <x v="1"/>
    <n v="4"/>
    <n v="2"/>
    <n v="8"/>
    <s v="Reduced"/>
    <x v="2"/>
    <x v="0"/>
    <s v="Department Supervisor"/>
    <x v="260"/>
  </r>
  <r>
    <x v="311"/>
    <d v="2025-10-11T00:00:00"/>
    <x v="0"/>
    <s v="Office"/>
    <x v="13"/>
    <x v="13"/>
    <s v="Mechanical"/>
    <x v="4"/>
    <n v="2"/>
    <n v="5"/>
    <n v="10"/>
    <x v="1"/>
    <x v="5"/>
    <x v="1"/>
    <n v="1"/>
    <n v="5"/>
    <n v="5"/>
    <s v="Reduced"/>
    <x v="2"/>
    <x v="0"/>
    <s v="Maintenance Supervisor"/>
    <x v="261"/>
  </r>
  <r>
    <x v="312"/>
    <d v="2026-11-14T00:00:00"/>
    <x v="4"/>
    <s v="Utilities Area"/>
    <x v="17"/>
    <x v="17"/>
    <s v="Confined Space"/>
    <x v="4"/>
    <n v="2"/>
    <n v="5"/>
    <n v="10"/>
    <x v="1"/>
    <x v="6"/>
    <x v="4"/>
    <n v="1"/>
    <n v="5"/>
    <n v="5"/>
    <s v="Reduced"/>
    <x v="2"/>
    <x v="2"/>
    <s v="Maintenance Supervisor"/>
    <x v="73"/>
  </r>
  <r>
    <x v="313"/>
    <d v="2025-01-25T00:00:00"/>
    <x v="3"/>
    <s v="Warehouse"/>
    <x v="3"/>
    <x v="3"/>
    <s v="Ergonomic"/>
    <x v="3"/>
    <n v="5"/>
    <n v="2"/>
    <n v="10"/>
    <x v="1"/>
    <x v="0"/>
    <x v="5"/>
    <n v="4"/>
    <n v="2"/>
    <n v="8"/>
    <s v="Reduced"/>
    <x v="2"/>
    <x v="1"/>
    <s v="HSE Engineer"/>
    <x v="262"/>
  </r>
  <r>
    <x v="314"/>
    <d v="2026-09-22T00:00:00"/>
    <x v="4"/>
    <s v="Laboratory"/>
    <x v="4"/>
    <x v="4"/>
    <s v="Mechanical"/>
    <x v="4"/>
    <n v="5"/>
    <n v="3"/>
    <n v="15"/>
    <x v="1"/>
    <x v="6"/>
    <x v="8"/>
    <n v="4"/>
    <n v="3"/>
    <n v="12"/>
    <s v="Reduced"/>
    <x v="1"/>
    <x v="2"/>
    <s v="HSE Officer"/>
    <x v="118"/>
  </r>
  <r>
    <x v="315"/>
    <d v="2026-04-06T00:00:00"/>
    <x v="7"/>
    <s v="Plant Area A"/>
    <x v="16"/>
    <x v="16"/>
    <s v="Physical"/>
    <x v="4"/>
    <n v="4"/>
    <n v="4"/>
    <n v="16"/>
    <x v="1"/>
    <x v="6"/>
    <x v="2"/>
    <n v="3"/>
    <n v="3"/>
    <n v="9"/>
    <s v="Reduced"/>
    <x v="2"/>
    <x v="0"/>
    <s v="HSE Officer"/>
    <x v="94"/>
  </r>
  <r>
    <x v="316"/>
    <d v="2025-08-27T00:00:00"/>
    <x v="7"/>
    <s v="Utilities Area"/>
    <x v="15"/>
    <x v="15"/>
    <s v="Vehicle / Traffic"/>
    <x v="21"/>
    <n v="5"/>
    <n v="2"/>
    <n v="10"/>
    <x v="1"/>
    <x v="5"/>
    <x v="6"/>
    <n v="4"/>
    <n v="2"/>
    <n v="8"/>
    <s v="Reduced"/>
    <x v="2"/>
    <x v="2"/>
    <s v="HSE Officer"/>
    <x v="263"/>
  </r>
  <r>
    <x v="317"/>
    <d v="2025-06-24T00:00:00"/>
    <x v="0"/>
    <s v="Laboratory"/>
    <x v="13"/>
    <x v="13"/>
    <s v="Mechanical"/>
    <x v="12"/>
    <n v="5"/>
    <n v="3"/>
    <n v="15"/>
    <x v="1"/>
    <x v="4"/>
    <x v="2"/>
    <n v="4"/>
    <n v="3"/>
    <n v="12"/>
    <s v="Reduced"/>
    <x v="1"/>
    <x v="1"/>
    <s v="Department Supervisor"/>
    <x v="264"/>
  </r>
  <r>
    <x v="318"/>
    <d v="2025-10-12T00:00:00"/>
    <x v="5"/>
    <s v="Plant Area A"/>
    <x v="5"/>
    <x v="5"/>
    <s v="Electrical"/>
    <x v="5"/>
    <n v="5"/>
    <n v="5"/>
    <n v="25"/>
    <x v="2"/>
    <x v="3"/>
    <x v="4"/>
    <n v="4"/>
    <n v="4"/>
    <n v="16"/>
    <s v="Reduced"/>
    <x v="1"/>
    <x v="1"/>
    <s v="HSE Engineer"/>
    <x v="265"/>
  </r>
  <r>
    <x v="319"/>
    <d v="2025-03-14T00:00:00"/>
    <x v="0"/>
    <s v="Workshop"/>
    <x v="13"/>
    <x v="13"/>
    <s v="Mechanical"/>
    <x v="10"/>
    <n v="5"/>
    <n v="3"/>
    <n v="15"/>
    <x v="1"/>
    <x v="5"/>
    <x v="5"/>
    <n v="3"/>
    <n v="3"/>
    <n v="9"/>
    <s v="Reduced"/>
    <x v="2"/>
    <x v="2"/>
    <s v="HSE Engineer"/>
    <x v="266"/>
  </r>
  <r>
    <x v="320"/>
    <d v="2025-05-11T00:00:00"/>
    <x v="0"/>
    <s v="Warehouse"/>
    <x v="13"/>
    <x v="13"/>
    <s v="Mechanical"/>
    <x v="10"/>
    <n v="2"/>
    <n v="4"/>
    <n v="8"/>
    <x v="0"/>
    <x v="6"/>
    <x v="7"/>
    <n v="1"/>
    <n v="4"/>
    <n v="4"/>
    <s v="Reduced"/>
    <x v="0"/>
    <x v="2"/>
    <s v="Maintenance Supervisor"/>
    <x v="267"/>
  </r>
  <r>
    <x v="321"/>
    <d v="2025-03-22T00:00:00"/>
    <x v="4"/>
    <s v="Office"/>
    <x v="8"/>
    <x v="8"/>
    <s v="Mechanical"/>
    <x v="10"/>
    <n v="3"/>
    <n v="2"/>
    <n v="6"/>
    <x v="0"/>
    <x v="5"/>
    <x v="3"/>
    <n v="2"/>
    <n v="2"/>
    <n v="4"/>
    <s v="Reduced"/>
    <x v="0"/>
    <x v="0"/>
    <s v="Department Supervisor"/>
    <x v="268"/>
  </r>
  <r>
    <x v="322"/>
    <d v="2026-09-16T00:00:00"/>
    <x v="0"/>
    <s v="Utilities Area"/>
    <x v="6"/>
    <x v="6"/>
    <s v="Work at Height"/>
    <x v="13"/>
    <n v="4"/>
    <n v="4"/>
    <n v="16"/>
    <x v="1"/>
    <x v="4"/>
    <x v="2"/>
    <n v="2"/>
    <n v="3"/>
    <n v="6"/>
    <s v="Reduced"/>
    <x v="2"/>
    <x v="2"/>
    <s v="Department Supervisor"/>
    <x v="269"/>
  </r>
  <r>
    <x v="323"/>
    <d v="2025-11-18T00:00:00"/>
    <x v="1"/>
    <s v="Plant Area B"/>
    <x v="12"/>
    <x v="12"/>
    <s v="Mechanical"/>
    <x v="7"/>
    <n v="5"/>
    <n v="5"/>
    <n v="25"/>
    <x v="2"/>
    <x v="6"/>
    <x v="9"/>
    <n v="3"/>
    <n v="4"/>
    <n v="12"/>
    <s v="Reduced"/>
    <x v="1"/>
    <x v="1"/>
    <s v="HSE Engineer"/>
    <x v="270"/>
  </r>
  <r>
    <x v="324"/>
    <d v="2026-01-23T00:00:00"/>
    <x v="2"/>
    <s v="Workshop"/>
    <x v="2"/>
    <x v="2"/>
    <s v="Chemical"/>
    <x v="2"/>
    <n v="3"/>
    <n v="3"/>
    <n v="9"/>
    <x v="0"/>
    <x v="2"/>
    <x v="5"/>
    <n v="2"/>
    <n v="3"/>
    <n v="6"/>
    <s v="Reduced"/>
    <x v="2"/>
    <x v="2"/>
    <s v="Maintenance Supervisor"/>
    <x v="70"/>
  </r>
  <r>
    <x v="325"/>
    <d v="2025-07-11T00:00:00"/>
    <x v="1"/>
    <s v="Office"/>
    <x v="1"/>
    <x v="1"/>
    <s v="Fire / Chemical"/>
    <x v="9"/>
    <n v="5"/>
    <n v="5"/>
    <n v="25"/>
    <x v="2"/>
    <x v="0"/>
    <x v="7"/>
    <n v="4"/>
    <n v="4"/>
    <n v="16"/>
    <s v="Reduced"/>
    <x v="1"/>
    <x v="2"/>
    <s v="HSE Engineer"/>
    <x v="271"/>
  </r>
  <r>
    <x v="326"/>
    <d v="2026-09-16T00:00:00"/>
    <x v="4"/>
    <s v="Plant Area A"/>
    <x v="17"/>
    <x v="17"/>
    <s v="Confined Space"/>
    <x v="17"/>
    <n v="5"/>
    <n v="2"/>
    <n v="10"/>
    <x v="1"/>
    <x v="5"/>
    <x v="2"/>
    <n v="4"/>
    <n v="2"/>
    <n v="8"/>
    <s v="Reduced"/>
    <x v="2"/>
    <x v="1"/>
    <s v="HSE Officer"/>
    <x v="269"/>
  </r>
  <r>
    <x v="327"/>
    <d v="2025-03-01T00:00:00"/>
    <x v="2"/>
    <s v="Utilities Area"/>
    <x v="2"/>
    <x v="2"/>
    <s v="Chemical"/>
    <x v="1"/>
    <n v="3"/>
    <n v="4"/>
    <n v="12"/>
    <x v="1"/>
    <x v="7"/>
    <x v="5"/>
    <n v="2"/>
    <n v="3"/>
    <n v="6"/>
    <s v="Reduced"/>
    <x v="2"/>
    <x v="0"/>
    <s v="Maintenance Supervisor"/>
    <x v="272"/>
  </r>
  <r>
    <x v="328"/>
    <d v="2025-08-25T00:00:00"/>
    <x v="3"/>
    <s v="Workshop"/>
    <x v="3"/>
    <x v="3"/>
    <s v="Ergonomic"/>
    <x v="3"/>
    <n v="2"/>
    <n v="4"/>
    <n v="8"/>
    <x v="0"/>
    <x v="2"/>
    <x v="9"/>
    <n v="1"/>
    <n v="3"/>
    <n v="3"/>
    <s v="Reduced"/>
    <x v="0"/>
    <x v="1"/>
    <s v="Maintenance Supervisor"/>
    <x v="273"/>
  </r>
  <r>
    <x v="329"/>
    <d v="2026-08-23T00:00:00"/>
    <x v="5"/>
    <s v="Workshop"/>
    <x v="5"/>
    <x v="5"/>
    <s v="Electrical"/>
    <x v="4"/>
    <n v="4"/>
    <n v="2"/>
    <n v="8"/>
    <x v="0"/>
    <x v="7"/>
    <x v="7"/>
    <n v="3"/>
    <n v="1"/>
    <n v="3"/>
    <s v="Reduced"/>
    <x v="0"/>
    <x v="2"/>
    <s v="Maintenance Supervisor"/>
    <x v="274"/>
  </r>
  <r>
    <x v="330"/>
    <d v="2025-09-23T00:00:00"/>
    <x v="2"/>
    <s v="Utilities Area"/>
    <x v="2"/>
    <x v="2"/>
    <s v="Chemical"/>
    <x v="6"/>
    <n v="2"/>
    <n v="5"/>
    <n v="10"/>
    <x v="1"/>
    <x v="0"/>
    <x v="9"/>
    <n v="1"/>
    <n v="5"/>
    <n v="5"/>
    <s v="Reduced"/>
    <x v="2"/>
    <x v="2"/>
    <s v="Production Supervisor"/>
    <x v="275"/>
  </r>
  <r>
    <x v="331"/>
    <d v="2026-02-05T00:00:00"/>
    <x v="4"/>
    <s v="Office"/>
    <x v="4"/>
    <x v="4"/>
    <s v="Mechanical"/>
    <x v="10"/>
    <n v="4"/>
    <n v="5"/>
    <n v="20"/>
    <x v="2"/>
    <x v="4"/>
    <x v="1"/>
    <n v="3"/>
    <n v="4"/>
    <n v="12"/>
    <s v="Reduced"/>
    <x v="1"/>
    <x v="2"/>
    <s v="HSE Engineer"/>
    <x v="276"/>
  </r>
  <r>
    <x v="332"/>
    <d v="2025-07-15T00:00:00"/>
    <x v="4"/>
    <s v="Plant Area A"/>
    <x v="4"/>
    <x v="4"/>
    <s v="Mechanical"/>
    <x v="10"/>
    <n v="2"/>
    <n v="3"/>
    <n v="6"/>
    <x v="0"/>
    <x v="7"/>
    <x v="9"/>
    <n v="1"/>
    <n v="2"/>
    <n v="2"/>
    <s v="Reduced"/>
    <x v="0"/>
    <x v="0"/>
    <s v="HSE Officer"/>
    <x v="277"/>
  </r>
  <r>
    <x v="333"/>
    <d v="2025-12-11T00:00:00"/>
    <x v="5"/>
    <s v="Workshop"/>
    <x v="10"/>
    <x v="10"/>
    <s v="Electrical"/>
    <x v="9"/>
    <n v="5"/>
    <n v="2"/>
    <n v="10"/>
    <x v="1"/>
    <x v="2"/>
    <x v="4"/>
    <n v="4"/>
    <n v="2"/>
    <n v="8"/>
    <s v="Reduced"/>
    <x v="2"/>
    <x v="2"/>
    <s v="Maintenance Supervisor"/>
    <x v="278"/>
  </r>
  <r>
    <x v="334"/>
    <d v="2025-03-01T00:00:00"/>
    <x v="5"/>
    <s v="Laboratory"/>
    <x v="5"/>
    <x v="5"/>
    <s v="Electrical"/>
    <x v="9"/>
    <n v="3"/>
    <n v="2"/>
    <n v="6"/>
    <x v="0"/>
    <x v="4"/>
    <x v="6"/>
    <n v="2"/>
    <n v="1"/>
    <n v="2"/>
    <s v="Reduced"/>
    <x v="0"/>
    <x v="2"/>
    <s v="HSE Officer"/>
    <x v="272"/>
  </r>
  <r>
    <x v="335"/>
    <d v="2026-04-06T00:00:00"/>
    <x v="1"/>
    <s v="Laboratory"/>
    <x v="12"/>
    <x v="12"/>
    <s v="Mechanical"/>
    <x v="4"/>
    <n v="2"/>
    <n v="5"/>
    <n v="10"/>
    <x v="1"/>
    <x v="0"/>
    <x v="0"/>
    <n v="1"/>
    <n v="4"/>
    <n v="4"/>
    <s v="Reduced"/>
    <x v="0"/>
    <x v="0"/>
    <s v="Maintenance Supervisor"/>
    <x v="23"/>
  </r>
  <r>
    <x v="336"/>
    <d v="2025-05-12T00:00:00"/>
    <x v="6"/>
    <s v="Warehouse"/>
    <x v="18"/>
    <x v="18"/>
    <s v="Pressure / Thermal"/>
    <x v="9"/>
    <n v="2"/>
    <n v="3"/>
    <n v="6"/>
    <x v="0"/>
    <x v="6"/>
    <x v="1"/>
    <n v="1"/>
    <n v="2"/>
    <n v="2"/>
    <s v="Reduced"/>
    <x v="0"/>
    <x v="1"/>
    <s v="Maintenance Supervisor"/>
    <x v="279"/>
  </r>
  <r>
    <x v="337"/>
    <d v="2025-02-05T00:00:00"/>
    <x v="7"/>
    <s v="Laboratory"/>
    <x v="15"/>
    <x v="15"/>
    <s v="Vehicle / Traffic"/>
    <x v="4"/>
    <n v="4"/>
    <n v="2"/>
    <n v="8"/>
    <x v="0"/>
    <x v="7"/>
    <x v="0"/>
    <n v="2"/>
    <n v="2"/>
    <n v="4"/>
    <s v="Reduced"/>
    <x v="0"/>
    <x v="0"/>
    <s v="HSE Officer"/>
    <x v="276"/>
  </r>
  <r>
    <x v="338"/>
    <d v="2025-10-28T00:00:00"/>
    <x v="4"/>
    <s v="Warehouse"/>
    <x v="17"/>
    <x v="17"/>
    <s v="Confined Space"/>
    <x v="17"/>
    <n v="5"/>
    <n v="3"/>
    <n v="15"/>
    <x v="1"/>
    <x v="6"/>
    <x v="8"/>
    <n v="5"/>
    <n v="3"/>
    <n v="15"/>
    <s v="Reduced"/>
    <x v="1"/>
    <x v="0"/>
    <s v="HSE Engineer"/>
    <x v="52"/>
  </r>
  <r>
    <x v="339"/>
    <d v="2025-04-12T00:00:00"/>
    <x v="0"/>
    <s v="Plant Area B"/>
    <x v="6"/>
    <x v="6"/>
    <s v="Work at Height"/>
    <x v="4"/>
    <n v="4"/>
    <n v="3"/>
    <n v="12"/>
    <x v="1"/>
    <x v="5"/>
    <x v="0"/>
    <n v="4"/>
    <n v="2"/>
    <n v="8"/>
    <s v="Reduced"/>
    <x v="2"/>
    <x v="2"/>
    <s v="Maintenance Supervisor"/>
    <x v="280"/>
  </r>
  <r>
    <x v="340"/>
    <d v="2026-03-24T00:00:00"/>
    <x v="0"/>
    <s v="Laboratory"/>
    <x v="11"/>
    <x v="11"/>
    <s v="Excavation"/>
    <x v="16"/>
    <n v="4"/>
    <n v="4"/>
    <n v="16"/>
    <x v="1"/>
    <x v="6"/>
    <x v="9"/>
    <n v="2"/>
    <n v="4"/>
    <n v="8"/>
    <s v="Reduced"/>
    <x v="2"/>
    <x v="2"/>
    <s v="Production Supervisor"/>
    <x v="13"/>
  </r>
  <r>
    <x v="341"/>
    <d v="2025-11-05T00:00:00"/>
    <x v="1"/>
    <s v="Workshop"/>
    <x v="1"/>
    <x v="1"/>
    <s v="Fire / Chemical"/>
    <x v="1"/>
    <n v="4"/>
    <n v="4"/>
    <n v="16"/>
    <x v="1"/>
    <x v="5"/>
    <x v="7"/>
    <n v="4"/>
    <n v="3"/>
    <n v="12"/>
    <s v="Reduced"/>
    <x v="1"/>
    <x v="2"/>
    <s v="HSE Engineer"/>
    <x v="6"/>
  </r>
  <r>
    <x v="342"/>
    <d v="2025-04-25T00:00:00"/>
    <x v="1"/>
    <s v="Plant Area B"/>
    <x v="1"/>
    <x v="1"/>
    <s v="Fire / Chemical"/>
    <x v="8"/>
    <n v="2"/>
    <n v="2"/>
    <n v="4"/>
    <x v="3"/>
    <x v="6"/>
    <x v="7"/>
    <n v="1"/>
    <n v="1"/>
    <n v="1"/>
    <s v="Reduced"/>
    <x v="0"/>
    <x v="1"/>
    <s v="Production Supervisor"/>
    <x v="33"/>
  </r>
  <r>
    <x v="343"/>
    <d v="2025-04-01T00:00:00"/>
    <x v="1"/>
    <s v="Laboratory"/>
    <x v="1"/>
    <x v="1"/>
    <s v="Fire / Chemical"/>
    <x v="9"/>
    <n v="2"/>
    <n v="5"/>
    <n v="10"/>
    <x v="1"/>
    <x v="0"/>
    <x v="8"/>
    <n v="1"/>
    <n v="4"/>
    <n v="4"/>
    <s v="Reduced"/>
    <x v="0"/>
    <x v="0"/>
    <s v="Production Supervisor"/>
    <x v="281"/>
  </r>
  <r>
    <x v="344"/>
    <d v="2025-07-07T00:00:00"/>
    <x v="1"/>
    <s v="Office"/>
    <x v="1"/>
    <x v="1"/>
    <s v="Fire / Chemical"/>
    <x v="1"/>
    <n v="3"/>
    <n v="5"/>
    <n v="15"/>
    <x v="1"/>
    <x v="3"/>
    <x v="8"/>
    <n v="2"/>
    <n v="4"/>
    <n v="8"/>
    <s v="Reduced"/>
    <x v="2"/>
    <x v="0"/>
    <s v="Maintenance Supervisor"/>
    <x v="282"/>
  </r>
  <r>
    <x v="345"/>
    <d v="2025-06-29T00:00:00"/>
    <x v="4"/>
    <s v="Laboratory"/>
    <x v="4"/>
    <x v="4"/>
    <s v="Mechanical"/>
    <x v="4"/>
    <n v="4"/>
    <n v="2"/>
    <n v="8"/>
    <x v="0"/>
    <x v="0"/>
    <x v="8"/>
    <n v="3"/>
    <n v="1"/>
    <n v="3"/>
    <s v="Reduced"/>
    <x v="0"/>
    <x v="1"/>
    <s v="Department Supervisor"/>
    <x v="57"/>
  </r>
  <r>
    <x v="346"/>
    <d v="2026-05-27T00:00:00"/>
    <x v="0"/>
    <s v="Warehouse"/>
    <x v="13"/>
    <x v="13"/>
    <s v="Mechanical"/>
    <x v="10"/>
    <n v="3"/>
    <n v="4"/>
    <n v="12"/>
    <x v="1"/>
    <x v="0"/>
    <x v="5"/>
    <n v="1"/>
    <n v="4"/>
    <n v="4"/>
    <s v="Reduced"/>
    <x v="0"/>
    <x v="2"/>
    <s v="Maintenance Supervisor"/>
    <x v="108"/>
  </r>
  <r>
    <x v="347"/>
    <d v="2026-05-10T00:00:00"/>
    <x v="4"/>
    <s v="Office"/>
    <x v="4"/>
    <x v="4"/>
    <s v="Mechanical"/>
    <x v="4"/>
    <n v="5"/>
    <n v="5"/>
    <n v="25"/>
    <x v="2"/>
    <x v="2"/>
    <x v="7"/>
    <n v="4"/>
    <n v="5"/>
    <n v="20"/>
    <s v="Reduced"/>
    <x v="3"/>
    <x v="1"/>
    <s v="HSE Officer"/>
    <x v="283"/>
  </r>
  <r>
    <x v="348"/>
    <d v="2025-08-06T00:00:00"/>
    <x v="1"/>
    <s v="Plant Area A"/>
    <x v="1"/>
    <x v="1"/>
    <s v="Fire / Chemical"/>
    <x v="8"/>
    <n v="4"/>
    <n v="4"/>
    <n v="16"/>
    <x v="1"/>
    <x v="7"/>
    <x v="3"/>
    <n v="4"/>
    <n v="4"/>
    <n v="16"/>
    <s v="Reduced"/>
    <x v="1"/>
    <x v="0"/>
    <s v="Production Supervisor"/>
    <x v="85"/>
  </r>
  <r>
    <x v="349"/>
    <d v="2025-10-09T00:00:00"/>
    <x v="2"/>
    <s v="Office"/>
    <x v="2"/>
    <x v="2"/>
    <s v="Chemical"/>
    <x v="1"/>
    <n v="4"/>
    <n v="4"/>
    <n v="16"/>
    <x v="1"/>
    <x v="2"/>
    <x v="0"/>
    <n v="2"/>
    <n v="3"/>
    <n v="6"/>
    <s v="Reduced"/>
    <x v="2"/>
    <x v="0"/>
    <s v="Department Supervisor"/>
    <x v="27"/>
  </r>
  <r>
    <x v="350"/>
    <d v="2025-10-06T00:00:00"/>
    <x v="6"/>
    <s v="Utilities Area"/>
    <x v="18"/>
    <x v="18"/>
    <s v="Pressure / Thermal"/>
    <x v="22"/>
    <n v="2"/>
    <n v="2"/>
    <n v="4"/>
    <x v="3"/>
    <x v="7"/>
    <x v="3"/>
    <n v="1"/>
    <n v="1"/>
    <n v="1"/>
    <s v="Reduced"/>
    <x v="0"/>
    <x v="1"/>
    <s v="Production Supervisor"/>
    <x v="284"/>
  </r>
  <r>
    <x v="351"/>
    <d v="2025-01-20T00:00:00"/>
    <x v="6"/>
    <s v="Plant Area A"/>
    <x v="18"/>
    <x v="18"/>
    <s v="Pressure / Thermal"/>
    <x v="22"/>
    <n v="4"/>
    <n v="4"/>
    <n v="16"/>
    <x v="1"/>
    <x v="1"/>
    <x v="6"/>
    <n v="2"/>
    <n v="4"/>
    <n v="8"/>
    <s v="Reduced"/>
    <x v="2"/>
    <x v="1"/>
    <s v="Maintenance Supervisor"/>
    <x v="285"/>
  </r>
  <r>
    <x v="352"/>
    <d v="2026-08-29T00:00:00"/>
    <x v="4"/>
    <s v="Plant Area A"/>
    <x v="4"/>
    <x v="4"/>
    <s v="Mechanical"/>
    <x v="4"/>
    <n v="4"/>
    <n v="3"/>
    <n v="12"/>
    <x v="1"/>
    <x v="5"/>
    <x v="0"/>
    <n v="4"/>
    <n v="3"/>
    <n v="12"/>
    <s v="No Reduction"/>
    <x v="1"/>
    <x v="2"/>
    <s v="Department Supervisor"/>
    <x v="286"/>
  </r>
  <r>
    <x v="353"/>
    <d v="2026-03-18T00:00:00"/>
    <x v="5"/>
    <s v="Office"/>
    <x v="5"/>
    <x v="5"/>
    <s v="Electrical"/>
    <x v="4"/>
    <n v="4"/>
    <n v="3"/>
    <n v="12"/>
    <x v="1"/>
    <x v="5"/>
    <x v="2"/>
    <n v="3"/>
    <n v="3"/>
    <n v="9"/>
    <s v="Reduced"/>
    <x v="2"/>
    <x v="2"/>
    <s v="Maintenance Supervisor"/>
    <x v="287"/>
  </r>
  <r>
    <x v="354"/>
    <d v="2026-08-20T00:00:00"/>
    <x v="3"/>
    <s v="Utilities Area"/>
    <x v="3"/>
    <x v="3"/>
    <s v="Ergonomic"/>
    <x v="3"/>
    <n v="3"/>
    <n v="4"/>
    <n v="12"/>
    <x v="1"/>
    <x v="4"/>
    <x v="6"/>
    <n v="3"/>
    <n v="4"/>
    <n v="12"/>
    <s v="No Reduction"/>
    <x v="1"/>
    <x v="1"/>
    <s v="Production Supervisor"/>
    <x v="288"/>
  </r>
  <r>
    <x v="355"/>
    <d v="2025-10-12T00:00:00"/>
    <x v="4"/>
    <s v="Workshop"/>
    <x v="4"/>
    <x v="4"/>
    <s v="Mechanical"/>
    <x v="10"/>
    <n v="4"/>
    <n v="5"/>
    <n v="20"/>
    <x v="2"/>
    <x v="7"/>
    <x v="8"/>
    <n v="4"/>
    <n v="5"/>
    <n v="20"/>
    <s v="Reduced"/>
    <x v="3"/>
    <x v="1"/>
    <s v="HSE Engineer"/>
    <x v="265"/>
  </r>
  <r>
    <x v="356"/>
    <d v="2025-01-13T00:00:00"/>
    <x v="0"/>
    <s v="Plant Area B"/>
    <x v="0"/>
    <x v="0"/>
    <s v="Thermal"/>
    <x v="20"/>
    <n v="2"/>
    <n v="2"/>
    <n v="4"/>
    <x v="3"/>
    <x v="3"/>
    <x v="1"/>
    <n v="1"/>
    <n v="1"/>
    <n v="1"/>
    <s v="Reduced"/>
    <x v="0"/>
    <x v="2"/>
    <s v="Maintenance Supervisor"/>
    <x v="289"/>
  </r>
  <r>
    <x v="357"/>
    <d v="2026-07-10T00:00:00"/>
    <x v="0"/>
    <s v="Plant Area A"/>
    <x v="13"/>
    <x v="13"/>
    <s v="Mechanical"/>
    <x v="12"/>
    <n v="2"/>
    <n v="3"/>
    <n v="6"/>
    <x v="0"/>
    <x v="6"/>
    <x v="9"/>
    <n v="1"/>
    <n v="2"/>
    <n v="2"/>
    <s v="Reduced"/>
    <x v="0"/>
    <x v="2"/>
    <s v="HSE Engineer"/>
    <x v="290"/>
  </r>
  <r>
    <x v="358"/>
    <d v="2026-10-27T00:00:00"/>
    <x v="7"/>
    <s v="Laboratory"/>
    <x v="16"/>
    <x v="16"/>
    <s v="Physical"/>
    <x v="19"/>
    <n v="4"/>
    <n v="4"/>
    <n v="16"/>
    <x v="1"/>
    <x v="2"/>
    <x v="4"/>
    <n v="3"/>
    <n v="4"/>
    <n v="12"/>
    <s v="Reduced"/>
    <x v="1"/>
    <x v="1"/>
    <s v="HSE Officer"/>
    <x v="92"/>
  </r>
  <r>
    <x v="359"/>
    <d v="2025-06-14T00:00:00"/>
    <x v="5"/>
    <s v="Plant Area B"/>
    <x v="5"/>
    <x v="5"/>
    <s v="Electrical"/>
    <x v="5"/>
    <n v="5"/>
    <n v="3"/>
    <n v="15"/>
    <x v="1"/>
    <x v="4"/>
    <x v="1"/>
    <n v="4"/>
    <n v="3"/>
    <n v="12"/>
    <s v="Reduced"/>
    <x v="1"/>
    <x v="1"/>
    <s v="HSE Engineer"/>
    <x v="154"/>
  </r>
  <r>
    <x v="360"/>
    <d v="2026-08-06T00:00:00"/>
    <x v="0"/>
    <s v="Plant Area A"/>
    <x v="6"/>
    <x v="6"/>
    <s v="Work at Height"/>
    <x v="13"/>
    <n v="3"/>
    <n v="5"/>
    <n v="15"/>
    <x v="1"/>
    <x v="0"/>
    <x v="2"/>
    <n v="2"/>
    <n v="4"/>
    <n v="8"/>
    <s v="Reduced"/>
    <x v="2"/>
    <x v="2"/>
    <s v="Maintenance Supervisor"/>
    <x v="291"/>
  </r>
  <r>
    <x v="361"/>
    <d v="2025-10-08T00:00:00"/>
    <x v="4"/>
    <s v="Plant Area B"/>
    <x v="4"/>
    <x v="4"/>
    <s v="Mechanical"/>
    <x v="7"/>
    <n v="4"/>
    <n v="5"/>
    <n v="20"/>
    <x v="2"/>
    <x v="2"/>
    <x v="0"/>
    <n v="3"/>
    <n v="5"/>
    <n v="15"/>
    <s v="Reduced"/>
    <x v="1"/>
    <x v="1"/>
    <s v="Maintenance Supervisor"/>
    <x v="198"/>
  </r>
  <r>
    <x v="362"/>
    <d v="2026-08-05T00:00:00"/>
    <x v="4"/>
    <s v="Laboratory"/>
    <x v="17"/>
    <x v="17"/>
    <s v="Confined Space"/>
    <x v="17"/>
    <n v="5"/>
    <n v="5"/>
    <n v="25"/>
    <x v="2"/>
    <x v="5"/>
    <x v="0"/>
    <n v="4"/>
    <n v="5"/>
    <n v="20"/>
    <s v="Reduced"/>
    <x v="3"/>
    <x v="1"/>
    <s v="HSE Officer"/>
    <x v="292"/>
  </r>
  <r>
    <x v="363"/>
    <d v="2025-08-31T00:00:00"/>
    <x v="4"/>
    <s v="Plant Area A"/>
    <x v="4"/>
    <x v="4"/>
    <s v="Mechanical"/>
    <x v="10"/>
    <n v="4"/>
    <n v="5"/>
    <n v="20"/>
    <x v="2"/>
    <x v="3"/>
    <x v="7"/>
    <n v="3"/>
    <n v="4"/>
    <n v="12"/>
    <s v="Reduced"/>
    <x v="1"/>
    <x v="2"/>
    <s v="Department Supervisor"/>
    <x v="293"/>
  </r>
  <r>
    <x v="364"/>
    <d v="2025-04-06T00:00:00"/>
    <x v="1"/>
    <s v="Office"/>
    <x v="12"/>
    <x v="12"/>
    <s v="Mechanical"/>
    <x v="4"/>
    <n v="5"/>
    <n v="3"/>
    <n v="15"/>
    <x v="1"/>
    <x v="4"/>
    <x v="9"/>
    <n v="5"/>
    <n v="3"/>
    <n v="15"/>
    <s v="Reduced"/>
    <x v="1"/>
    <x v="1"/>
    <s v="Maintenance Supervisor"/>
    <x v="228"/>
  </r>
  <r>
    <x v="365"/>
    <d v="2026-08-10T00:00:00"/>
    <x v="4"/>
    <s v="Utilities Area"/>
    <x v="4"/>
    <x v="4"/>
    <s v="Mechanical"/>
    <x v="7"/>
    <n v="5"/>
    <n v="4"/>
    <n v="20"/>
    <x v="2"/>
    <x v="2"/>
    <x v="1"/>
    <n v="3"/>
    <n v="3"/>
    <n v="9"/>
    <s v="Reduced"/>
    <x v="2"/>
    <x v="0"/>
    <s v="Department Supervisor"/>
    <x v="235"/>
  </r>
  <r>
    <x v="366"/>
    <d v="2025-04-16T00:00:00"/>
    <x v="6"/>
    <s v="Utilities Area"/>
    <x v="14"/>
    <x v="14"/>
    <s v="Pressure"/>
    <x v="13"/>
    <n v="3"/>
    <n v="5"/>
    <n v="15"/>
    <x v="1"/>
    <x v="0"/>
    <x v="9"/>
    <n v="3"/>
    <n v="5"/>
    <n v="15"/>
    <s v="Reduced"/>
    <x v="1"/>
    <x v="1"/>
    <s v="HSE Engineer"/>
    <x v="185"/>
  </r>
  <r>
    <x v="367"/>
    <d v="2026-09-30T00:00:00"/>
    <x v="5"/>
    <s v="Plant Area B"/>
    <x v="5"/>
    <x v="5"/>
    <s v="Electrical"/>
    <x v="9"/>
    <n v="5"/>
    <n v="4"/>
    <n v="20"/>
    <x v="2"/>
    <x v="0"/>
    <x v="9"/>
    <n v="5"/>
    <n v="3"/>
    <n v="15"/>
    <s v="Reduced"/>
    <x v="1"/>
    <x v="1"/>
    <s v="Production Supervisor"/>
    <x v="294"/>
  </r>
  <r>
    <x v="368"/>
    <d v="2025-09-08T00:00:00"/>
    <x v="7"/>
    <s v="Plant Area B"/>
    <x v="16"/>
    <x v="16"/>
    <s v="Physical"/>
    <x v="19"/>
    <n v="4"/>
    <n v="3"/>
    <n v="12"/>
    <x v="1"/>
    <x v="7"/>
    <x v="7"/>
    <n v="3"/>
    <n v="2"/>
    <n v="6"/>
    <s v="Reduced"/>
    <x v="2"/>
    <x v="0"/>
    <s v="HSE Officer"/>
    <x v="295"/>
  </r>
  <r>
    <x v="369"/>
    <d v="2025-03-25T00:00:00"/>
    <x v="0"/>
    <s v="Utilities Area"/>
    <x v="9"/>
    <x v="9"/>
    <s v="Mechanical"/>
    <x v="12"/>
    <n v="3"/>
    <n v="2"/>
    <n v="6"/>
    <x v="0"/>
    <x v="3"/>
    <x v="1"/>
    <n v="2"/>
    <n v="1"/>
    <n v="2"/>
    <s v="Reduced"/>
    <x v="0"/>
    <x v="0"/>
    <s v="HSE Engineer"/>
    <x v="296"/>
  </r>
  <r>
    <x v="370"/>
    <d v="2026-05-04T00:00:00"/>
    <x v="3"/>
    <s v="Workshop"/>
    <x v="3"/>
    <x v="3"/>
    <s v="Ergonomic"/>
    <x v="3"/>
    <n v="5"/>
    <n v="2"/>
    <n v="10"/>
    <x v="1"/>
    <x v="7"/>
    <x v="9"/>
    <n v="5"/>
    <n v="1"/>
    <n v="5"/>
    <s v="Reduced"/>
    <x v="2"/>
    <x v="0"/>
    <s v="HSE Engineer"/>
    <x v="297"/>
  </r>
  <r>
    <x v="371"/>
    <d v="2025-07-20T00:00:00"/>
    <x v="2"/>
    <s v="Plant Area A"/>
    <x v="2"/>
    <x v="2"/>
    <s v="Chemical"/>
    <x v="2"/>
    <n v="3"/>
    <n v="2"/>
    <n v="6"/>
    <x v="0"/>
    <x v="1"/>
    <x v="5"/>
    <n v="2"/>
    <n v="2"/>
    <n v="4"/>
    <s v="Reduced"/>
    <x v="0"/>
    <x v="0"/>
    <s v="Maintenance Supervisor"/>
    <x v="298"/>
  </r>
  <r>
    <x v="372"/>
    <d v="2026-10-24T00:00:00"/>
    <x v="6"/>
    <s v="Laboratory"/>
    <x v="14"/>
    <x v="14"/>
    <s v="Pressure"/>
    <x v="13"/>
    <n v="4"/>
    <n v="5"/>
    <n v="20"/>
    <x v="2"/>
    <x v="4"/>
    <x v="2"/>
    <n v="2"/>
    <n v="5"/>
    <n v="10"/>
    <s v="Reduced"/>
    <x v="1"/>
    <x v="1"/>
    <s v="Production Supervisor"/>
    <x v="299"/>
  </r>
  <r>
    <x v="373"/>
    <d v="2025-04-08T00:00:00"/>
    <x v="7"/>
    <s v="Utilities Area"/>
    <x v="16"/>
    <x v="16"/>
    <s v="Physical"/>
    <x v="4"/>
    <n v="2"/>
    <n v="3"/>
    <n v="6"/>
    <x v="0"/>
    <x v="2"/>
    <x v="1"/>
    <n v="1"/>
    <n v="3"/>
    <n v="3"/>
    <s v="Reduced"/>
    <x v="0"/>
    <x v="1"/>
    <s v="Department Supervisor"/>
    <x v="300"/>
  </r>
  <r>
    <x v="374"/>
    <d v="2025-08-13T00:00:00"/>
    <x v="6"/>
    <s v="Workshop"/>
    <x v="7"/>
    <x v="7"/>
    <s v="Chemical"/>
    <x v="1"/>
    <n v="3"/>
    <n v="2"/>
    <n v="6"/>
    <x v="0"/>
    <x v="7"/>
    <x v="8"/>
    <n v="2"/>
    <n v="2"/>
    <n v="4"/>
    <s v="Reduced"/>
    <x v="0"/>
    <x v="0"/>
    <s v="HSE Engineer"/>
    <x v="301"/>
  </r>
  <r>
    <x v="375"/>
    <d v="2026-02-16T00:00:00"/>
    <x v="7"/>
    <s v="Utilities Area"/>
    <x v="16"/>
    <x v="16"/>
    <s v="Physical"/>
    <x v="19"/>
    <n v="3"/>
    <n v="5"/>
    <n v="15"/>
    <x v="1"/>
    <x v="6"/>
    <x v="4"/>
    <n v="2"/>
    <n v="4"/>
    <n v="8"/>
    <s v="Reduced"/>
    <x v="2"/>
    <x v="0"/>
    <s v="Department Supervisor"/>
    <x v="302"/>
  </r>
  <r>
    <x v="376"/>
    <d v="2026-11-02T00:00:00"/>
    <x v="0"/>
    <s v="Plant Area B"/>
    <x v="0"/>
    <x v="0"/>
    <s v="Thermal"/>
    <x v="0"/>
    <n v="2"/>
    <n v="3"/>
    <n v="6"/>
    <x v="0"/>
    <x v="2"/>
    <x v="4"/>
    <n v="1"/>
    <n v="3"/>
    <n v="3"/>
    <s v="Reduced"/>
    <x v="0"/>
    <x v="0"/>
    <s v="HSE Engineer"/>
    <x v="303"/>
  </r>
  <r>
    <x v="377"/>
    <d v="2026-05-13T00:00:00"/>
    <x v="2"/>
    <s v="Plant Area B"/>
    <x v="2"/>
    <x v="2"/>
    <s v="Chemical"/>
    <x v="6"/>
    <n v="2"/>
    <n v="4"/>
    <n v="8"/>
    <x v="0"/>
    <x v="4"/>
    <x v="9"/>
    <n v="1"/>
    <n v="4"/>
    <n v="4"/>
    <s v="Reduced"/>
    <x v="0"/>
    <x v="2"/>
    <s v="Department Supervisor"/>
    <x v="304"/>
  </r>
  <r>
    <x v="378"/>
    <d v="2025-12-24T00:00:00"/>
    <x v="4"/>
    <s v="Office"/>
    <x v="17"/>
    <x v="17"/>
    <s v="Confined Space"/>
    <x v="15"/>
    <n v="3"/>
    <n v="4"/>
    <n v="12"/>
    <x v="1"/>
    <x v="7"/>
    <x v="1"/>
    <n v="2"/>
    <n v="4"/>
    <n v="8"/>
    <s v="Reduced"/>
    <x v="2"/>
    <x v="2"/>
    <s v="HSE Officer"/>
    <x v="305"/>
  </r>
  <r>
    <x v="379"/>
    <d v="2025-07-16T00:00:00"/>
    <x v="7"/>
    <s v="Workshop"/>
    <x v="16"/>
    <x v="16"/>
    <s v="Physical"/>
    <x v="19"/>
    <n v="4"/>
    <n v="2"/>
    <n v="8"/>
    <x v="0"/>
    <x v="4"/>
    <x v="9"/>
    <n v="4"/>
    <n v="2"/>
    <n v="8"/>
    <s v="No Reduction"/>
    <x v="2"/>
    <x v="0"/>
    <s v="HSE Engineer"/>
    <x v="306"/>
  </r>
  <r>
    <x v="380"/>
    <d v="2026-09-09T00:00:00"/>
    <x v="3"/>
    <s v="Laboratory"/>
    <x v="3"/>
    <x v="3"/>
    <s v="Ergonomic"/>
    <x v="18"/>
    <n v="3"/>
    <n v="5"/>
    <n v="15"/>
    <x v="1"/>
    <x v="1"/>
    <x v="5"/>
    <n v="1"/>
    <n v="4"/>
    <n v="4"/>
    <s v="Reduced"/>
    <x v="0"/>
    <x v="1"/>
    <s v="Production Supervisor"/>
    <x v="307"/>
  </r>
  <r>
    <x v="381"/>
    <d v="2025-11-30T00:00:00"/>
    <x v="7"/>
    <s v="Office"/>
    <x v="15"/>
    <x v="15"/>
    <s v="Vehicle / Traffic"/>
    <x v="4"/>
    <n v="3"/>
    <n v="5"/>
    <n v="15"/>
    <x v="1"/>
    <x v="5"/>
    <x v="4"/>
    <n v="1"/>
    <n v="5"/>
    <n v="5"/>
    <s v="Reduced"/>
    <x v="2"/>
    <x v="2"/>
    <s v="HSE Officer"/>
    <x v="308"/>
  </r>
  <r>
    <x v="382"/>
    <d v="2026-08-19T00:00:00"/>
    <x v="0"/>
    <s v="Utilities Area"/>
    <x v="0"/>
    <x v="0"/>
    <s v="Thermal"/>
    <x v="0"/>
    <n v="4"/>
    <n v="5"/>
    <n v="20"/>
    <x v="2"/>
    <x v="0"/>
    <x v="6"/>
    <n v="3"/>
    <n v="4"/>
    <n v="12"/>
    <s v="Reduced"/>
    <x v="1"/>
    <x v="1"/>
    <s v="HSE Engineer"/>
    <x v="309"/>
  </r>
  <r>
    <x v="383"/>
    <d v="2025-07-31T00:00:00"/>
    <x v="5"/>
    <s v="Laboratory"/>
    <x v="10"/>
    <x v="10"/>
    <s v="Electrical"/>
    <x v="5"/>
    <n v="3"/>
    <n v="4"/>
    <n v="12"/>
    <x v="1"/>
    <x v="2"/>
    <x v="6"/>
    <n v="2"/>
    <n v="4"/>
    <n v="8"/>
    <s v="Reduced"/>
    <x v="2"/>
    <x v="1"/>
    <s v="Production Supervisor"/>
    <x v="32"/>
  </r>
  <r>
    <x v="384"/>
    <d v="2025-09-11T00:00:00"/>
    <x v="5"/>
    <s v="Workshop"/>
    <x v="10"/>
    <x v="10"/>
    <s v="Electrical"/>
    <x v="4"/>
    <n v="5"/>
    <n v="2"/>
    <n v="10"/>
    <x v="1"/>
    <x v="1"/>
    <x v="2"/>
    <n v="5"/>
    <n v="1"/>
    <n v="5"/>
    <s v="Reduced"/>
    <x v="2"/>
    <x v="0"/>
    <s v="Maintenance Supervisor"/>
    <x v="310"/>
  </r>
  <r>
    <x v="385"/>
    <d v="2025-10-08T00:00:00"/>
    <x v="6"/>
    <s v="Workshop"/>
    <x v="14"/>
    <x v="14"/>
    <s v="Pressure"/>
    <x v="13"/>
    <n v="2"/>
    <n v="2"/>
    <n v="4"/>
    <x v="3"/>
    <x v="3"/>
    <x v="0"/>
    <n v="2"/>
    <n v="2"/>
    <n v="4"/>
    <s v="Reduced"/>
    <x v="0"/>
    <x v="2"/>
    <s v="Production Supervisor"/>
    <x v="198"/>
  </r>
  <r>
    <x v="386"/>
    <d v="2025-04-26T00:00:00"/>
    <x v="3"/>
    <s v="Workshop"/>
    <x v="3"/>
    <x v="3"/>
    <s v="Ergonomic"/>
    <x v="3"/>
    <n v="5"/>
    <n v="5"/>
    <n v="25"/>
    <x v="2"/>
    <x v="7"/>
    <x v="9"/>
    <n v="4"/>
    <n v="5"/>
    <n v="20"/>
    <s v="Reduced"/>
    <x v="3"/>
    <x v="2"/>
    <s v="HSE Officer"/>
    <x v="52"/>
  </r>
  <r>
    <x v="387"/>
    <d v="2025-04-07T00:00:00"/>
    <x v="0"/>
    <s v="Utilities Area"/>
    <x v="13"/>
    <x v="13"/>
    <s v="Mechanical"/>
    <x v="4"/>
    <n v="5"/>
    <n v="5"/>
    <n v="25"/>
    <x v="2"/>
    <x v="4"/>
    <x v="7"/>
    <n v="4"/>
    <n v="4"/>
    <n v="16"/>
    <s v="Reduced"/>
    <x v="1"/>
    <x v="1"/>
    <s v="Department Supervisor"/>
    <x v="311"/>
  </r>
  <r>
    <x v="388"/>
    <d v="2026-06-29T00:00:00"/>
    <x v="6"/>
    <s v="Warehouse"/>
    <x v="7"/>
    <x v="7"/>
    <s v="Chemical"/>
    <x v="2"/>
    <n v="4"/>
    <n v="4"/>
    <n v="16"/>
    <x v="1"/>
    <x v="2"/>
    <x v="8"/>
    <n v="3"/>
    <n v="3"/>
    <n v="9"/>
    <s v="Reduced"/>
    <x v="2"/>
    <x v="1"/>
    <s v="Department Supervisor"/>
    <x v="43"/>
  </r>
  <r>
    <x v="389"/>
    <d v="2025-01-02T00:00:00"/>
    <x v="0"/>
    <s v="Utilities Area"/>
    <x v="13"/>
    <x v="13"/>
    <s v="Mechanical"/>
    <x v="4"/>
    <n v="5"/>
    <n v="5"/>
    <n v="25"/>
    <x v="2"/>
    <x v="6"/>
    <x v="1"/>
    <n v="4"/>
    <n v="5"/>
    <n v="20"/>
    <s v="Reduced"/>
    <x v="3"/>
    <x v="2"/>
    <s v="Department Supervisor"/>
    <x v="312"/>
  </r>
  <r>
    <x v="390"/>
    <d v="2025-12-01T00:00:00"/>
    <x v="6"/>
    <s v="Warehouse"/>
    <x v="18"/>
    <x v="18"/>
    <s v="Pressure / Thermal"/>
    <x v="9"/>
    <n v="4"/>
    <n v="5"/>
    <n v="20"/>
    <x v="2"/>
    <x v="4"/>
    <x v="9"/>
    <n v="3"/>
    <n v="5"/>
    <n v="15"/>
    <s v="Reduced"/>
    <x v="1"/>
    <x v="0"/>
    <s v="Maintenance Supervisor"/>
    <x v="313"/>
  </r>
  <r>
    <x v="391"/>
    <d v="2025-05-10T00:00:00"/>
    <x v="0"/>
    <s v="Office"/>
    <x v="13"/>
    <x v="13"/>
    <s v="Mechanical"/>
    <x v="7"/>
    <n v="4"/>
    <n v="5"/>
    <n v="20"/>
    <x v="2"/>
    <x v="0"/>
    <x v="9"/>
    <n v="2"/>
    <n v="5"/>
    <n v="10"/>
    <s v="Reduced"/>
    <x v="1"/>
    <x v="2"/>
    <s v="HSE Officer"/>
    <x v="314"/>
  </r>
  <r>
    <x v="392"/>
    <d v="2025-09-18T00:00:00"/>
    <x v="6"/>
    <s v="Laboratory"/>
    <x v="18"/>
    <x v="18"/>
    <s v="Pressure / Thermal"/>
    <x v="22"/>
    <n v="5"/>
    <n v="5"/>
    <n v="25"/>
    <x v="2"/>
    <x v="3"/>
    <x v="7"/>
    <n v="4"/>
    <n v="5"/>
    <n v="20"/>
    <s v="Reduced"/>
    <x v="3"/>
    <x v="2"/>
    <s v="Production Supervisor"/>
    <x v="315"/>
  </r>
  <r>
    <x v="393"/>
    <d v="2026-09-10T00:00:00"/>
    <x v="6"/>
    <s v="Workshop"/>
    <x v="18"/>
    <x v="18"/>
    <s v="Pressure / Thermal"/>
    <x v="4"/>
    <n v="4"/>
    <n v="5"/>
    <n v="20"/>
    <x v="2"/>
    <x v="7"/>
    <x v="6"/>
    <n v="3"/>
    <n v="5"/>
    <n v="15"/>
    <s v="Reduced"/>
    <x v="1"/>
    <x v="2"/>
    <s v="Production Supervisor"/>
    <x v="316"/>
  </r>
  <r>
    <x v="394"/>
    <d v="2025-09-02T00:00:00"/>
    <x v="6"/>
    <s v="Plant Area B"/>
    <x v="7"/>
    <x v="7"/>
    <s v="Chemical"/>
    <x v="1"/>
    <n v="2"/>
    <n v="4"/>
    <n v="8"/>
    <x v="0"/>
    <x v="1"/>
    <x v="6"/>
    <n v="1"/>
    <n v="3"/>
    <n v="3"/>
    <s v="Reduced"/>
    <x v="0"/>
    <x v="2"/>
    <s v="Maintenance Supervisor"/>
    <x v="317"/>
  </r>
  <r>
    <x v="395"/>
    <d v="2025-07-25T00:00:00"/>
    <x v="7"/>
    <s v="Utilities Area"/>
    <x v="16"/>
    <x v="16"/>
    <s v="Physical"/>
    <x v="4"/>
    <n v="3"/>
    <n v="2"/>
    <n v="6"/>
    <x v="0"/>
    <x v="2"/>
    <x v="5"/>
    <n v="2"/>
    <n v="1"/>
    <n v="2"/>
    <s v="Reduced"/>
    <x v="0"/>
    <x v="0"/>
    <s v="Maintenance Supervisor"/>
    <x v="218"/>
  </r>
  <r>
    <x v="396"/>
    <d v="2026-08-12T00:00:00"/>
    <x v="7"/>
    <s v="Utilities Area"/>
    <x v="15"/>
    <x v="15"/>
    <s v="Vehicle / Traffic"/>
    <x v="4"/>
    <n v="5"/>
    <n v="5"/>
    <n v="25"/>
    <x v="2"/>
    <x v="2"/>
    <x v="0"/>
    <n v="4"/>
    <n v="5"/>
    <n v="20"/>
    <s v="Reduced"/>
    <x v="3"/>
    <x v="2"/>
    <s v="Maintenance Supervisor"/>
    <x v="194"/>
  </r>
  <r>
    <x v="397"/>
    <d v="2026-05-10T00:00:00"/>
    <x v="0"/>
    <s v="Plant Area A"/>
    <x v="11"/>
    <x v="11"/>
    <s v="Excavation"/>
    <x v="16"/>
    <n v="3"/>
    <n v="4"/>
    <n v="12"/>
    <x v="1"/>
    <x v="0"/>
    <x v="9"/>
    <n v="3"/>
    <n v="3"/>
    <n v="9"/>
    <s v="Reduced"/>
    <x v="2"/>
    <x v="0"/>
    <s v="HSE Officer"/>
    <x v="120"/>
  </r>
  <r>
    <x v="398"/>
    <d v="2025-01-21T00:00:00"/>
    <x v="5"/>
    <s v="Office"/>
    <x v="10"/>
    <x v="10"/>
    <s v="Electrical"/>
    <x v="9"/>
    <n v="4"/>
    <n v="2"/>
    <n v="8"/>
    <x v="0"/>
    <x v="6"/>
    <x v="1"/>
    <n v="3"/>
    <n v="1"/>
    <n v="3"/>
    <s v="Reduced"/>
    <x v="0"/>
    <x v="1"/>
    <s v="HSE Officer"/>
    <x v="318"/>
  </r>
  <r>
    <x v="399"/>
    <d v="2025-05-16T00:00:00"/>
    <x v="6"/>
    <s v="Office"/>
    <x v="18"/>
    <x v="18"/>
    <s v="Pressure / Thermal"/>
    <x v="4"/>
    <n v="2"/>
    <n v="3"/>
    <n v="6"/>
    <x v="0"/>
    <x v="5"/>
    <x v="9"/>
    <n v="2"/>
    <n v="2"/>
    <n v="4"/>
    <s v="Reduced"/>
    <x v="0"/>
    <x v="0"/>
    <s v="Maintenance Supervisor"/>
    <x v="67"/>
  </r>
  <r>
    <x v="400"/>
    <d v="2026-01-23T00:00:00"/>
    <x v="1"/>
    <s v="Laboratory"/>
    <x v="12"/>
    <x v="12"/>
    <s v="Mechanical"/>
    <x v="4"/>
    <n v="4"/>
    <n v="2"/>
    <n v="8"/>
    <x v="0"/>
    <x v="0"/>
    <x v="8"/>
    <n v="3"/>
    <n v="2"/>
    <n v="6"/>
    <s v="Reduced"/>
    <x v="2"/>
    <x v="2"/>
    <s v="Department Supervisor"/>
    <x v="241"/>
  </r>
  <r>
    <x v="401"/>
    <d v="2026-01-20T00:00:00"/>
    <x v="0"/>
    <s v="Warehouse"/>
    <x v="11"/>
    <x v="11"/>
    <s v="Excavation"/>
    <x v="4"/>
    <n v="3"/>
    <n v="5"/>
    <n v="15"/>
    <x v="1"/>
    <x v="6"/>
    <x v="9"/>
    <n v="2"/>
    <n v="4"/>
    <n v="8"/>
    <s v="Reduced"/>
    <x v="2"/>
    <x v="1"/>
    <s v="Production Supervisor"/>
    <x v="285"/>
  </r>
  <r>
    <x v="402"/>
    <d v="2025-02-18T00:00:00"/>
    <x v="0"/>
    <s v="Utilities Area"/>
    <x v="11"/>
    <x v="11"/>
    <s v="Excavation"/>
    <x v="13"/>
    <n v="4"/>
    <n v="2"/>
    <n v="8"/>
    <x v="0"/>
    <x v="5"/>
    <x v="1"/>
    <n v="2"/>
    <n v="2"/>
    <n v="4"/>
    <s v="Reduced"/>
    <x v="0"/>
    <x v="1"/>
    <s v="Department Supervisor"/>
    <x v="319"/>
  </r>
  <r>
    <x v="403"/>
    <d v="2025-02-04T00:00:00"/>
    <x v="5"/>
    <s v="Utilities Area"/>
    <x v="5"/>
    <x v="5"/>
    <s v="Electrical"/>
    <x v="5"/>
    <n v="4"/>
    <n v="4"/>
    <n v="16"/>
    <x v="1"/>
    <x v="2"/>
    <x v="7"/>
    <n v="3"/>
    <n v="4"/>
    <n v="12"/>
    <s v="Reduced"/>
    <x v="1"/>
    <x v="0"/>
    <s v="HSE Officer"/>
    <x v="320"/>
  </r>
  <r>
    <x v="404"/>
    <d v="2025-08-21T00:00:00"/>
    <x v="7"/>
    <s v="Laboratory"/>
    <x v="15"/>
    <x v="15"/>
    <s v="Vehicle / Traffic"/>
    <x v="13"/>
    <n v="4"/>
    <n v="4"/>
    <n v="16"/>
    <x v="1"/>
    <x v="6"/>
    <x v="3"/>
    <n v="4"/>
    <n v="3"/>
    <n v="12"/>
    <s v="Reduced"/>
    <x v="1"/>
    <x v="0"/>
    <s v="HSE Engineer"/>
    <x v="321"/>
  </r>
  <r>
    <x v="405"/>
    <d v="2025-10-01T00:00:00"/>
    <x v="7"/>
    <s v="Office"/>
    <x v="15"/>
    <x v="15"/>
    <s v="Vehicle / Traffic"/>
    <x v="4"/>
    <n v="2"/>
    <n v="3"/>
    <n v="6"/>
    <x v="0"/>
    <x v="3"/>
    <x v="0"/>
    <n v="1"/>
    <n v="2"/>
    <n v="2"/>
    <s v="Reduced"/>
    <x v="0"/>
    <x v="2"/>
    <s v="Production Supervisor"/>
    <x v="322"/>
  </r>
  <r>
    <x v="406"/>
    <d v="2025-01-04T00:00:00"/>
    <x v="1"/>
    <s v="Laboratory"/>
    <x v="1"/>
    <x v="1"/>
    <s v="Fire / Chemical"/>
    <x v="1"/>
    <n v="2"/>
    <n v="2"/>
    <n v="4"/>
    <x v="3"/>
    <x v="3"/>
    <x v="2"/>
    <n v="1"/>
    <n v="2"/>
    <n v="2"/>
    <s v="Reduced"/>
    <x v="0"/>
    <x v="0"/>
    <s v="Maintenance Supervisor"/>
    <x v="323"/>
  </r>
  <r>
    <x v="407"/>
    <d v="2025-12-10T00:00:00"/>
    <x v="7"/>
    <s v="Warehouse"/>
    <x v="16"/>
    <x v="16"/>
    <s v="Physical"/>
    <x v="19"/>
    <n v="5"/>
    <n v="3"/>
    <n v="15"/>
    <x v="1"/>
    <x v="0"/>
    <x v="2"/>
    <n v="4"/>
    <n v="3"/>
    <n v="12"/>
    <s v="Reduced"/>
    <x v="1"/>
    <x v="0"/>
    <s v="HSE Engineer"/>
    <x v="324"/>
  </r>
  <r>
    <x v="408"/>
    <d v="2025-01-29T00:00:00"/>
    <x v="0"/>
    <s v="Warehouse"/>
    <x v="9"/>
    <x v="9"/>
    <s v="Mechanical"/>
    <x v="4"/>
    <n v="5"/>
    <n v="5"/>
    <n v="25"/>
    <x v="2"/>
    <x v="4"/>
    <x v="9"/>
    <n v="3"/>
    <n v="4"/>
    <n v="12"/>
    <s v="Reduced"/>
    <x v="1"/>
    <x v="0"/>
    <s v="HSE Engineer"/>
    <x v="186"/>
  </r>
  <r>
    <x v="409"/>
    <d v="2025-07-26T00:00:00"/>
    <x v="1"/>
    <s v="Warehouse"/>
    <x v="1"/>
    <x v="1"/>
    <s v="Fire / Chemical"/>
    <x v="9"/>
    <n v="3"/>
    <n v="5"/>
    <n v="15"/>
    <x v="1"/>
    <x v="0"/>
    <x v="1"/>
    <n v="3"/>
    <n v="4"/>
    <n v="12"/>
    <s v="Reduced"/>
    <x v="1"/>
    <x v="0"/>
    <s v="Maintenance Supervisor"/>
    <x v="208"/>
  </r>
  <r>
    <x v="410"/>
    <d v="2026-10-15T00:00:00"/>
    <x v="0"/>
    <s v="Laboratory"/>
    <x v="9"/>
    <x v="9"/>
    <s v="Mechanical"/>
    <x v="10"/>
    <n v="3"/>
    <n v="2"/>
    <n v="6"/>
    <x v="0"/>
    <x v="0"/>
    <x v="8"/>
    <n v="2"/>
    <n v="2"/>
    <n v="4"/>
    <s v="Reduced"/>
    <x v="0"/>
    <x v="1"/>
    <s v="Maintenance Supervisor"/>
    <x v="96"/>
  </r>
  <r>
    <x v="411"/>
    <d v="2026-10-08T00:00:00"/>
    <x v="5"/>
    <s v="Laboratory"/>
    <x v="5"/>
    <x v="5"/>
    <s v="Electrical"/>
    <x v="5"/>
    <n v="4"/>
    <n v="3"/>
    <n v="12"/>
    <x v="1"/>
    <x v="7"/>
    <x v="0"/>
    <n v="3"/>
    <n v="3"/>
    <n v="9"/>
    <s v="Reduced"/>
    <x v="2"/>
    <x v="0"/>
    <s v="Production Supervisor"/>
    <x v="325"/>
  </r>
  <r>
    <x v="412"/>
    <d v="2026-02-15T00:00:00"/>
    <x v="0"/>
    <s v="Workshop"/>
    <x v="11"/>
    <x v="11"/>
    <s v="Excavation"/>
    <x v="16"/>
    <n v="4"/>
    <n v="2"/>
    <n v="8"/>
    <x v="0"/>
    <x v="7"/>
    <x v="6"/>
    <n v="4"/>
    <n v="2"/>
    <n v="8"/>
    <s v="No Reduction"/>
    <x v="2"/>
    <x v="1"/>
    <s v="Production Supervisor"/>
    <x v="42"/>
  </r>
  <r>
    <x v="413"/>
    <d v="2026-05-27T00:00:00"/>
    <x v="0"/>
    <s v="Plant Area A"/>
    <x v="11"/>
    <x v="11"/>
    <s v="Excavation"/>
    <x v="13"/>
    <n v="3"/>
    <n v="4"/>
    <n v="12"/>
    <x v="1"/>
    <x v="3"/>
    <x v="4"/>
    <n v="2"/>
    <n v="3"/>
    <n v="6"/>
    <s v="Reduced"/>
    <x v="2"/>
    <x v="2"/>
    <s v="HSE Officer"/>
    <x v="108"/>
  </r>
  <r>
    <x v="414"/>
    <d v="2025-02-28T00:00:00"/>
    <x v="4"/>
    <s v="Warehouse"/>
    <x v="8"/>
    <x v="8"/>
    <s v="Mechanical"/>
    <x v="7"/>
    <n v="3"/>
    <n v="5"/>
    <n v="15"/>
    <x v="1"/>
    <x v="3"/>
    <x v="1"/>
    <n v="2"/>
    <n v="5"/>
    <n v="10"/>
    <s v="Reduced"/>
    <x v="1"/>
    <x v="0"/>
    <s v="Department Supervisor"/>
    <x v="326"/>
  </r>
  <r>
    <x v="415"/>
    <d v="2026-06-26T00:00:00"/>
    <x v="7"/>
    <s v="Warehouse"/>
    <x v="15"/>
    <x v="15"/>
    <s v="Vehicle / Traffic"/>
    <x v="21"/>
    <n v="4"/>
    <n v="3"/>
    <n v="12"/>
    <x v="1"/>
    <x v="3"/>
    <x v="7"/>
    <n v="3"/>
    <n v="2"/>
    <n v="6"/>
    <s v="Reduced"/>
    <x v="2"/>
    <x v="2"/>
    <s v="Production Supervisor"/>
    <x v="327"/>
  </r>
  <r>
    <x v="416"/>
    <d v="2025-09-06T00:00:00"/>
    <x v="1"/>
    <s v="Laboratory"/>
    <x v="1"/>
    <x v="1"/>
    <s v="Fire / Chemical"/>
    <x v="8"/>
    <n v="3"/>
    <n v="5"/>
    <n v="15"/>
    <x v="1"/>
    <x v="5"/>
    <x v="6"/>
    <n v="1"/>
    <n v="5"/>
    <n v="5"/>
    <s v="Reduced"/>
    <x v="2"/>
    <x v="2"/>
    <s v="Maintenance Supervisor"/>
    <x v="21"/>
  </r>
  <r>
    <x v="417"/>
    <d v="2025-12-02T00:00:00"/>
    <x v="2"/>
    <s v="Warehouse"/>
    <x v="2"/>
    <x v="2"/>
    <s v="Chemical"/>
    <x v="2"/>
    <n v="3"/>
    <n v="2"/>
    <n v="6"/>
    <x v="0"/>
    <x v="1"/>
    <x v="0"/>
    <n v="2"/>
    <n v="1"/>
    <n v="2"/>
    <s v="Reduced"/>
    <x v="0"/>
    <x v="0"/>
    <s v="HSE Engineer"/>
    <x v="328"/>
  </r>
  <r>
    <x v="418"/>
    <d v="2025-08-08T00:00:00"/>
    <x v="5"/>
    <s v="Utilities Area"/>
    <x v="5"/>
    <x v="5"/>
    <s v="Electrical"/>
    <x v="4"/>
    <n v="4"/>
    <n v="2"/>
    <n v="8"/>
    <x v="0"/>
    <x v="0"/>
    <x v="4"/>
    <n v="4"/>
    <n v="2"/>
    <n v="8"/>
    <s v="Reduced"/>
    <x v="2"/>
    <x v="2"/>
    <s v="Production Supervisor"/>
    <x v="320"/>
  </r>
  <r>
    <x v="419"/>
    <d v="2025-01-21T00:00:00"/>
    <x v="6"/>
    <s v="Plant Area A"/>
    <x v="14"/>
    <x v="14"/>
    <s v="Pressure"/>
    <x v="4"/>
    <n v="5"/>
    <n v="4"/>
    <n v="20"/>
    <x v="2"/>
    <x v="0"/>
    <x v="4"/>
    <n v="5"/>
    <n v="3"/>
    <n v="15"/>
    <s v="Reduced"/>
    <x v="1"/>
    <x v="1"/>
    <s v="Maintenance Supervisor"/>
    <x v="329"/>
  </r>
  <r>
    <x v="420"/>
    <d v="2025-06-16T00:00:00"/>
    <x v="6"/>
    <s v="Warehouse"/>
    <x v="14"/>
    <x v="14"/>
    <s v="Pressure"/>
    <x v="13"/>
    <n v="2"/>
    <n v="3"/>
    <n v="6"/>
    <x v="0"/>
    <x v="1"/>
    <x v="7"/>
    <n v="1"/>
    <n v="2"/>
    <n v="2"/>
    <s v="Reduced"/>
    <x v="0"/>
    <x v="2"/>
    <s v="Production Supervisor"/>
    <x v="330"/>
  </r>
  <r>
    <x v="421"/>
    <d v="2025-10-11T00:00:00"/>
    <x v="5"/>
    <s v="Office"/>
    <x v="5"/>
    <x v="5"/>
    <s v="Electrical"/>
    <x v="5"/>
    <n v="5"/>
    <n v="4"/>
    <n v="20"/>
    <x v="2"/>
    <x v="3"/>
    <x v="1"/>
    <n v="4"/>
    <n v="4"/>
    <n v="16"/>
    <s v="Reduced"/>
    <x v="1"/>
    <x v="0"/>
    <s v="Maintenance Supervisor"/>
    <x v="261"/>
  </r>
  <r>
    <x v="422"/>
    <d v="2025-07-11T00:00:00"/>
    <x v="6"/>
    <s v="Utilities Area"/>
    <x v="7"/>
    <x v="7"/>
    <s v="Chemical"/>
    <x v="1"/>
    <n v="2"/>
    <n v="3"/>
    <n v="6"/>
    <x v="0"/>
    <x v="1"/>
    <x v="8"/>
    <n v="1"/>
    <n v="3"/>
    <n v="3"/>
    <s v="Reduced"/>
    <x v="0"/>
    <x v="0"/>
    <s v="Maintenance Supervisor"/>
    <x v="331"/>
  </r>
  <r>
    <x v="423"/>
    <d v="2025-11-25T00:00:00"/>
    <x v="2"/>
    <s v="Plant Area B"/>
    <x v="2"/>
    <x v="2"/>
    <s v="Chemical"/>
    <x v="6"/>
    <n v="2"/>
    <n v="2"/>
    <n v="4"/>
    <x v="3"/>
    <x v="2"/>
    <x v="8"/>
    <n v="1"/>
    <n v="2"/>
    <n v="2"/>
    <s v="Reduced"/>
    <x v="0"/>
    <x v="1"/>
    <s v="HSE Engineer"/>
    <x v="179"/>
  </r>
  <r>
    <x v="424"/>
    <d v="2026-11-27T00:00:00"/>
    <x v="4"/>
    <s v="Workshop"/>
    <x v="8"/>
    <x v="8"/>
    <s v="Mechanical"/>
    <x v="10"/>
    <n v="3"/>
    <n v="4"/>
    <n v="12"/>
    <x v="1"/>
    <x v="4"/>
    <x v="8"/>
    <n v="2"/>
    <n v="3"/>
    <n v="6"/>
    <s v="Reduced"/>
    <x v="2"/>
    <x v="2"/>
    <s v="HSE Engineer"/>
    <x v="332"/>
  </r>
  <r>
    <x v="425"/>
    <d v="2025-10-14T00:00:00"/>
    <x v="1"/>
    <s v="Plant Area B"/>
    <x v="1"/>
    <x v="1"/>
    <s v="Fire / Chemical"/>
    <x v="9"/>
    <n v="5"/>
    <n v="4"/>
    <n v="20"/>
    <x v="2"/>
    <x v="5"/>
    <x v="3"/>
    <n v="3"/>
    <n v="4"/>
    <n v="12"/>
    <s v="Reduced"/>
    <x v="1"/>
    <x v="1"/>
    <s v="Department Supervisor"/>
    <x v="333"/>
  </r>
  <r>
    <x v="426"/>
    <d v="2026-09-17T00:00:00"/>
    <x v="1"/>
    <s v="Office"/>
    <x v="1"/>
    <x v="1"/>
    <s v="Fire / Chemical"/>
    <x v="9"/>
    <n v="3"/>
    <n v="5"/>
    <n v="15"/>
    <x v="1"/>
    <x v="7"/>
    <x v="5"/>
    <n v="2"/>
    <n v="4"/>
    <n v="8"/>
    <s v="Reduced"/>
    <x v="2"/>
    <x v="1"/>
    <s v="HSE Officer"/>
    <x v="334"/>
  </r>
  <r>
    <x v="427"/>
    <d v="2025-05-13T00:00:00"/>
    <x v="6"/>
    <s v="Plant Area B"/>
    <x v="18"/>
    <x v="18"/>
    <s v="Pressure / Thermal"/>
    <x v="22"/>
    <n v="2"/>
    <n v="3"/>
    <n v="6"/>
    <x v="0"/>
    <x v="1"/>
    <x v="2"/>
    <n v="1"/>
    <n v="3"/>
    <n v="3"/>
    <s v="Reduced"/>
    <x v="0"/>
    <x v="2"/>
    <s v="Department Supervisor"/>
    <x v="161"/>
  </r>
  <r>
    <x v="428"/>
    <d v="2025-01-15T00:00:00"/>
    <x v="2"/>
    <s v="Utilities Area"/>
    <x v="2"/>
    <x v="2"/>
    <s v="Chemical"/>
    <x v="6"/>
    <n v="5"/>
    <n v="3"/>
    <n v="15"/>
    <x v="1"/>
    <x v="5"/>
    <x v="2"/>
    <n v="4"/>
    <n v="3"/>
    <n v="12"/>
    <s v="Reduced"/>
    <x v="1"/>
    <x v="2"/>
    <s v="Production Supervisor"/>
    <x v="335"/>
  </r>
  <r>
    <x v="429"/>
    <d v="2026-05-18T00:00:00"/>
    <x v="7"/>
    <s v="Office"/>
    <x v="16"/>
    <x v="16"/>
    <s v="Physical"/>
    <x v="19"/>
    <n v="4"/>
    <n v="5"/>
    <n v="20"/>
    <x v="2"/>
    <x v="2"/>
    <x v="1"/>
    <n v="4"/>
    <n v="5"/>
    <n v="20"/>
    <s v="No Reduction"/>
    <x v="3"/>
    <x v="1"/>
    <s v="Department Supervisor"/>
    <x v="336"/>
  </r>
  <r>
    <x v="430"/>
    <d v="2026-09-14T00:00:00"/>
    <x v="6"/>
    <s v="Plant Area A"/>
    <x v="14"/>
    <x v="14"/>
    <s v="Pressure"/>
    <x v="14"/>
    <n v="5"/>
    <n v="2"/>
    <n v="10"/>
    <x v="1"/>
    <x v="6"/>
    <x v="4"/>
    <n v="4"/>
    <n v="1"/>
    <n v="4"/>
    <s v="Reduced"/>
    <x v="0"/>
    <x v="1"/>
    <s v="Production Supervisor"/>
    <x v="337"/>
  </r>
  <r>
    <x v="431"/>
    <d v="2025-03-14T00:00:00"/>
    <x v="1"/>
    <s v="Laboratory"/>
    <x v="12"/>
    <x v="12"/>
    <s v="Mechanical"/>
    <x v="4"/>
    <n v="2"/>
    <n v="5"/>
    <n v="10"/>
    <x v="1"/>
    <x v="4"/>
    <x v="1"/>
    <n v="2"/>
    <n v="4"/>
    <n v="8"/>
    <s v="Reduced"/>
    <x v="2"/>
    <x v="0"/>
    <s v="HSE Engineer"/>
    <x v="266"/>
  </r>
  <r>
    <x v="432"/>
    <d v="2026-12-13T00:00:00"/>
    <x v="7"/>
    <s v="Office"/>
    <x v="15"/>
    <x v="15"/>
    <s v="Vehicle / Traffic"/>
    <x v="21"/>
    <n v="5"/>
    <n v="5"/>
    <n v="25"/>
    <x v="2"/>
    <x v="7"/>
    <x v="0"/>
    <n v="5"/>
    <n v="4"/>
    <n v="20"/>
    <s v="Reduced"/>
    <x v="3"/>
    <x v="1"/>
    <s v="HSE Officer"/>
    <x v="338"/>
  </r>
  <r>
    <x v="433"/>
    <d v="2025-11-14T00:00:00"/>
    <x v="0"/>
    <s v="Utilities Area"/>
    <x v="0"/>
    <x v="0"/>
    <s v="Thermal"/>
    <x v="20"/>
    <n v="4"/>
    <n v="3"/>
    <n v="12"/>
    <x v="1"/>
    <x v="3"/>
    <x v="0"/>
    <n v="3"/>
    <n v="3"/>
    <n v="9"/>
    <s v="Reduced"/>
    <x v="2"/>
    <x v="0"/>
    <s v="HSE Officer"/>
    <x v="339"/>
  </r>
  <r>
    <x v="434"/>
    <d v="2025-11-21T00:00:00"/>
    <x v="6"/>
    <s v="Laboratory"/>
    <x v="18"/>
    <x v="18"/>
    <s v="Pressure / Thermal"/>
    <x v="9"/>
    <n v="4"/>
    <n v="4"/>
    <n v="16"/>
    <x v="1"/>
    <x v="2"/>
    <x v="4"/>
    <n v="4"/>
    <n v="3"/>
    <n v="12"/>
    <s v="Reduced"/>
    <x v="1"/>
    <x v="2"/>
    <s v="HSE Officer"/>
    <x v="151"/>
  </r>
  <r>
    <x v="435"/>
    <d v="2026-02-27T00:00:00"/>
    <x v="0"/>
    <s v="Office"/>
    <x v="11"/>
    <x v="11"/>
    <s v="Excavation"/>
    <x v="16"/>
    <n v="4"/>
    <n v="3"/>
    <n v="12"/>
    <x v="1"/>
    <x v="7"/>
    <x v="6"/>
    <n v="4"/>
    <n v="2"/>
    <n v="8"/>
    <s v="Reduced"/>
    <x v="2"/>
    <x v="0"/>
    <s v="Department Supervisor"/>
    <x v="220"/>
  </r>
  <r>
    <x v="436"/>
    <d v="2026-12-31T00:00:00"/>
    <x v="6"/>
    <s v="Laboratory"/>
    <x v="18"/>
    <x v="18"/>
    <s v="Pressure / Thermal"/>
    <x v="9"/>
    <n v="3"/>
    <n v="2"/>
    <n v="6"/>
    <x v="0"/>
    <x v="1"/>
    <x v="0"/>
    <n v="1"/>
    <n v="2"/>
    <n v="2"/>
    <s v="Reduced"/>
    <x v="0"/>
    <x v="1"/>
    <s v="Maintenance Supervisor"/>
    <x v="340"/>
  </r>
  <r>
    <x v="437"/>
    <d v="2025-05-12T00:00:00"/>
    <x v="4"/>
    <s v="Utilities Area"/>
    <x v="4"/>
    <x v="4"/>
    <s v="Mechanical"/>
    <x v="7"/>
    <n v="5"/>
    <n v="3"/>
    <n v="15"/>
    <x v="1"/>
    <x v="1"/>
    <x v="3"/>
    <n v="3"/>
    <n v="2"/>
    <n v="6"/>
    <s v="Reduced"/>
    <x v="2"/>
    <x v="2"/>
    <s v="Production Supervisor"/>
    <x v="279"/>
  </r>
  <r>
    <x v="438"/>
    <d v="2025-01-27T00:00:00"/>
    <x v="6"/>
    <s v="Laboratory"/>
    <x v="7"/>
    <x v="7"/>
    <s v="Chemical"/>
    <x v="1"/>
    <n v="4"/>
    <n v="3"/>
    <n v="12"/>
    <x v="1"/>
    <x v="1"/>
    <x v="8"/>
    <n v="3"/>
    <n v="2"/>
    <n v="6"/>
    <s v="Reduced"/>
    <x v="2"/>
    <x v="2"/>
    <s v="HSE Engineer"/>
    <x v="81"/>
  </r>
  <r>
    <x v="439"/>
    <d v="2026-05-08T00:00:00"/>
    <x v="5"/>
    <s v="Plant Area B"/>
    <x v="10"/>
    <x v="10"/>
    <s v="Electrical"/>
    <x v="5"/>
    <n v="5"/>
    <n v="3"/>
    <n v="15"/>
    <x v="1"/>
    <x v="2"/>
    <x v="3"/>
    <n v="4"/>
    <n v="2"/>
    <n v="8"/>
    <s v="Reduced"/>
    <x v="2"/>
    <x v="0"/>
    <s v="HSE Engineer"/>
    <x v="341"/>
  </r>
  <r>
    <x v="440"/>
    <d v="2026-03-17T00:00:00"/>
    <x v="0"/>
    <s v="Office"/>
    <x v="0"/>
    <x v="0"/>
    <s v="Thermal"/>
    <x v="20"/>
    <n v="3"/>
    <n v="4"/>
    <n v="12"/>
    <x v="1"/>
    <x v="6"/>
    <x v="0"/>
    <n v="2"/>
    <n v="4"/>
    <n v="8"/>
    <s v="Reduced"/>
    <x v="2"/>
    <x v="0"/>
    <s v="HSE Engineer"/>
    <x v="342"/>
  </r>
  <r>
    <x v="441"/>
    <d v="2026-04-13T00:00:00"/>
    <x v="0"/>
    <s v="Plant Area B"/>
    <x v="11"/>
    <x v="11"/>
    <s v="Excavation"/>
    <x v="13"/>
    <n v="4"/>
    <n v="5"/>
    <n v="20"/>
    <x v="2"/>
    <x v="0"/>
    <x v="2"/>
    <n v="4"/>
    <n v="5"/>
    <n v="20"/>
    <s v="No Reduction"/>
    <x v="3"/>
    <x v="2"/>
    <s v="HSE Officer"/>
    <x v="96"/>
  </r>
  <r>
    <x v="442"/>
    <d v="2026-01-04T00:00:00"/>
    <x v="5"/>
    <s v="Laboratory"/>
    <x v="5"/>
    <x v="5"/>
    <s v="Electrical"/>
    <x v="9"/>
    <n v="5"/>
    <n v="5"/>
    <n v="25"/>
    <x v="2"/>
    <x v="6"/>
    <x v="2"/>
    <n v="4"/>
    <n v="5"/>
    <n v="20"/>
    <s v="Reduced"/>
    <x v="3"/>
    <x v="1"/>
    <s v="HSE Engineer"/>
    <x v="343"/>
  </r>
  <r>
    <x v="443"/>
    <d v="2025-02-07T00:00:00"/>
    <x v="4"/>
    <s v="Plant Area A"/>
    <x v="17"/>
    <x v="17"/>
    <s v="Confined Space"/>
    <x v="4"/>
    <n v="3"/>
    <n v="2"/>
    <n v="6"/>
    <x v="0"/>
    <x v="4"/>
    <x v="1"/>
    <n v="1"/>
    <n v="1"/>
    <n v="1"/>
    <s v="Reduced"/>
    <x v="0"/>
    <x v="1"/>
    <s v="Department Supervisor"/>
    <x v="344"/>
  </r>
  <r>
    <x v="444"/>
    <d v="2025-06-28T00:00:00"/>
    <x v="3"/>
    <s v="Warehouse"/>
    <x v="3"/>
    <x v="3"/>
    <s v="Ergonomic"/>
    <x v="3"/>
    <n v="5"/>
    <n v="2"/>
    <n v="10"/>
    <x v="1"/>
    <x v="5"/>
    <x v="4"/>
    <n v="4"/>
    <n v="2"/>
    <n v="8"/>
    <s v="Reduced"/>
    <x v="2"/>
    <x v="1"/>
    <s v="HSE Engineer"/>
    <x v="345"/>
  </r>
  <r>
    <x v="445"/>
    <d v="2026-07-16T00:00:00"/>
    <x v="1"/>
    <s v="Warehouse"/>
    <x v="1"/>
    <x v="1"/>
    <s v="Fire / Chemical"/>
    <x v="8"/>
    <n v="3"/>
    <n v="4"/>
    <n v="12"/>
    <x v="1"/>
    <x v="6"/>
    <x v="1"/>
    <n v="3"/>
    <n v="3"/>
    <n v="9"/>
    <s v="Reduced"/>
    <x v="2"/>
    <x v="2"/>
    <s v="HSE Engineer"/>
    <x v="306"/>
  </r>
  <r>
    <x v="446"/>
    <d v="2026-04-18T00:00:00"/>
    <x v="7"/>
    <s v="Plant Area A"/>
    <x v="16"/>
    <x v="16"/>
    <s v="Physical"/>
    <x v="19"/>
    <n v="4"/>
    <n v="3"/>
    <n v="12"/>
    <x v="1"/>
    <x v="2"/>
    <x v="2"/>
    <n v="3"/>
    <n v="3"/>
    <n v="9"/>
    <s v="Reduced"/>
    <x v="2"/>
    <x v="0"/>
    <s v="HSE Officer"/>
    <x v="346"/>
  </r>
  <r>
    <x v="447"/>
    <d v="2025-03-08T00:00:00"/>
    <x v="1"/>
    <s v="Workshop"/>
    <x v="1"/>
    <x v="1"/>
    <s v="Fire / Chemical"/>
    <x v="1"/>
    <n v="2"/>
    <n v="3"/>
    <n v="6"/>
    <x v="0"/>
    <x v="5"/>
    <x v="7"/>
    <n v="1"/>
    <n v="2"/>
    <n v="2"/>
    <s v="Reduced"/>
    <x v="0"/>
    <x v="2"/>
    <s v="HSE Engineer"/>
    <x v="347"/>
  </r>
  <r>
    <x v="448"/>
    <d v="2025-03-31T00:00:00"/>
    <x v="7"/>
    <s v="Plant Area B"/>
    <x v="16"/>
    <x v="16"/>
    <s v="Physical"/>
    <x v="19"/>
    <n v="5"/>
    <n v="5"/>
    <n v="25"/>
    <x v="2"/>
    <x v="0"/>
    <x v="0"/>
    <n v="4"/>
    <n v="5"/>
    <n v="20"/>
    <s v="Reduced"/>
    <x v="3"/>
    <x v="2"/>
    <s v="HSE Engineer"/>
    <x v="95"/>
  </r>
  <r>
    <x v="449"/>
    <d v="2025-07-08T00:00:00"/>
    <x v="2"/>
    <s v="Warehouse"/>
    <x v="2"/>
    <x v="2"/>
    <s v="Chemical"/>
    <x v="1"/>
    <n v="3"/>
    <n v="4"/>
    <n v="12"/>
    <x v="1"/>
    <x v="2"/>
    <x v="4"/>
    <n v="1"/>
    <n v="4"/>
    <n v="4"/>
    <s v="Reduced"/>
    <x v="0"/>
    <x v="0"/>
    <s v="HSE Engineer"/>
    <x v="348"/>
  </r>
  <r>
    <x v="450"/>
    <d v="2026-07-18T00:00:00"/>
    <x v="0"/>
    <s v="Workshop"/>
    <x v="9"/>
    <x v="9"/>
    <s v="Mechanical"/>
    <x v="7"/>
    <n v="2"/>
    <n v="4"/>
    <n v="8"/>
    <x v="0"/>
    <x v="1"/>
    <x v="2"/>
    <n v="1"/>
    <n v="3"/>
    <n v="3"/>
    <s v="Reduced"/>
    <x v="0"/>
    <x v="0"/>
    <s v="Maintenance Supervisor"/>
    <x v="349"/>
  </r>
  <r>
    <x v="451"/>
    <d v="2025-01-02T00:00:00"/>
    <x v="7"/>
    <s v="Office"/>
    <x v="16"/>
    <x v="16"/>
    <s v="Physical"/>
    <x v="4"/>
    <n v="4"/>
    <n v="2"/>
    <n v="8"/>
    <x v="0"/>
    <x v="3"/>
    <x v="5"/>
    <n v="2"/>
    <n v="2"/>
    <n v="4"/>
    <s v="Reduced"/>
    <x v="0"/>
    <x v="0"/>
    <s v="Production Supervisor"/>
    <x v="350"/>
  </r>
  <r>
    <x v="452"/>
    <d v="2026-07-08T00:00:00"/>
    <x v="0"/>
    <s v="Warehouse"/>
    <x v="11"/>
    <x v="11"/>
    <s v="Excavation"/>
    <x v="4"/>
    <n v="5"/>
    <n v="5"/>
    <n v="25"/>
    <x v="2"/>
    <x v="2"/>
    <x v="6"/>
    <n v="5"/>
    <n v="4"/>
    <n v="20"/>
    <s v="Reduced"/>
    <x v="3"/>
    <x v="0"/>
    <s v="Department Supervisor"/>
    <x v="351"/>
  </r>
  <r>
    <x v="453"/>
    <d v="2026-08-27T00:00:00"/>
    <x v="6"/>
    <s v="Utilities Area"/>
    <x v="14"/>
    <x v="14"/>
    <s v="Pressure"/>
    <x v="4"/>
    <n v="5"/>
    <n v="4"/>
    <n v="20"/>
    <x v="2"/>
    <x v="3"/>
    <x v="0"/>
    <n v="4"/>
    <n v="4"/>
    <n v="16"/>
    <s v="Reduced"/>
    <x v="1"/>
    <x v="0"/>
    <s v="HSE Engineer"/>
    <x v="352"/>
  </r>
  <r>
    <x v="454"/>
    <d v="2025-12-01T00:00:00"/>
    <x v="6"/>
    <s v="Office"/>
    <x v="7"/>
    <x v="7"/>
    <s v="Chemical"/>
    <x v="6"/>
    <n v="2"/>
    <n v="3"/>
    <n v="6"/>
    <x v="0"/>
    <x v="4"/>
    <x v="8"/>
    <n v="1"/>
    <n v="2"/>
    <n v="2"/>
    <s v="Reduced"/>
    <x v="0"/>
    <x v="2"/>
    <s v="Department Supervisor"/>
    <x v="353"/>
  </r>
  <r>
    <x v="455"/>
    <d v="2025-03-10T00:00:00"/>
    <x v="5"/>
    <s v="Warehouse"/>
    <x v="5"/>
    <x v="5"/>
    <s v="Electrical"/>
    <x v="9"/>
    <n v="4"/>
    <n v="5"/>
    <n v="20"/>
    <x v="2"/>
    <x v="3"/>
    <x v="6"/>
    <n v="3"/>
    <n v="5"/>
    <n v="15"/>
    <s v="Reduced"/>
    <x v="1"/>
    <x v="0"/>
    <s v="HSE Engineer"/>
    <x v="34"/>
  </r>
  <r>
    <x v="456"/>
    <d v="2026-11-07T00:00:00"/>
    <x v="0"/>
    <s v="Plant Area B"/>
    <x v="9"/>
    <x v="9"/>
    <s v="Mechanical"/>
    <x v="7"/>
    <n v="4"/>
    <n v="5"/>
    <n v="20"/>
    <x v="2"/>
    <x v="7"/>
    <x v="6"/>
    <n v="3"/>
    <n v="4"/>
    <n v="12"/>
    <s v="Reduced"/>
    <x v="1"/>
    <x v="2"/>
    <s v="HSE Engineer"/>
    <x v="69"/>
  </r>
  <r>
    <x v="457"/>
    <d v="2025-06-05T00:00:00"/>
    <x v="7"/>
    <s v="Plant Area B"/>
    <x v="15"/>
    <x v="15"/>
    <s v="Vehicle / Traffic"/>
    <x v="21"/>
    <n v="3"/>
    <n v="4"/>
    <n v="12"/>
    <x v="1"/>
    <x v="1"/>
    <x v="2"/>
    <n v="2"/>
    <n v="4"/>
    <n v="8"/>
    <s v="Reduced"/>
    <x v="2"/>
    <x v="1"/>
    <s v="Department Supervisor"/>
    <x v="354"/>
  </r>
  <r>
    <x v="458"/>
    <d v="2026-07-04T00:00:00"/>
    <x v="0"/>
    <s v="Laboratory"/>
    <x v="9"/>
    <x v="9"/>
    <s v="Mechanical"/>
    <x v="4"/>
    <n v="2"/>
    <n v="3"/>
    <n v="6"/>
    <x v="0"/>
    <x v="2"/>
    <x v="5"/>
    <n v="1"/>
    <n v="3"/>
    <n v="3"/>
    <s v="Reduced"/>
    <x v="0"/>
    <x v="2"/>
    <s v="HSE Officer"/>
    <x v="355"/>
  </r>
  <r>
    <x v="459"/>
    <d v="2025-07-22T00:00:00"/>
    <x v="0"/>
    <s v="Utilities Area"/>
    <x v="6"/>
    <x v="6"/>
    <s v="Work at Height"/>
    <x v="11"/>
    <n v="2"/>
    <n v="2"/>
    <n v="4"/>
    <x v="3"/>
    <x v="3"/>
    <x v="3"/>
    <n v="1"/>
    <n v="1"/>
    <n v="1"/>
    <s v="Reduced"/>
    <x v="0"/>
    <x v="2"/>
    <s v="HSE Engineer"/>
    <x v="356"/>
  </r>
  <r>
    <x v="460"/>
    <d v="2026-04-22T00:00:00"/>
    <x v="7"/>
    <s v="Office"/>
    <x v="16"/>
    <x v="16"/>
    <s v="Physical"/>
    <x v="4"/>
    <n v="5"/>
    <n v="2"/>
    <n v="10"/>
    <x v="1"/>
    <x v="6"/>
    <x v="5"/>
    <n v="4"/>
    <n v="2"/>
    <n v="8"/>
    <s v="Reduced"/>
    <x v="2"/>
    <x v="1"/>
    <s v="HSE Engineer"/>
    <x v="357"/>
  </r>
  <r>
    <x v="461"/>
    <d v="2026-12-30T00:00:00"/>
    <x v="0"/>
    <s v="Utilities Area"/>
    <x v="9"/>
    <x v="9"/>
    <s v="Mechanical"/>
    <x v="12"/>
    <n v="2"/>
    <n v="5"/>
    <n v="10"/>
    <x v="1"/>
    <x v="4"/>
    <x v="9"/>
    <n v="1"/>
    <n v="5"/>
    <n v="5"/>
    <s v="Reduced"/>
    <x v="2"/>
    <x v="2"/>
    <s v="HSE Engineer"/>
    <x v="358"/>
  </r>
  <r>
    <x v="462"/>
    <d v="2025-08-19T00:00:00"/>
    <x v="3"/>
    <s v="Plant Area A"/>
    <x v="3"/>
    <x v="3"/>
    <s v="Ergonomic"/>
    <x v="18"/>
    <n v="5"/>
    <n v="3"/>
    <n v="15"/>
    <x v="1"/>
    <x v="3"/>
    <x v="7"/>
    <n v="3"/>
    <n v="2"/>
    <n v="6"/>
    <s v="Reduced"/>
    <x v="2"/>
    <x v="2"/>
    <s v="Production Supervisor"/>
    <x v="359"/>
  </r>
  <r>
    <x v="463"/>
    <d v="2025-09-14T00:00:00"/>
    <x v="0"/>
    <s v="Office"/>
    <x v="13"/>
    <x v="13"/>
    <s v="Mechanical"/>
    <x v="7"/>
    <n v="3"/>
    <n v="3"/>
    <n v="9"/>
    <x v="0"/>
    <x v="0"/>
    <x v="2"/>
    <n v="1"/>
    <n v="2"/>
    <n v="2"/>
    <s v="Reduced"/>
    <x v="0"/>
    <x v="0"/>
    <s v="Production Supervisor"/>
    <x v="360"/>
  </r>
  <r>
    <x v="464"/>
    <d v="2025-10-20T00:00:00"/>
    <x v="7"/>
    <s v="Workshop"/>
    <x v="16"/>
    <x v="16"/>
    <s v="Physical"/>
    <x v="4"/>
    <n v="5"/>
    <n v="2"/>
    <n v="10"/>
    <x v="1"/>
    <x v="1"/>
    <x v="0"/>
    <n v="3"/>
    <n v="2"/>
    <n v="6"/>
    <s v="Reduced"/>
    <x v="2"/>
    <x v="0"/>
    <s v="HSE Officer"/>
    <x v="51"/>
  </r>
  <r>
    <x v="465"/>
    <d v="2026-12-17T00:00:00"/>
    <x v="2"/>
    <s v="Utilities Area"/>
    <x v="2"/>
    <x v="2"/>
    <s v="Chemical"/>
    <x v="6"/>
    <n v="2"/>
    <n v="5"/>
    <n v="10"/>
    <x v="1"/>
    <x v="4"/>
    <x v="4"/>
    <n v="2"/>
    <n v="5"/>
    <n v="10"/>
    <s v="No Reduction"/>
    <x v="1"/>
    <x v="2"/>
    <s v="Production Supervisor"/>
    <x v="361"/>
  </r>
  <r>
    <x v="466"/>
    <d v="2026-10-29T00:00:00"/>
    <x v="4"/>
    <s v="Utilities Area"/>
    <x v="17"/>
    <x v="17"/>
    <s v="Confined Space"/>
    <x v="4"/>
    <n v="5"/>
    <n v="4"/>
    <n v="20"/>
    <x v="2"/>
    <x v="5"/>
    <x v="4"/>
    <n v="4"/>
    <n v="3"/>
    <n v="12"/>
    <s v="Reduced"/>
    <x v="1"/>
    <x v="0"/>
    <s v="HSE Engineer"/>
    <x v="362"/>
  </r>
  <r>
    <x v="467"/>
    <d v="2025-06-09T00:00:00"/>
    <x v="4"/>
    <s v="Utilities Area"/>
    <x v="17"/>
    <x v="17"/>
    <s v="Confined Space"/>
    <x v="17"/>
    <n v="5"/>
    <n v="5"/>
    <n v="25"/>
    <x v="2"/>
    <x v="3"/>
    <x v="5"/>
    <n v="3"/>
    <n v="5"/>
    <n v="15"/>
    <s v="Reduced"/>
    <x v="1"/>
    <x v="1"/>
    <s v="Department Supervisor"/>
    <x v="363"/>
  </r>
  <r>
    <x v="468"/>
    <d v="2025-03-10T00:00:00"/>
    <x v="7"/>
    <s v="Plant Area A"/>
    <x v="15"/>
    <x v="15"/>
    <s v="Vehicle / Traffic"/>
    <x v="4"/>
    <n v="4"/>
    <n v="2"/>
    <n v="8"/>
    <x v="0"/>
    <x v="6"/>
    <x v="8"/>
    <n v="3"/>
    <n v="1"/>
    <n v="3"/>
    <s v="Reduced"/>
    <x v="0"/>
    <x v="2"/>
    <s v="Department Supervisor"/>
    <x v="34"/>
  </r>
  <r>
    <x v="469"/>
    <d v="2025-09-13T00:00:00"/>
    <x v="0"/>
    <s v="Plant Area A"/>
    <x v="0"/>
    <x v="0"/>
    <s v="Thermal"/>
    <x v="0"/>
    <n v="4"/>
    <n v="5"/>
    <n v="20"/>
    <x v="2"/>
    <x v="1"/>
    <x v="6"/>
    <n v="3"/>
    <n v="5"/>
    <n v="15"/>
    <s v="Reduced"/>
    <x v="1"/>
    <x v="1"/>
    <s v="Department Supervisor"/>
    <x v="364"/>
  </r>
  <r>
    <x v="470"/>
    <d v="2025-01-24T00:00:00"/>
    <x v="2"/>
    <s v="Plant Area B"/>
    <x v="2"/>
    <x v="2"/>
    <s v="Chemical"/>
    <x v="2"/>
    <n v="3"/>
    <n v="2"/>
    <n v="6"/>
    <x v="0"/>
    <x v="1"/>
    <x v="6"/>
    <n v="2"/>
    <n v="2"/>
    <n v="4"/>
    <s v="Reduced"/>
    <x v="0"/>
    <x v="0"/>
    <s v="Maintenance Supervisor"/>
    <x v="223"/>
  </r>
  <r>
    <x v="471"/>
    <d v="2026-08-25T00:00:00"/>
    <x v="7"/>
    <s v="Utilities Area"/>
    <x v="15"/>
    <x v="15"/>
    <s v="Vehicle / Traffic"/>
    <x v="21"/>
    <n v="4"/>
    <n v="4"/>
    <n v="16"/>
    <x v="1"/>
    <x v="4"/>
    <x v="4"/>
    <n v="3"/>
    <n v="3"/>
    <n v="9"/>
    <s v="Reduced"/>
    <x v="2"/>
    <x v="0"/>
    <s v="HSE Engineer"/>
    <x v="365"/>
  </r>
  <r>
    <x v="472"/>
    <d v="2025-06-02T00:00:00"/>
    <x v="1"/>
    <s v="Office"/>
    <x v="1"/>
    <x v="1"/>
    <s v="Fire / Chemical"/>
    <x v="9"/>
    <n v="3"/>
    <n v="2"/>
    <n v="6"/>
    <x v="0"/>
    <x v="6"/>
    <x v="9"/>
    <n v="1"/>
    <n v="1"/>
    <n v="1"/>
    <s v="Reduced"/>
    <x v="0"/>
    <x v="1"/>
    <s v="Maintenance Supervisor"/>
    <x v="111"/>
  </r>
  <r>
    <x v="473"/>
    <d v="2026-09-11T00:00:00"/>
    <x v="4"/>
    <s v="Plant Area A"/>
    <x v="17"/>
    <x v="17"/>
    <s v="Confined Space"/>
    <x v="4"/>
    <n v="3"/>
    <n v="2"/>
    <n v="6"/>
    <x v="0"/>
    <x v="6"/>
    <x v="3"/>
    <n v="2"/>
    <n v="1"/>
    <n v="2"/>
    <s v="Reduced"/>
    <x v="0"/>
    <x v="1"/>
    <s v="Maintenance Supervisor"/>
    <x v="366"/>
  </r>
  <r>
    <x v="474"/>
    <d v="2026-02-02T00:00:00"/>
    <x v="4"/>
    <s v="Utilities Area"/>
    <x v="4"/>
    <x v="4"/>
    <s v="Mechanical"/>
    <x v="10"/>
    <n v="5"/>
    <n v="4"/>
    <n v="20"/>
    <x v="2"/>
    <x v="6"/>
    <x v="6"/>
    <n v="4"/>
    <n v="4"/>
    <n v="16"/>
    <s v="Reduced"/>
    <x v="1"/>
    <x v="0"/>
    <s v="HSE Officer"/>
    <x v="238"/>
  </r>
  <r>
    <x v="475"/>
    <d v="2026-12-11T00:00:00"/>
    <x v="4"/>
    <s v="Office"/>
    <x v="8"/>
    <x v="8"/>
    <s v="Mechanical"/>
    <x v="10"/>
    <n v="4"/>
    <n v="5"/>
    <n v="20"/>
    <x v="2"/>
    <x v="2"/>
    <x v="5"/>
    <n v="3"/>
    <n v="5"/>
    <n v="15"/>
    <s v="Reduced"/>
    <x v="1"/>
    <x v="0"/>
    <s v="HSE Engineer"/>
    <x v="367"/>
  </r>
  <r>
    <x v="476"/>
    <d v="2025-10-15T00:00:00"/>
    <x v="4"/>
    <s v="Laboratory"/>
    <x v="4"/>
    <x v="4"/>
    <s v="Mechanical"/>
    <x v="12"/>
    <n v="2"/>
    <n v="4"/>
    <n v="8"/>
    <x v="0"/>
    <x v="2"/>
    <x v="4"/>
    <n v="1"/>
    <n v="4"/>
    <n v="4"/>
    <s v="Reduced"/>
    <x v="0"/>
    <x v="0"/>
    <s v="Maintenance Supervisor"/>
    <x v="368"/>
  </r>
  <r>
    <x v="477"/>
    <d v="2025-01-23T00:00:00"/>
    <x v="6"/>
    <s v="Utilities Area"/>
    <x v="18"/>
    <x v="18"/>
    <s v="Pressure / Thermal"/>
    <x v="22"/>
    <n v="5"/>
    <n v="4"/>
    <n v="20"/>
    <x v="2"/>
    <x v="1"/>
    <x v="8"/>
    <n v="3"/>
    <n v="3"/>
    <n v="9"/>
    <s v="Reduced"/>
    <x v="2"/>
    <x v="1"/>
    <s v="Maintenance Supervisor"/>
    <x v="369"/>
  </r>
  <r>
    <x v="478"/>
    <d v="2026-09-23T00:00:00"/>
    <x v="6"/>
    <s v="Laboratory"/>
    <x v="18"/>
    <x v="18"/>
    <s v="Pressure / Thermal"/>
    <x v="9"/>
    <n v="4"/>
    <n v="5"/>
    <n v="20"/>
    <x v="2"/>
    <x v="4"/>
    <x v="7"/>
    <n v="3"/>
    <n v="5"/>
    <n v="15"/>
    <s v="Reduced"/>
    <x v="1"/>
    <x v="0"/>
    <s v="Maintenance Supervisor"/>
    <x v="370"/>
  </r>
  <r>
    <x v="479"/>
    <d v="2025-05-10T00:00:00"/>
    <x v="3"/>
    <s v="Laboratory"/>
    <x v="3"/>
    <x v="3"/>
    <s v="Ergonomic"/>
    <x v="18"/>
    <n v="3"/>
    <n v="3"/>
    <n v="9"/>
    <x v="0"/>
    <x v="3"/>
    <x v="7"/>
    <n v="2"/>
    <n v="2"/>
    <n v="4"/>
    <s v="Reduced"/>
    <x v="0"/>
    <x v="1"/>
    <s v="Maintenance Supervisor"/>
    <x v="120"/>
  </r>
  <r>
    <x v="480"/>
    <d v="2025-12-25T00:00:00"/>
    <x v="4"/>
    <s v="Workshop"/>
    <x v="4"/>
    <x v="4"/>
    <s v="Mechanical"/>
    <x v="10"/>
    <n v="3"/>
    <n v="4"/>
    <n v="12"/>
    <x v="1"/>
    <x v="2"/>
    <x v="6"/>
    <n v="1"/>
    <n v="4"/>
    <n v="4"/>
    <s v="Reduced"/>
    <x v="0"/>
    <x v="2"/>
    <s v="HSE Engineer"/>
    <x v="371"/>
  </r>
  <r>
    <x v="481"/>
    <d v="2026-03-07T00:00:00"/>
    <x v="0"/>
    <s v="Office"/>
    <x v="13"/>
    <x v="13"/>
    <s v="Mechanical"/>
    <x v="4"/>
    <n v="3"/>
    <n v="2"/>
    <n v="6"/>
    <x v="0"/>
    <x v="4"/>
    <x v="4"/>
    <n v="3"/>
    <n v="1"/>
    <n v="3"/>
    <s v="Reduced"/>
    <x v="0"/>
    <x v="1"/>
    <s v="Maintenance Supervisor"/>
    <x v="372"/>
  </r>
  <r>
    <x v="482"/>
    <d v="2026-07-13T00:00:00"/>
    <x v="6"/>
    <s v="Warehouse"/>
    <x v="18"/>
    <x v="18"/>
    <s v="Pressure / Thermal"/>
    <x v="4"/>
    <n v="3"/>
    <n v="4"/>
    <n v="12"/>
    <x v="1"/>
    <x v="1"/>
    <x v="7"/>
    <n v="2"/>
    <n v="4"/>
    <n v="8"/>
    <s v="Reduced"/>
    <x v="2"/>
    <x v="0"/>
    <s v="Department Supervisor"/>
    <x v="373"/>
  </r>
  <r>
    <x v="483"/>
    <d v="2025-08-13T00:00:00"/>
    <x v="4"/>
    <s v="Workshop"/>
    <x v="4"/>
    <x v="4"/>
    <s v="Mechanical"/>
    <x v="12"/>
    <n v="4"/>
    <n v="2"/>
    <n v="8"/>
    <x v="0"/>
    <x v="7"/>
    <x v="5"/>
    <n v="2"/>
    <n v="2"/>
    <n v="4"/>
    <s v="Reduced"/>
    <x v="0"/>
    <x v="2"/>
    <s v="HSE Engineer"/>
    <x v="374"/>
  </r>
  <r>
    <x v="484"/>
    <d v="2025-07-31T00:00:00"/>
    <x v="0"/>
    <s v="Plant Area A"/>
    <x v="11"/>
    <x v="11"/>
    <s v="Excavation"/>
    <x v="16"/>
    <n v="2"/>
    <n v="2"/>
    <n v="4"/>
    <x v="3"/>
    <x v="4"/>
    <x v="9"/>
    <n v="1"/>
    <n v="2"/>
    <n v="2"/>
    <s v="Reduced"/>
    <x v="0"/>
    <x v="2"/>
    <s v="Production Supervisor"/>
    <x v="375"/>
  </r>
  <r>
    <x v="485"/>
    <d v="2026-04-07T00:00:00"/>
    <x v="5"/>
    <s v="Plant Area B"/>
    <x v="5"/>
    <x v="5"/>
    <s v="Electrical"/>
    <x v="4"/>
    <n v="3"/>
    <n v="2"/>
    <n v="6"/>
    <x v="0"/>
    <x v="7"/>
    <x v="5"/>
    <n v="3"/>
    <n v="1"/>
    <n v="3"/>
    <s v="Reduced"/>
    <x v="0"/>
    <x v="2"/>
    <s v="Maintenance Supervisor"/>
    <x v="376"/>
  </r>
  <r>
    <x v="486"/>
    <d v="2025-04-10T00:00:00"/>
    <x v="7"/>
    <s v="Warehouse"/>
    <x v="16"/>
    <x v="16"/>
    <s v="Physical"/>
    <x v="19"/>
    <n v="4"/>
    <n v="3"/>
    <n v="12"/>
    <x v="1"/>
    <x v="5"/>
    <x v="9"/>
    <n v="3"/>
    <n v="3"/>
    <n v="9"/>
    <s v="Reduced"/>
    <x v="2"/>
    <x v="0"/>
    <s v="HSE Officer"/>
    <x v="377"/>
  </r>
  <r>
    <x v="487"/>
    <d v="2026-12-25T00:00:00"/>
    <x v="3"/>
    <s v="Office"/>
    <x v="3"/>
    <x v="3"/>
    <s v="Ergonomic"/>
    <x v="18"/>
    <n v="4"/>
    <n v="4"/>
    <n v="16"/>
    <x v="1"/>
    <x v="0"/>
    <x v="6"/>
    <n v="3"/>
    <n v="4"/>
    <n v="12"/>
    <s v="Reduced"/>
    <x v="1"/>
    <x v="0"/>
    <s v="Department Supervisor"/>
    <x v="378"/>
  </r>
  <r>
    <x v="488"/>
    <d v="2025-10-24T00:00:00"/>
    <x v="0"/>
    <s v="Workshop"/>
    <x v="9"/>
    <x v="9"/>
    <s v="Mechanical"/>
    <x v="10"/>
    <n v="2"/>
    <n v="3"/>
    <n v="6"/>
    <x v="0"/>
    <x v="1"/>
    <x v="7"/>
    <n v="2"/>
    <n v="3"/>
    <n v="6"/>
    <s v="Reduced"/>
    <x v="2"/>
    <x v="1"/>
    <s v="Production Supervisor"/>
    <x v="379"/>
  </r>
  <r>
    <x v="489"/>
    <d v="2026-03-01T00:00:00"/>
    <x v="5"/>
    <s v="Utilities Area"/>
    <x v="10"/>
    <x v="10"/>
    <s v="Electrical"/>
    <x v="5"/>
    <n v="4"/>
    <n v="5"/>
    <n v="20"/>
    <x v="2"/>
    <x v="0"/>
    <x v="6"/>
    <n v="4"/>
    <n v="5"/>
    <n v="20"/>
    <s v="Reduced"/>
    <x v="3"/>
    <x v="1"/>
    <s v="HSE Officer"/>
    <x v="243"/>
  </r>
  <r>
    <x v="490"/>
    <d v="2025-12-27T00:00:00"/>
    <x v="5"/>
    <s v="Utilities Area"/>
    <x v="5"/>
    <x v="5"/>
    <s v="Electrical"/>
    <x v="4"/>
    <n v="4"/>
    <n v="3"/>
    <n v="12"/>
    <x v="1"/>
    <x v="1"/>
    <x v="7"/>
    <n v="3"/>
    <n v="3"/>
    <n v="9"/>
    <s v="Reduced"/>
    <x v="2"/>
    <x v="1"/>
    <s v="Maintenance Supervisor"/>
    <x v="380"/>
  </r>
  <r>
    <x v="491"/>
    <d v="2025-06-21T00:00:00"/>
    <x v="1"/>
    <s v="Laboratory"/>
    <x v="1"/>
    <x v="1"/>
    <s v="Fire / Chemical"/>
    <x v="1"/>
    <n v="5"/>
    <n v="3"/>
    <n v="15"/>
    <x v="1"/>
    <x v="0"/>
    <x v="8"/>
    <n v="4"/>
    <n v="2"/>
    <n v="8"/>
    <s v="Reduced"/>
    <x v="2"/>
    <x v="1"/>
    <s v="HSE Officer"/>
    <x v="381"/>
  </r>
  <r>
    <x v="492"/>
    <d v="2026-03-06T00:00:00"/>
    <x v="0"/>
    <s v="Utilities Area"/>
    <x v="13"/>
    <x v="13"/>
    <s v="Mechanical"/>
    <x v="12"/>
    <n v="5"/>
    <n v="5"/>
    <n v="25"/>
    <x v="2"/>
    <x v="5"/>
    <x v="1"/>
    <n v="5"/>
    <n v="5"/>
    <n v="25"/>
    <s v="Reduced"/>
    <x v="3"/>
    <x v="1"/>
    <s v="HSE Officer"/>
    <x v="382"/>
  </r>
  <r>
    <x v="493"/>
    <d v="2025-01-18T00:00:00"/>
    <x v="6"/>
    <s v="Workshop"/>
    <x v="7"/>
    <x v="7"/>
    <s v="Chemical"/>
    <x v="6"/>
    <n v="2"/>
    <n v="5"/>
    <n v="10"/>
    <x v="1"/>
    <x v="3"/>
    <x v="6"/>
    <n v="1"/>
    <n v="5"/>
    <n v="5"/>
    <s v="Reduced"/>
    <x v="2"/>
    <x v="1"/>
    <s v="HSE Officer"/>
    <x v="2"/>
  </r>
  <r>
    <x v="494"/>
    <d v="2026-10-28T00:00:00"/>
    <x v="6"/>
    <s v="Utilities Area"/>
    <x v="18"/>
    <x v="18"/>
    <s v="Pressure / Thermal"/>
    <x v="4"/>
    <n v="5"/>
    <n v="3"/>
    <n v="15"/>
    <x v="1"/>
    <x v="3"/>
    <x v="5"/>
    <n v="4"/>
    <n v="3"/>
    <n v="12"/>
    <s v="Reduced"/>
    <x v="1"/>
    <x v="2"/>
    <s v="HSE Officer"/>
    <x v="383"/>
  </r>
  <r>
    <x v="495"/>
    <d v="2025-08-25T00:00:00"/>
    <x v="0"/>
    <s v="Plant Area B"/>
    <x v="6"/>
    <x v="6"/>
    <s v="Work at Height"/>
    <x v="11"/>
    <n v="3"/>
    <n v="5"/>
    <n v="15"/>
    <x v="1"/>
    <x v="2"/>
    <x v="4"/>
    <n v="1"/>
    <n v="5"/>
    <n v="5"/>
    <s v="Reduced"/>
    <x v="2"/>
    <x v="2"/>
    <s v="HSE Engineer"/>
    <x v="181"/>
  </r>
  <r>
    <x v="496"/>
    <d v="2025-03-18T00:00:00"/>
    <x v="0"/>
    <s v="Warehouse"/>
    <x v="9"/>
    <x v="9"/>
    <s v="Mechanical"/>
    <x v="7"/>
    <n v="5"/>
    <n v="5"/>
    <n v="25"/>
    <x v="2"/>
    <x v="1"/>
    <x v="3"/>
    <n v="4"/>
    <n v="4"/>
    <n v="16"/>
    <s v="Reduced"/>
    <x v="1"/>
    <x v="0"/>
    <s v="HSE Engineer"/>
    <x v="384"/>
  </r>
  <r>
    <x v="497"/>
    <d v="2025-08-03T00:00:00"/>
    <x v="1"/>
    <s v="Office"/>
    <x v="12"/>
    <x v="12"/>
    <s v="Mechanical"/>
    <x v="10"/>
    <n v="3"/>
    <n v="2"/>
    <n v="6"/>
    <x v="0"/>
    <x v="1"/>
    <x v="1"/>
    <n v="2"/>
    <n v="1"/>
    <n v="2"/>
    <s v="Reduced"/>
    <x v="0"/>
    <x v="2"/>
    <s v="HSE Officer"/>
    <x v="247"/>
  </r>
  <r>
    <x v="498"/>
    <d v="2025-03-18T00:00:00"/>
    <x v="7"/>
    <s v="Plant Area A"/>
    <x v="16"/>
    <x v="16"/>
    <s v="Physical"/>
    <x v="4"/>
    <n v="5"/>
    <n v="2"/>
    <n v="10"/>
    <x v="1"/>
    <x v="3"/>
    <x v="7"/>
    <n v="4"/>
    <n v="1"/>
    <n v="4"/>
    <s v="Reduced"/>
    <x v="0"/>
    <x v="2"/>
    <s v="Maintenance Supervisor"/>
    <x v="385"/>
  </r>
  <r>
    <x v="499"/>
    <d v="2025-06-03T00:00:00"/>
    <x v="4"/>
    <s v="Laboratory"/>
    <x v="8"/>
    <x v="8"/>
    <s v="Mechanical"/>
    <x v="12"/>
    <n v="3"/>
    <n v="4"/>
    <n v="12"/>
    <x v="1"/>
    <x v="4"/>
    <x v="3"/>
    <n v="1"/>
    <n v="4"/>
    <n v="4"/>
    <s v="Reduced"/>
    <x v="0"/>
    <x v="0"/>
    <s v="HSE Officer"/>
    <x v="3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3" cacheId="37" applyNumberFormats="0" applyBorderFormats="0" applyFontFormats="0" applyPatternFormats="0" applyAlignmentFormats="0" applyWidthHeightFormats="1" dataCaption="Values" grandTotalCaption="Total" updatedVersion="6" minRefreshableVersion="3" useAutoFormatting="1" rowGrandTotals="0" colGrandTotals="0" itemPrintTitles="1" mergeItem="1" createdVersion="6" indent="0" outline="1" outlineData="1" multipleFieldFilters="0" chartFormat="2" rowHeaderCaption="Activity">
  <location ref="A15:B34" firstHeaderRow="1" firstDataRow="1" firstDataCol="1"/>
  <pivotFields count="24">
    <pivotField dataField="1" showAll="0"/>
    <pivotField showAll="0"/>
    <pivotField showAll="0" sortType="ascending" defaultSubtotal="0">
      <autoSortScope>
        <pivotArea dataOnly="0" outline="0" fieldPosition="0">
          <references count="1">
            <reference field="4294967294" count="1" selected="0">
              <x v="0"/>
            </reference>
          </references>
        </pivotArea>
      </autoSortScope>
    </pivotField>
    <pivotField showAll="0"/>
    <pivotField axis="axisRow" showAll="0" sortType="ascending">
      <items count="21">
        <item x="18"/>
        <item x="10"/>
        <item x="7"/>
        <item x="14"/>
        <item x="17"/>
        <item x="5"/>
        <item x="11"/>
        <item x="15"/>
        <item x="8"/>
        <item x="0"/>
        <item x="2"/>
        <item x="16"/>
        <item x="4"/>
        <item x="3"/>
        <item x="13"/>
        <item x="12"/>
        <item x="9"/>
        <item x="1"/>
        <item x="6"/>
        <item h="1"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multipleItemSelectionAllowed="1" showAll="0" defaultSubtotal="0">
      <items count="6">
        <item sd="0" x="0"/>
        <item sd="0" x="1"/>
        <item sd="0" x="2"/>
        <item sd="0" x="3"/>
        <item sd="0" x="4"/>
        <item sd="0" x="5"/>
      </items>
    </pivotField>
  </pivotFields>
  <rowFields count="1">
    <field x="4"/>
  </rowFields>
  <rowItems count="19">
    <i>
      <x v="9"/>
    </i>
    <i>
      <x v="7"/>
    </i>
    <i>
      <x/>
    </i>
    <i>
      <x v="4"/>
    </i>
    <i>
      <x v="6"/>
    </i>
    <i>
      <x v="18"/>
    </i>
    <i>
      <x v="15"/>
    </i>
    <i>
      <x v="10"/>
    </i>
    <i>
      <x v="13"/>
    </i>
    <i>
      <x v="5"/>
    </i>
    <i>
      <x v="1"/>
    </i>
    <i>
      <x v="3"/>
    </i>
    <i>
      <x v="16"/>
    </i>
    <i>
      <x v="11"/>
    </i>
    <i>
      <x v="2"/>
    </i>
    <i>
      <x v="8"/>
    </i>
    <i>
      <x v="12"/>
    </i>
    <i>
      <x v="14"/>
    </i>
    <i>
      <x v="17"/>
    </i>
  </rowItems>
  <colItems count="1">
    <i/>
  </colItems>
  <dataFields count="1">
    <dataField name="Risk Assessments" fld="0" subtotal="count" baseField="2" baseItem="8"/>
  </dataFields>
  <formats count="14">
    <format dxfId="2462">
      <pivotArea type="all" dataOnly="0" outline="0" fieldPosition="0"/>
    </format>
    <format dxfId="2461">
      <pivotArea outline="0" collapsedLevelsAreSubtotals="1" fieldPosition="0"/>
    </format>
    <format dxfId="2460">
      <pivotArea field="4" type="button" dataOnly="0" labelOnly="1" outline="0" axis="axisRow" fieldPosition="0"/>
    </format>
    <format dxfId="2459">
      <pivotArea dataOnly="0" labelOnly="1" outline="0" axis="axisValues" fieldPosition="0"/>
    </format>
    <format dxfId="2458">
      <pivotArea dataOnly="0" labelOnly="1" fieldPosition="0">
        <references count="1">
          <reference field="4" count="0"/>
        </references>
      </pivotArea>
    </format>
    <format dxfId="2457">
      <pivotArea dataOnly="0" labelOnly="1" grandRow="1" outline="0" fieldPosition="0"/>
    </format>
    <format dxfId="2456">
      <pivotArea dataOnly="0" labelOnly="1" outline="0" axis="axisValues" fieldPosition="0"/>
    </format>
    <format dxfId="2455">
      <pivotArea type="all" dataOnly="0" outline="0" fieldPosition="0"/>
    </format>
    <format dxfId="2454">
      <pivotArea outline="0" collapsedLevelsAreSubtotals="1" fieldPosition="0"/>
    </format>
    <format dxfId="2453">
      <pivotArea field="4" type="button" dataOnly="0" labelOnly="1" outline="0" axis="axisRow" fieldPosition="0"/>
    </format>
    <format dxfId="2452">
      <pivotArea dataOnly="0" labelOnly="1" outline="0" axis="axisValues" fieldPosition="0"/>
    </format>
    <format dxfId="2451">
      <pivotArea dataOnly="0" labelOnly="1" fieldPosition="0">
        <references count="1">
          <reference field="4" count="19">
            <x v="0"/>
            <x v="1"/>
            <x v="2"/>
            <x v="3"/>
            <x v="4"/>
            <x v="5"/>
            <x v="6"/>
            <x v="7"/>
            <x v="8"/>
            <x v="9"/>
            <x v="10"/>
            <x v="11"/>
            <x v="12"/>
            <x v="13"/>
            <x v="14"/>
            <x v="15"/>
            <x v="16"/>
            <x v="17"/>
            <x v="18"/>
          </reference>
        </references>
      </pivotArea>
    </format>
    <format dxfId="2450">
      <pivotArea dataOnly="0" labelOnly="1" grandRow="1" outline="0" fieldPosition="0"/>
    </format>
    <format dxfId="2449">
      <pivotArea dataOnly="0" labelOnly="1" outline="0" axis="axisValues" fieldPosition="0"/>
    </format>
  </formats>
  <chartFormats count="2">
    <chartFormat chart="0" format="2"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7" applyNumberFormats="0" applyBorderFormats="0" applyFontFormats="0" applyPatternFormats="0" applyAlignmentFormats="0" applyWidthHeightFormats="1" dataCaption="Values" grandTotalCaption="Total" updatedVersion="6" minRefreshableVersion="3" useAutoFormatting="1" rowGrandTotals="0" colGrandTotals="0" itemPrintTitles="1" mergeItem="1" createdVersion="6" indent="0" outline="1" outlineData="1" multipleFieldFilters="0" chartFormat="1" rowHeaderCaption="Department">
  <location ref="A5:B13" firstHeaderRow="1" firstDataRow="1" firstDataCol="1"/>
  <pivotFields count="24">
    <pivotField dataField="1" showAll="0"/>
    <pivotField showAll="0"/>
    <pivotField axis="axisRow" showAll="0" sortType="ascending" defaultSubtotal="0">
      <items count="9">
        <item x="3"/>
        <item x="5"/>
        <item x="4"/>
        <item x="1"/>
        <item x="0"/>
        <item x="2"/>
        <item x="6"/>
        <item x="7"/>
        <item h="1" x="8"/>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6">
        <item x="0"/>
        <item x="1"/>
        <item x="2"/>
        <item x="3"/>
        <item x="4"/>
        <item x="5"/>
      </items>
    </pivotField>
  </pivotFields>
  <rowFields count="1">
    <field x="2"/>
  </rowFields>
  <rowItems count="8">
    <i>
      <x/>
    </i>
    <i>
      <x v="5"/>
    </i>
    <i>
      <x v="7"/>
    </i>
    <i>
      <x v="1"/>
    </i>
    <i>
      <x v="3"/>
    </i>
    <i>
      <x v="6"/>
    </i>
    <i>
      <x v="2"/>
    </i>
    <i>
      <x v="4"/>
    </i>
  </rowItems>
  <colItems count="1">
    <i/>
  </colItems>
  <dataFields count="1">
    <dataField name="Risk Assessments" fld="0" subtotal="count" baseField="2" baseItem="8"/>
  </dataFields>
  <formats count="14">
    <format dxfId="2476">
      <pivotArea type="all" dataOnly="0" outline="0" fieldPosition="0"/>
    </format>
    <format dxfId="2475">
      <pivotArea outline="0" collapsedLevelsAreSubtotals="1" fieldPosition="0"/>
    </format>
    <format dxfId="2474">
      <pivotArea field="2" type="button" dataOnly="0" labelOnly="1" outline="0" axis="axisRow" fieldPosition="0"/>
    </format>
    <format dxfId="2473">
      <pivotArea dataOnly="0" labelOnly="1" outline="0" axis="axisValues" fieldPosition="0"/>
    </format>
    <format dxfId="2472">
      <pivotArea dataOnly="0" labelOnly="1" fieldPosition="0">
        <references count="1">
          <reference field="2" count="0"/>
        </references>
      </pivotArea>
    </format>
    <format dxfId="2471">
      <pivotArea dataOnly="0" labelOnly="1" grandRow="1" outline="0" fieldPosition="0"/>
    </format>
    <format dxfId="2470">
      <pivotArea dataOnly="0" labelOnly="1" outline="0" axis="axisValues" fieldPosition="0"/>
    </format>
    <format dxfId="2469">
      <pivotArea type="all" dataOnly="0" outline="0" fieldPosition="0"/>
    </format>
    <format dxfId="2468">
      <pivotArea outline="0" collapsedLevelsAreSubtotals="1" fieldPosition="0"/>
    </format>
    <format dxfId="2467">
      <pivotArea field="2" type="button" dataOnly="0" labelOnly="1" outline="0" axis="axisRow" fieldPosition="0"/>
    </format>
    <format dxfId="2466">
      <pivotArea dataOnly="0" labelOnly="1" outline="0" axis="axisValues" fieldPosition="0"/>
    </format>
    <format dxfId="2465">
      <pivotArea dataOnly="0" labelOnly="1" fieldPosition="0">
        <references count="1">
          <reference field="2" count="0"/>
        </references>
      </pivotArea>
    </format>
    <format dxfId="2464">
      <pivotArea dataOnly="0" labelOnly="1" grandRow="1" outline="0" fieldPosition="0"/>
    </format>
    <format dxfId="2463">
      <pivotArea dataOnly="0" labelOnly="1" outline="0" axis="axisValues"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37" applyNumberFormats="0" applyBorderFormats="0" applyFontFormats="0" applyPatternFormats="0" applyAlignmentFormats="0" applyWidthHeightFormats="1" dataCaption="Values" grandTotalCaption="Total" updatedVersion="6" minRefreshableVersion="3" useAutoFormatting="1" rowGrandTotals="0" colGrandTotals="0" itemPrintTitles="1" mergeItem="1" createdVersion="6" indent="0" outline="1" outlineData="1" multipleFieldFilters="0" chartFormat="3" rowHeaderCaption="Risk Level">
  <location ref="A36:B41" firstHeaderRow="1" firstDataRow="1" firstDataCol="1"/>
  <pivotFields count="24">
    <pivotField dataField="1" showAll="0"/>
    <pivotField showAll="0"/>
    <pivotField showAll="0" sortType="ascending" defaultSubtotal="0">
      <autoSortScope>
        <pivotArea dataOnly="0" outline="0" fieldPosition="0">
          <references count="1">
            <reference field="4294967294" count="1" selected="0">
              <x v="0"/>
            </reference>
          </references>
        </pivotArea>
      </autoSortScope>
    </pivotField>
    <pivotField showAll="0"/>
    <pivotField showAll="0" sortType="ascending">
      <items count="21">
        <item x="18"/>
        <item x="10"/>
        <item x="7"/>
        <item x="14"/>
        <item x="17"/>
        <item x="5"/>
        <item x="11"/>
        <item x="15"/>
        <item x="8"/>
        <item x="0"/>
        <item x="2"/>
        <item x="16"/>
        <item x="4"/>
        <item x="3"/>
        <item x="13"/>
        <item x="12"/>
        <item x="9"/>
        <item x="1"/>
        <item x="6"/>
        <item h="1"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items count="6">
        <item x="2"/>
        <item x="1"/>
        <item x="3"/>
        <item x="0"/>
        <item x="4"/>
        <item t="default"/>
      </items>
    </pivotField>
    <pivotField showAll="0"/>
    <pivotField showAll="0"/>
    <pivotField showAll="0"/>
    <pivotField showAll="0"/>
    <pivotField showAll="0"/>
    <pivotField showAll="0" defaultSubtotal="0"/>
    <pivotField showAll="0"/>
    <pivotField showAll="0"/>
    <pivotField showAll="0"/>
    <pivotField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multipleItemSelectionAllowed="1" showAll="0" defaultSubtotal="0">
      <items count="6">
        <item sd="0" x="0"/>
        <item sd="0" x="1"/>
        <item sd="0" x="2"/>
        <item sd="0" x="3"/>
        <item sd="0" x="4"/>
        <item sd="0" x="5"/>
      </items>
    </pivotField>
  </pivotFields>
  <rowFields count="1">
    <field x="11"/>
  </rowFields>
  <rowItems count="5">
    <i>
      <x/>
    </i>
    <i>
      <x v="1"/>
    </i>
    <i>
      <x v="2"/>
    </i>
    <i>
      <x v="3"/>
    </i>
    <i>
      <x v="4"/>
    </i>
  </rowItems>
  <colItems count="1">
    <i/>
  </colItems>
  <dataFields count="1">
    <dataField name="Risk Assessments" fld="0" subtotal="count" baseField="2" baseItem="8"/>
  </dataFields>
  <formats count="12">
    <format dxfId="2488">
      <pivotArea type="all" dataOnly="0" outline="0" fieldPosition="0"/>
    </format>
    <format dxfId="2487">
      <pivotArea outline="0" collapsedLevelsAreSubtotals="1" fieldPosition="0"/>
    </format>
    <format dxfId="2486">
      <pivotArea field="4" type="button" dataOnly="0" labelOnly="1" outline="0"/>
    </format>
    <format dxfId="2485">
      <pivotArea dataOnly="0" labelOnly="1" outline="0" axis="axisValues" fieldPosition="0"/>
    </format>
    <format dxfId="2484">
      <pivotArea dataOnly="0" labelOnly="1" grandRow="1" outline="0" fieldPosition="0"/>
    </format>
    <format dxfId="2483">
      <pivotArea dataOnly="0" labelOnly="1" outline="0" axis="axisValues" fieldPosition="0"/>
    </format>
    <format dxfId="2482">
      <pivotArea type="all" dataOnly="0" outline="0" fieldPosition="0"/>
    </format>
    <format dxfId="2481">
      <pivotArea outline="0" collapsedLevelsAreSubtotals="1" fieldPosition="0"/>
    </format>
    <format dxfId="2480">
      <pivotArea field="4" type="button" dataOnly="0" labelOnly="1" outline="0"/>
    </format>
    <format dxfId="2479">
      <pivotArea dataOnly="0" labelOnly="1" outline="0" axis="axisValues" fieldPosition="0"/>
    </format>
    <format dxfId="2478">
      <pivotArea dataOnly="0" labelOnly="1" grandRow="1" outline="0" fieldPosition="0"/>
    </format>
    <format dxfId="2477">
      <pivotArea dataOnly="0" labelOnly="1" outline="0" axis="axisValues" fieldPosition="0"/>
    </format>
  </formats>
  <chartFormats count="7">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1" count="1" selected="0">
            <x v="0"/>
          </reference>
        </references>
      </pivotArea>
    </chartFormat>
    <chartFormat chart="2" format="10">
      <pivotArea type="data" outline="0" fieldPosition="0">
        <references count="2">
          <reference field="4294967294" count="1" selected="0">
            <x v="0"/>
          </reference>
          <reference field="11" count="1" selected="0">
            <x v="1"/>
          </reference>
        </references>
      </pivotArea>
    </chartFormat>
    <chartFormat chart="2" format="11">
      <pivotArea type="data" outline="0" fieldPosition="0">
        <references count="2">
          <reference field="4294967294" count="1" selected="0">
            <x v="0"/>
          </reference>
          <reference field="11" count="1" selected="0">
            <x v="2"/>
          </reference>
        </references>
      </pivotArea>
    </chartFormat>
    <chartFormat chart="2" format="12">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4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Reduction Status">
  <location ref="J4:K7" firstHeaderRow="1" firstDataRow="1" firstDataCol="1"/>
  <pivotFields count="26">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0"/>
        <item m="1"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defaultSubtotal="0"/>
    <pivotField showAll="0" defaultSubtotal="0"/>
    <pivotField showAll="0" defaultSubtotal="0"/>
    <pivotField showAll="0" defaultSubtotal="0">
      <items count="6">
        <item x="0"/>
        <item x="1"/>
        <item x="2"/>
        <item x="3"/>
        <item x="4"/>
        <item x="5"/>
      </items>
    </pivotField>
  </pivotFields>
  <rowFields count="1">
    <field x="17"/>
  </rowFields>
  <rowItems count="3">
    <i>
      <x v="1"/>
    </i>
    <i>
      <x/>
    </i>
    <i t="grand">
      <x/>
    </i>
  </rowItems>
  <colItems count="1">
    <i/>
  </colItems>
  <dataFields count="1">
    <dataField name="Risks" fld="0" subtotal="count" baseField="0" baseItem="0"/>
  </dataFields>
  <formats count="2">
    <format dxfId="2448">
      <pivotArea dataOnly="0" labelOnly="1" outline="0" axis="axisValues" fieldPosition="0"/>
    </format>
    <format dxfId="2447">
      <pivotArea dataOnly="0" labelOnly="1" outline="0" axis="axisValues" fieldPosition="0"/>
    </format>
  </format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7" count="1" selected="0">
            <x v="1"/>
          </reference>
        </references>
      </pivotArea>
    </chartFormat>
    <chartFormat chart="0" format="5">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4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Risk Score">
  <location ref="D4:E19" firstHeaderRow="1" firstDataRow="1" firstDataCol="1"/>
  <pivotFields count="26">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5">
        <item x="8"/>
        <item x="12"/>
        <item x="7"/>
        <item x="9"/>
        <item x="1"/>
        <item x="11"/>
        <item x="3"/>
        <item x="10"/>
        <item x="5"/>
        <item x="2"/>
        <item x="6"/>
        <item x="4"/>
        <item x="0"/>
        <item x="13"/>
        <item t="default"/>
      </items>
    </pivotField>
    <pivotField showAll="0" defaultSubtotal="0"/>
    <pivotField showAll="0"/>
    <pivotField showAll="0"/>
    <pivotField showAll="0"/>
    <pivotField numFmtId="16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 showAll="0" defaultSubtotal="0">
      <items count="6">
        <item x="0"/>
        <item x="1"/>
        <item x="2"/>
        <item x="3"/>
        <item x="4"/>
        <item x="5"/>
      </items>
    </pivotField>
    <pivotField showAll="0" defaultSubtotal="0">
      <items count="6">
        <item x="0"/>
        <item x="1"/>
        <item x="2"/>
        <item x="3"/>
        <item x="4"/>
        <item x="5"/>
      </items>
    </pivotField>
  </pivotFields>
  <rowFields count="1">
    <field x="16"/>
  </rowFields>
  <rowItems count="15">
    <i>
      <x/>
    </i>
    <i>
      <x v="1"/>
    </i>
    <i>
      <x v="2"/>
    </i>
    <i>
      <x v="3"/>
    </i>
    <i>
      <x v="4"/>
    </i>
    <i>
      <x v="5"/>
    </i>
    <i>
      <x v="6"/>
    </i>
    <i>
      <x v="7"/>
    </i>
    <i>
      <x v="8"/>
    </i>
    <i>
      <x v="9"/>
    </i>
    <i>
      <x v="10"/>
    </i>
    <i>
      <x v="11"/>
    </i>
    <i>
      <x v="12"/>
    </i>
    <i>
      <x v="13"/>
    </i>
    <i t="grand">
      <x/>
    </i>
  </rowItems>
  <colItems count="1">
    <i/>
  </colItems>
  <dataFields count="1">
    <dataField name="Residual Risks" fld="0" subtotal="count" baseField="0" baseItem="0"/>
  </dataFields>
  <chartFormats count="15">
    <chartFormat chart="1" format="16" series="1">
      <pivotArea type="data" outline="0" fieldPosition="0">
        <references count="1">
          <reference field="4294967294" count="1" selected="0">
            <x v="0"/>
          </reference>
        </references>
      </pivotArea>
    </chartFormat>
    <chartFormat chart="1" format="17">
      <pivotArea type="data" outline="0" fieldPosition="0">
        <references count="2">
          <reference field="4294967294" count="1" selected="0">
            <x v="0"/>
          </reference>
          <reference field="16" count="1" selected="0">
            <x v="0"/>
          </reference>
        </references>
      </pivotArea>
    </chartFormat>
    <chartFormat chart="1" format="18">
      <pivotArea type="data" outline="0" fieldPosition="0">
        <references count="2">
          <reference field="4294967294" count="1" selected="0">
            <x v="0"/>
          </reference>
          <reference field="16" count="1" selected="0">
            <x v="1"/>
          </reference>
        </references>
      </pivotArea>
    </chartFormat>
    <chartFormat chart="1" format="19">
      <pivotArea type="data" outline="0" fieldPosition="0">
        <references count="2">
          <reference field="4294967294" count="1" selected="0">
            <x v="0"/>
          </reference>
          <reference field="16" count="1" selected="0">
            <x v="2"/>
          </reference>
        </references>
      </pivotArea>
    </chartFormat>
    <chartFormat chart="1" format="20">
      <pivotArea type="data" outline="0" fieldPosition="0">
        <references count="2">
          <reference field="4294967294" count="1" selected="0">
            <x v="0"/>
          </reference>
          <reference field="16" count="1" selected="0">
            <x v="3"/>
          </reference>
        </references>
      </pivotArea>
    </chartFormat>
    <chartFormat chart="1" format="21">
      <pivotArea type="data" outline="0" fieldPosition="0">
        <references count="2">
          <reference field="4294967294" count="1" selected="0">
            <x v="0"/>
          </reference>
          <reference field="16" count="1" selected="0">
            <x v="4"/>
          </reference>
        </references>
      </pivotArea>
    </chartFormat>
    <chartFormat chart="1" format="22">
      <pivotArea type="data" outline="0" fieldPosition="0">
        <references count="2">
          <reference field="4294967294" count="1" selected="0">
            <x v="0"/>
          </reference>
          <reference field="16" count="1" selected="0">
            <x v="5"/>
          </reference>
        </references>
      </pivotArea>
    </chartFormat>
    <chartFormat chart="1" format="23">
      <pivotArea type="data" outline="0" fieldPosition="0">
        <references count="2">
          <reference field="4294967294" count="1" selected="0">
            <x v="0"/>
          </reference>
          <reference field="16" count="1" selected="0">
            <x v="6"/>
          </reference>
        </references>
      </pivotArea>
    </chartFormat>
    <chartFormat chart="1" format="24">
      <pivotArea type="data" outline="0" fieldPosition="0">
        <references count="2">
          <reference field="4294967294" count="1" selected="0">
            <x v="0"/>
          </reference>
          <reference field="16" count="1" selected="0">
            <x v="7"/>
          </reference>
        </references>
      </pivotArea>
    </chartFormat>
    <chartFormat chart="1" format="25">
      <pivotArea type="data" outline="0" fieldPosition="0">
        <references count="2">
          <reference field="4294967294" count="1" selected="0">
            <x v="0"/>
          </reference>
          <reference field="16" count="1" selected="0">
            <x v="8"/>
          </reference>
        </references>
      </pivotArea>
    </chartFormat>
    <chartFormat chart="1" format="26">
      <pivotArea type="data" outline="0" fieldPosition="0">
        <references count="2">
          <reference field="4294967294" count="1" selected="0">
            <x v="0"/>
          </reference>
          <reference field="16" count="1" selected="0">
            <x v="9"/>
          </reference>
        </references>
      </pivotArea>
    </chartFormat>
    <chartFormat chart="1" format="27">
      <pivotArea type="data" outline="0" fieldPosition="0">
        <references count="2">
          <reference field="4294967294" count="1" selected="0">
            <x v="0"/>
          </reference>
          <reference field="16" count="1" selected="0">
            <x v="10"/>
          </reference>
        </references>
      </pivotArea>
    </chartFormat>
    <chartFormat chart="1" format="28">
      <pivotArea type="data" outline="0" fieldPosition="0">
        <references count="2">
          <reference field="4294967294" count="1" selected="0">
            <x v="0"/>
          </reference>
          <reference field="16" count="1" selected="0">
            <x v="11"/>
          </reference>
        </references>
      </pivotArea>
    </chartFormat>
    <chartFormat chart="1" format="29">
      <pivotArea type="data" outline="0" fieldPosition="0">
        <references count="2">
          <reference field="4294967294" count="1" selected="0">
            <x v="0"/>
          </reference>
          <reference field="16" count="1" selected="0">
            <x v="12"/>
          </reference>
        </references>
      </pivotArea>
    </chartFormat>
    <chartFormat chart="1" format="30">
      <pivotArea type="data" outline="0" fieldPosition="0">
        <references count="2">
          <reference field="4294967294" count="1" selected="0">
            <x v="0"/>
          </reference>
          <reference field="16" count="1" selected="0">
            <x v="1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44" applyNumberFormats="0" applyBorderFormats="0" applyFontFormats="0" applyPatternFormats="0" applyAlignmentFormats="0" applyWidthHeightFormats="1" dataCaption="Values" updatedVersion="6" minRefreshableVersion="3" useAutoFormatting="1" itemPrintTitles="1" mergeItem="1" createdVersion="6" indent="0" outline="1" outlineData="1" multipleFieldFilters="0" chartFormat="4" rowHeaderCaption="Risk Score">
  <location ref="A4:B15" firstHeaderRow="1" firstDataRow="1" firstDataCol="1"/>
  <pivotFields count="26">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sortType="descending">
      <items count="11">
        <item x="7"/>
        <item x="5"/>
        <item x="1"/>
        <item x="3"/>
        <item x="4"/>
        <item x="2"/>
        <item x="9"/>
        <item x="6"/>
        <item x="0"/>
        <item x="8"/>
        <item t="default"/>
      </items>
    </pivotField>
    <pivotField showAll="0"/>
    <pivotField showAll="0"/>
    <pivotField showAll="0"/>
    <pivotField showAll="0"/>
    <pivotField showAll="0"/>
    <pivotField showAll="0"/>
    <pivotField showAll="0" defaultSubtotal="0"/>
    <pivotField showAll="0"/>
    <pivotField showAll="0"/>
    <pivotField showAll="0"/>
    <pivotField numFmtId="164"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multipleItemSelectionAllowed="1" showAll="0" defaultSubtotal="0">
      <items count="5">
        <item sd="0" x="0"/>
        <item sd="0" x="1"/>
        <item sd="0" x="2"/>
        <item sd="0" x="3"/>
        <item sd="0" x="4"/>
      </items>
    </pivotField>
    <pivotField showAll="0" defaultSubtotal="0">
      <items count="6">
        <item sd="0" x="0"/>
        <item sd="0" x="1"/>
        <item sd="0" x="2"/>
        <item sd="0" x="3"/>
        <item sd="0" x="4"/>
        <item sd="0" x="5"/>
      </items>
    </pivotField>
    <pivotField multipleItemSelectionAllowed="1" showAll="0" defaultSubtotal="0">
      <items count="6">
        <item sd="0" x="0"/>
        <item sd="0" x="1"/>
        <item sd="0" x="2"/>
        <item sd="0" x="3"/>
        <item sd="0" x="4"/>
        <item sd="0" x="5"/>
      </items>
    </pivotField>
  </pivotFields>
  <rowFields count="1">
    <field x="10"/>
  </rowFields>
  <rowItems count="11">
    <i>
      <x/>
    </i>
    <i>
      <x v="1"/>
    </i>
    <i>
      <x v="2"/>
    </i>
    <i>
      <x v="3"/>
    </i>
    <i>
      <x v="4"/>
    </i>
    <i>
      <x v="5"/>
    </i>
    <i>
      <x v="6"/>
    </i>
    <i>
      <x v="7"/>
    </i>
    <i>
      <x v="8"/>
    </i>
    <i>
      <x v="9"/>
    </i>
    <i t="grand">
      <x/>
    </i>
  </rowItems>
  <colItems count="1">
    <i/>
  </colItems>
  <dataFields count="1">
    <dataField name="Initial  Risks" fld="0" subtotal="count" baseField="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0" count="1" selected="0">
            <x v="0"/>
          </reference>
        </references>
      </pivotArea>
    </chartFormat>
    <chartFormat chart="3" format="14">
      <pivotArea type="data" outline="0" fieldPosition="0">
        <references count="2">
          <reference field="4294967294" count="1" selected="0">
            <x v="0"/>
          </reference>
          <reference field="10" count="1" selected="0">
            <x v="1"/>
          </reference>
        </references>
      </pivotArea>
    </chartFormat>
    <chartFormat chart="3" format="15">
      <pivotArea type="data" outline="0" fieldPosition="0">
        <references count="2">
          <reference field="4294967294" count="1" selected="0">
            <x v="0"/>
          </reference>
          <reference field="10" count="1" selected="0">
            <x v="2"/>
          </reference>
        </references>
      </pivotArea>
    </chartFormat>
    <chartFormat chart="3" format="16">
      <pivotArea type="data" outline="0" fieldPosition="0">
        <references count="2">
          <reference field="4294967294" count="1" selected="0">
            <x v="0"/>
          </reference>
          <reference field="10" count="1" selected="0">
            <x v="3"/>
          </reference>
        </references>
      </pivotArea>
    </chartFormat>
    <chartFormat chart="3" format="17">
      <pivotArea type="data" outline="0" fieldPosition="0">
        <references count="2">
          <reference field="4294967294" count="1" selected="0">
            <x v="0"/>
          </reference>
          <reference field="10" count="1" selected="0">
            <x v="4"/>
          </reference>
        </references>
      </pivotArea>
    </chartFormat>
    <chartFormat chart="3" format="18">
      <pivotArea type="data" outline="0" fieldPosition="0">
        <references count="2">
          <reference field="4294967294" count="1" selected="0">
            <x v="0"/>
          </reference>
          <reference field="10" count="1" selected="0">
            <x v="5"/>
          </reference>
        </references>
      </pivotArea>
    </chartFormat>
    <chartFormat chart="3" format="19">
      <pivotArea type="data" outline="0" fieldPosition="0">
        <references count="2">
          <reference field="4294967294" count="1" selected="0">
            <x v="0"/>
          </reference>
          <reference field="10" count="1" selected="0">
            <x v="6"/>
          </reference>
        </references>
      </pivotArea>
    </chartFormat>
    <chartFormat chart="3" format="20">
      <pivotArea type="data" outline="0" fieldPosition="0">
        <references count="2">
          <reference field="4294967294" count="1" selected="0">
            <x v="0"/>
          </reference>
          <reference field="10" count="1" selected="0">
            <x v="7"/>
          </reference>
        </references>
      </pivotArea>
    </chartFormat>
    <chartFormat chart="3" format="21">
      <pivotArea type="data" outline="0" fieldPosition="0">
        <references count="2">
          <reference field="4294967294" count="1" selected="0">
            <x v="0"/>
          </reference>
          <reference field="10" count="1" selected="0">
            <x v="8"/>
          </reference>
        </references>
      </pivotArea>
    </chartFormat>
    <chartFormat chart="3" format="22">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61" applyNumberFormats="0" applyBorderFormats="0" applyFontFormats="0" applyPatternFormats="0" applyAlignmentFormats="0" applyWidthHeightFormats="1" dataCaption="Values" updatedVersion="6" minRefreshableVersion="5" useAutoFormatting="1" pageWrap="1" pageOverThenDown="1" colGrandTotals="0" itemPrintTitles="1" mergeItem="1" createdVersion="6" indent="0" compact="0" compactData="0" chartFormat="1">
  <location ref="A7:E17" firstHeaderRow="1" firstDataRow="2" firstDataCol="1"/>
  <pivotFields count="22">
    <pivotField dataField="1" compact="0" outline="0" subtotalTop="0" showAll="0" defaultSubtotal="0"/>
    <pivotField compact="0" numFmtId="164" outline="0" subtotalTop="0" showAll="0" defaultSubtotal="0"/>
    <pivotField axis="axisRow" compact="0" outline="0" subtotalTop="0" showAll="0" defaultSubtotal="0">
      <items count="8">
        <item x="3"/>
        <item x="5"/>
        <item x="4"/>
        <item x="1"/>
        <item x="0"/>
        <item x="2"/>
        <item x="6"/>
        <item x="7"/>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x="3"/>
        <item x="1"/>
        <item x="0"/>
        <item x="2"/>
      </items>
    </pivotField>
    <pivotField compact="0" outline="0" subtotalTop="0" showAll="0" defaultSubtotal="0"/>
    <pivotField compact="0" outline="0" subtotalTop="0" showAll="0" defaultSubtotal="0"/>
    <pivotField compact="0" numFmtId="164" outline="0" subtotalTop="0" showAll="0" defaultSubtotal="0">
      <items count="387">
        <item x="350"/>
        <item x="197"/>
        <item x="113"/>
        <item x="97"/>
        <item x="2"/>
        <item x="329"/>
        <item x="369"/>
        <item x="210"/>
        <item x="59"/>
        <item x="250"/>
        <item x="253"/>
        <item x="193"/>
        <item x="319"/>
        <item x="124"/>
        <item x="385"/>
        <item x="268"/>
        <item x="296"/>
        <item x="95"/>
        <item x="178"/>
        <item x="228"/>
        <item x="377"/>
        <item x="173"/>
        <item x="314"/>
        <item x="279"/>
        <item x="11"/>
        <item x="115"/>
        <item x="330"/>
        <item x="145"/>
        <item x="381"/>
        <item x="345"/>
        <item x="55"/>
        <item x="22"/>
        <item x="282"/>
        <item x="323"/>
        <item x="38"/>
        <item x="222"/>
        <item x="100"/>
        <item x="335"/>
        <item x="211"/>
        <item x="356"/>
        <item x="202"/>
        <item x="215"/>
        <item x="223"/>
        <item x="186"/>
        <item x="320"/>
        <item x="344"/>
        <item x="219"/>
        <item x="263"/>
        <item x="326"/>
        <item x="317"/>
        <item x="137"/>
        <item x="157"/>
        <item x="257"/>
        <item x="295"/>
        <item x="15"/>
        <item x="34"/>
        <item x="266"/>
        <item x="384"/>
        <item x="182"/>
        <item x="121"/>
        <item x="281"/>
        <item x="131"/>
        <item x="300"/>
        <item x="280"/>
        <item x="185"/>
        <item x="51"/>
        <item x="74"/>
        <item x="165"/>
        <item x="256"/>
        <item x="33"/>
        <item x="52"/>
        <item x="112"/>
        <item x="122"/>
        <item x="77"/>
        <item x="161"/>
        <item x="1"/>
        <item x="67"/>
        <item x="60"/>
        <item x="175"/>
        <item x="86"/>
        <item x="140"/>
        <item x="183"/>
        <item x="135"/>
        <item x="192"/>
        <item x="386"/>
        <item x="354"/>
        <item x="227"/>
        <item x="155"/>
        <item x="363"/>
        <item x="89"/>
        <item x="174"/>
        <item x="163"/>
        <item x="264"/>
        <item x="260"/>
        <item x="57"/>
        <item x="37"/>
        <item x="35"/>
        <item x="244"/>
        <item x="90"/>
        <item x="348"/>
        <item x="25"/>
        <item x="331"/>
        <item x="212"/>
        <item x="41"/>
        <item x="277"/>
        <item x="132"/>
        <item x="105"/>
        <item x="298"/>
        <item x="70"/>
        <item x="218"/>
        <item x="208"/>
        <item x="32"/>
        <item x="187"/>
        <item x="247"/>
        <item x="200"/>
        <item x="85"/>
        <item x="258"/>
        <item x="301"/>
        <item x="79"/>
        <item x="359"/>
        <item x="321"/>
        <item x="102"/>
        <item x="273"/>
        <item x="220"/>
        <item x="243"/>
        <item x="382"/>
        <item x="206"/>
        <item x="21"/>
        <item x="47"/>
        <item x="134"/>
        <item x="310"/>
        <item x="364"/>
        <item x="158"/>
        <item x="9"/>
        <item x="245"/>
        <item x="20"/>
        <item x="275"/>
        <item x="236"/>
        <item x="150"/>
        <item x="284"/>
        <item x="198"/>
        <item x="176"/>
        <item x="213"/>
        <item x="261"/>
        <item x="265"/>
        <item x="224"/>
        <item x="368"/>
        <item x="225"/>
        <item x="68"/>
        <item x="379"/>
        <item x="166"/>
        <item x="40"/>
        <item x="6"/>
        <item x="304"/>
        <item x="339"/>
        <item x="109"/>
        <item x="270"/>
        <item x="45"/>
        <item x="36"/>
        <item x="151"/>
        <item x="58"/>
        <item x="127"/>
        <item x="313"/>
        <item x="328"/>
        <item x="75"/>
        <item x="160"/>
        <item x="248"/>
        <item x="327"/>
        <item x="305"/>
        <item x="371"/>
        <item x="380"/>
        <item x="39"/>
        <item x="312"/>
        <item x="351"/>
        <item x="189"/>
        <item x="110"/>
        <item x="214"/>
        <item x="289"/>
        <item x="12"/>
        <item x="54"/>
        <item x="285"/>
        <item x="318"/>
        <item x="93"/>
        <item x="241"/>
        <item x="226"/>
        <item x="262"/>
        <item x="81"/>
        <item x="205"/>
        <item x="231"/>
        <item x="238"/>
        <item x="229"/>
        <item x="276"/>
        <item x="235"/>
        <item x="99"/>
        <item x="232"/>
        <item x="170"/>
        <item x="30"/>
        <item x="50"/>
        <item x="288"/>
        <item x="230"/>
        <item x="352"/>
        <item x="286"/>
        <item x="114"/>
        <item x="272"/>
        <item x="62"/>
        <item x="184"/>
        <item x="128"/>
        <item x="347"/>
        <item x="138"/>
        <item x="196"/>
        <item x="204"/>
        <item x="130"/>
        <item x="123"/>
        <item x="63"/>
        <item x="342"/>
        <item x="287"/>
        <item x="168"/>
        <item x="143"/>
        <item x="117"/>
        <item x="13"/>
        <item x="49"/>
        <item x="169"/>
        <item x="104"/>
        <item x="156"/>
        <item x="64"/>
        <item x="159"/>
        <item x="23"/>
        <item x="311"/>
        <item x="148"/>
        <item x="96"/>
        <item x="48"/>
        <item x="19"/>
        <item x="239"/>
        <item x="346"/>
        <item x="78"/>
        <item x="172"/>
        <item x="357"/>
        <item x="190"/>
        <item x="92"/>
        <item x="237"/>
        <item x="88"/>
        <item x="303"/>
        <item x="7"/>
        <item x="297"/>
        <item x="69"/>
        <item x="341"/>
        <item x="120"/>
        <item x="267"/>
        <item x="73"/>
        <item x="162"/>
        <item x="29"/>
        <item x="164"/>
        <item x="191"/>
        <item x="116"/>
        <item x="144"/>
        <item x="10"/>
        <item x="111"/>
        <item x="106"/>
        <item x="367"/>
        <item x="240"/>
        <item x="154"/>
        <item x="149"/>
        <item x="233"/>
        <item x="18"/>
        <item x="14"/>
        <item x="119"/>
        <item x="254"/>
        <item x="378"/>
        <item x="0"/>
        <item x="209"/>
        <item x="46"/>
        <item x="355"/>
        <item x="195"/>
        <item x="66"/>
        <item x="271"/>
        <item x="306"/>
        <item x="349"/>
        <item x="72"/>
        <item x="203"/>
        <item x="221"/>
        <item x="8"/>
        <item x="375"/>
        <item x="3"/>
        <item x="292"/>
        <item x="291"/>
        <item x="142"/>
        <item x="83"/>
        <item x="194"/>
        <item x="374"/>
        <item x="136"/>
        <item x="309"/>
        <item x="252"/>
        <item x="274"/>
        <item x="181"/>
        <item x="293"/>
        <item x="76"/>
        <item x="307"/>
        <item x="316"/>
        <item x="216"/>
        <item x="360"/>
        <item x="269"/>
        <item x="334"/>
        <item x="315"/>
        <item x="217"/>
        <item x="118"/>
        <item x="370"/>
        <item x="133"/>
        <item x="294"/>
        <item x="322"/>
        <item x="44"/>
        <item x="129"/>
        <item x="24"/>
        <item x="325"/>
        <item x="27"/>
        <item x="201"/>
        <item x="333"/>
        <item x="141"/>
        <item x="299"/>
        <item x="383"/>
        <item x="125"/>
        <item x="101"/>
        <item x="65"/>
        <item x="177"/>
        <item x="98"/>
        <item x="179"/>
        <item x="332"/>
        <item x="146"/>
        <item x="308"/>
        <item x="353"/>
        <item x="56"/>
        <item x="324"/>
        <item x="278"/>
        <item x="103"/>
        <item x="358"/>
        <item x="340"/>
        <item x="343"/>
        <item x="5"/>
        <item x="246"/>
        <item x="61"/>
        <item x="87"/>
        <item x="42"/>
        <item x="302"/>
        <item x="53"/>
        <item x="372"/>
        <item x="259"/>
        <item x="126"/>
        <item x="207"/>
        <item x="180"/>
        <item x="94"/>
        <item x="376"/>
        <item x="107"/>
        <item x="82"/>
        <item x="255"/>
        <item x="283"/>
        <item x="31"/>
        <item x="336"/>
        <item x="108"/>
        <item x="188"/>
        <item x="4"/>
        <item x="167"/>
        <item x="80"/>
        <item x="152"/>
        <item x="26"/>
        <item x="43"/>
        <item x="147"/>
        <item x="290"/>
        <item x="373"/>
        <item x="16"/>
        <item x="17"/>
        <item x="28"/>
        <item x="91"/>
        <item x="139"/>
        <item x="242"/>
        <item x="365"/>
        <item x="366"/>
        <item x="337"/>
        <item x="199"/>
        <item x="251"/>
        <item x="84"/>
        <item x="234"/>
        <item x="71"/>
        <item x="249"/>
        <item x="362"/>
        <item x="153"/>
        <item x="338"/>
        <item x="171"/>
        <item x="361"/>
      </items>
    </pivotField>
  </pivotFields>
  <rowFields count="1">
    <field x="2"/>
  </rowFields>
  <rowItems count="9">
    <i>
      <x/>
    </i>
    <i>
      <x v="1"/>
    </i>
    <i>
      <x v="2"/>
    </i>
    <i>
      <x v="3"/>
    </i>
    <i>
      <x v="4"/>
    </i>
    <i>
      <x v="5"/>
    </i>
    <i>
      <x v="6"/>
    </i>
    <i>
      <x v="7"/>
    </i>
    <i t="grand">
      <x/>
    </i>
  </rowItems>
  <colFields count="1">
    <field x="18"/>
  </colFields>
  <colItems count="4">
    <i>
      <x/>
    </i>
    <i>
      <x v="1"/>
    </i>
    <i>
      <x v="2"/>
    </i>
    <i>
      <x v="3"/>
    </i>
  </colItems>
  <dataFields count="1">
    <dataField name="Count of Risks" fld="0" subtotal="count" baseField="0" baseItem="0"/>
  </dataFields>
  <formats count="20">
    <format dxfId="2442">
      <pivotArea field="18" type="button" dataOnly="0" labelOnly="1" outline="0" axis="axisCol" fieldPosition="0"/>
    </format>
    <format dxfId="2441">
      <pivotArea type="topRight" dataOnly="0" labelOnly="1" outline="0" fieldPosition="0"/>
    </format>
    <format dxfId="2440">
      <pivotArea field="18" type="button" dataOnly="0" labelOnly="1" outline="0" axis="axisCol" fieldPosition="0"/>
    </format>
    <format dxfId="2439">
      <pivotArea type="topRight" dataOnly="0" labelOnly="1" outline="0" fieldPosition="0"/>
    </format>
    <format dxfId="2438">
      <pivotArea field="18" type="button" dataOnly="0" labelOnly="1" outline="0" axis="axisCol" fieldPosition="0"/>
    </format>
    <format dxfId="2437">
      <pivotArea type="topRight" dataOnly="0" labelOnly="1" outline="0" fieldPosition="0"/>
    </format>
    <format dxfId="2436">
      <pivotArea field="18" type="button" dataOnly="0" labelOnly="1" outline="0" axis="axisCol" fieldPosition="0"/>
    </format>
    <format dxfId="2435">
      <pivotArea type="topRight" dataOnly="0" labelOnly="1" outline="0" fieldPosition="0"/>
    </format>
    <format dxfId="2434">
      <pivotArea field="18" type="button" dataOnly="0" labelOnly="1" outline="0" axis="axisCol" fieldPosition="0"/>
    </format>
    <format dxfId="2433">
      <pivotArea type="topRight" dataOnly="0" labelOnly="1" outline="0" fieldPosition="0"/>
    </format>
    <format dxfId="2432">
      <pivotArea field="18" type="button" dataOnly="0" labelOnly="1" outline="0" axis="axisCol" fieldPosition="0"/>
    </format>
    <format dxfId="2431">
      <pivotArea type="topRight" dataOnly="0" labelOnly="1" outline="0" fieldPosition="0"/>
    </format>
    <format dxfId="2430">
      <pivotArea field="18" type="button" dataOnly="0" labelOnly="1" outline="0" axis="axisCol" fieldPosition="0"/>
    </format>
    <format dxfId="2429">
      <pivotArea type="topRight" dataOnly="0" labelOnly="1" outline="0" fieldPosition="0"/>
    </format>
    <format dxfId="2428">
      <pivotArea field="18" type="button" dataOnly="0" labelOnly="1" outline="0" axis="axisCol" fieldPosition="0"/>
    </format>
    <format dxfId="2427">
      <pivotArea type="topRight" dataOnly="0" labelOnly="1" outline="0" fieldPosition="0"/>
    </format>
    <format dxfId="2426">
      <pivotArea field="18" type="button" dataOnly="0" labelOnly="1" outline="0" axis="axisCol" fieldPosition="0"/>
    </format>
    <format dxfId="2425">
      <pivotArea type="topRight" dataOnly="0" labelOnly="1" outline="0" fieldPosition="0"/>
    </format>
    <format dxfId="2424">
      <pivotArea field="18" type="button" dataOnly="0" labelOnly="1" outline="0" axis="axisCol" fieldPosition="0"/>
    </format>
    <format dxfId="2423">
      <pivotArea type="topRight" dataOnly="0" labelOnly="1" outline="0" fieldPosition="0"/>
    </format>
  </formats>
  <conditionalFormats count="6">
    <conditionalFormat priority="1">
      <pivotAreas count="1">
        <pivotArea type="data" grandRow="1"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3">
            <reference field="4294967294" count="1" selected="0">
              <x v="0"/>
            </reference>
            <reference field="2" count="8" selected="0">
              <x v="0"/>
              <x v="1"/>
              <x v="2"/>
              <x v="3"/>
              <x v="4"/>
              <x v="5"/>
              <x v="6"/>
              <x v="7"/>
            </reference>
            <reference field="18" count="1" selected="0">
              <x v="3"/>
            </reference>
          </references>
        </pivotArea>
      </pivotAreas>
    </conditionalFormat>
    <conditionalFormat priority="3">
      <pivotAreas count="1">
        <pivotArea type="data" outline="0" collapsedLevelsAreSubtotals="1" fieldPosition="0">
          <references count="3">
            <reference field="4294967294" count="1" selected="0">
              <x v="0"/>
            </reference>
            <reference field="2" count="8" selected="0">
              <x v="0"/>
              <x v="1"/>
              <x v="2"/>
              <x v="3"/>
              <x v="4"/>
              <x v="5"/>
              <x v="6"/>
              <x v="7"/>
            </reference>
            <reference field="18" count="1" selected="0">
              <x v="2"/>
            </reference>
          </references>
        </pivotArea>
      </pivotAreas>
    </conditionalFormat>
    <conditionalFormat priority="4">
      <pivotAreas count="1">
        <pivotArea type="data" outline="0" collapsedLevelsAreSubtotals="1" fieldPosition="0">
          <references count="3">
            <reference field="4294967294" count="1" selected="0">
              <x v="0"/>
            </reference>
            <reference field="2" count="8" selected="0">
              <x v="0"/>
              <x v="1"/>
              <x v="2"/>
              <x v="3"/>
              <x v="4"/>
              <x v="5"/>
              <x v="6"/>
              <x v="7"/>
            </reference>
            <reference field="18" count="1" selected="0">
              <x v="1"/>
            </reference>
          </references>
        </pivotArea>
      </pivotAreas>
    </conditionalFormat>
    <conditionalFormat priority="5">
      <pivotAreas count="1">
        <pivotArea type="data" outline="0" collapsedLevelsAreSubtotals="1" fieldPosition="0">
          <references count="3">
            <reference field="4294967294" count="1" selected="0">
              <x v="0"/>
            </reference>
            <reference field="2" count="8" selected="0">
              <x v="0"/>
              <x v="1"/>
              <x v="2"/>
              <x v="3"/>
              <x v="4"/>
              <x v="5"/>
              <x v="6"/>
              <x v="7"/>
            </reference>
            <reference field="18" count="1" selected="0">
              <x v="0"/>
            </reference>
          </references>
        </pivotArea>
      </pivotAreas>
    </conditionalFormat>
    <conditionalFormat priority="6">
      <pivotAreas count="1">
        <pivotArea type="data" outline="0" collapsedLevelsAreSubtotals="1" fieldPosition="0">
          <references count="2">
            <reference field="4294967294" count="1" selected="0">
              <x v="0"/>
            </reference>
            <reference field="2" count="8" selected="0">
              <x v="0"/>
              <x v="1"/>
              <x v="2"/>
              <x v="3"/>
              <x v="4"/>
              <x v="5"/>
              <x v="6"/>
              <x v="7"/>
            </reference>
          </references>
        </pivotArea>
      </pivotAreas>
    </conditionalFormat>
  </conditionalFormats>
  <chartFormats count="4">
    <chartFormat chart="0" format="4" series="1">
      <pivotArea type="data" outline="0" fieldPosition="0">
        <references count="2">
          <reference field="4294967294" count="1" selected="0">
            <x v="0"/>
          </reference>
          <reference field="18" count="1" selected="0">
            <x v="0"/>
          </reference>
        </references>
      </pivotArea>
    </chartFormat>
    <chartFormat chart="0" format="5" series="1">
      <pivotArea type="data" outline="0" fieldPosition="0">
        <references count="2">
          <reference field="4294967294" count="1" selected="0">
            <x v="0"/>
          </reference>
          <reference field="18" count="1" selected="0">
            <x v="1"/>
          </reference>
        </references>
      </pivotArea>
    </chartFormat>
    <chartFormat chart="0" format="6" series="1">
      <pivotArea type="data" outline="0" fieldPosition="0">
        <references count="2">
          <reference field="4294967294" count="1" selected="0">
            <x v="0"/>
          </reference>
          <reference field="18" count="1" selected="0">
            <x v="2"/>
          </reference>
        </references>
      </pivotArea>
    </chartFormat>
    <chartFormat chart="0" format="7"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Department/Activity">
  <location ref="A4:B13" firstHeaderRow="1" firstDataRow="1" firstDataCol="1"/>
  <pivotFields count="22">
    <pivotField dataField="1" showAll="0"/>
    <pivotField numFmtId="164" showAll="0"/>
    <pivotField axis="axisRow" showAll="0" sortType="descending">
      <items count="9">
        <item sd="0" x="3"/>
        <item sd="0" x="5"/>
        <item sd="0" x="4"/>
        <item sd="0" x="1"/>
        <item sd="0" x="0"/>
        <item sd="0" x="2"/>
        <item sd="0" x="6"/>
        <item sd="0" x="7"/>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20">
        <item x="18"/>
        <item x="10"/>
        <item x="7"/>
        <item x="14"/>
        <item x="17"/>
        <item x="5"/>
        <item x="11"/>
        <item x="15"/>
        <item x="8"/>
        <item x="0"/>
        <item x="2"/>
        <item x="16"/>
        <item x="4"/>
        <item x="3"/>
        <item x="13"/>
        <item x="12"/>
        <item x="9"/>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 showAll="0"/>
    <pivotField showAll="0"/>
    <pivotField numFmtId="164" showAll="0"/>
  </pivotFields>
  <rowFields count="2">
    <field x="2"/>
    <field x="4"/>
  </rowFields>
  <rowItems count="9">
    <i>
      <x v="4"/>
    </i>
    <i>
      <x v="2"/>
    </i>
    <i>
      <x v="6"/>
    </i>
    <i>
      <x v="3"/>
    </i>
    <i>
      <x v="1"/>
    </i>
    <i>
      <x v="7"/>
    </i>
    <i>
      <x/>
    </i>
    <i>
      <x v="5"/>
    </i>
    <i t="grand">
      <x/>
    </i>
  </rowItems>
  <colItems count="1">
    <i/>
  </colItems>
  <dataFields count="1">
    <dataField name="Residual Risks" fld="0" subtotal="count" baseField="0" baseItem="0"/>
  </dataFields>
  <chartFormats count="3">
    <chartFormat chart="1" format="1"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61"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1" rowHeaderCaption="Hazard">
  <location ref="G1:G2" firstHeaderRow="1" firstDataRow="1" firstDataCol="0"/>
  <pivotFields count="22">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pivotField showAll="0"/>
    <pivotField showAll="0"/>
    <pivotField showAll="0"/>
    <pivotField showAll="0" sortType="descending">
      <items count="20">
        <item sd="0" x="2"/>
        <item sd="0" x="7"/>
        <item sd="0" x="11"/>
        <item sd="0" x="5"/>
        <item sd="0" x="10"/>
        <item sd="0" x="3"/>
        <item sd="0" x="6"/>
        <item sd="0" x="16"/>
        <item sd="0" x="1"/>
        <item sd="0" x="18"/>
        <item sd="0" x="14"/>
        <item sd="0" x="0"/>
        <item sd="0" x="9"/>
        <item sd="0" x="13"/>
        <item sd="0" x="17"/>
        <item sd="0" x="8"/>
        <item sd="0" x="12"/>
        <item sd="0" x="4"/>
        <item sd="0" x="15"/>
        <item t="default"/>
      </items>
      <autoSortScope>
        <pivotArea dataOnly="0" outline="0" fieldPosition="0">
          <references count="1">
            <reference field="4294967294" count="1" selected="0">
              <x v="0"/>
            </reference>
          </references>
        </pivotArea>
      </autoSortScope>
    </pivotField>
    <pivotField showAll="0"/>
    <pivotField showAll="0">
      <items count="24">
        <item x="10"/>
        <item x="17"/>
        <item x="9"/>
        <item x="16"/>
        <item x="21"/>
        <item x="7"/>
        <item x="12"/>
        <item x="5"/>
        <item x="2"/>
        <item x="11"/>
        <item x="13"/>
        <item x="8"/>
        <item x="19"/>
        <item x="20"/>
        <item x="14"/>
        <item x="3"/>
        <item x="22"/>
        <item x="1"/>
        <item x="0"/>
        <item x="4"/>
        <item x="6"/>
        <item x="18"/>
        <item x="15"/>
        <item t="default"/>
      </items>
    </pivotField>
    <pivotField showAll="0"/>
    <pivotField showAll="0"/>
    <pivotField showAll="0"/>
    <pivotField showAll="0">
      <items count="5">
        <item x="2"/>
        <item x="1"/>
        <item x="3"/>
        <item x="0"/>
        <item t="default"/>
      </items>
    </pivotField>
    <pivotField showAll="0" sortType="descending">
      <items count="9">
        <item x="3"/>
        <item x="5"/>
        <item x="0"/>
        <item x="1"/>
        <item x="4"/>
        <item x="6"/>
        <item x="7"/>
        <item x="2"/>
        <item t="default"/>
      </items>
      <autoSortScope>
        <pivotArea dataOnly="0" outline="0" fieldPosition="0">
          <references count="1">
            <reference field="4294967294" count="1" selected="0">
              <x v="0"/>
            </reference>
          </references>
        </pivotArea>
      </autoSortScope>
    </pivotField>
    <pivotField showAll="0">
      <items count="11">
        <item x="0"/>
        <item x="1"/>
        <item x="5"/>
        <item x="4"/>
        <item x="3"/>
        <item x="6"/>
        <item x="2"/>
        <item x="7"/>
        <item x="9"/>
        <item x="8"/>
        <item t="default"/>
      </items>
    </pivotField>
    <pivotField showAll="0"/>
    <pivotField showAll="0"/>
    <pivotField showAll="0"/>
    <pivotField showAll="0"/>
    <pivotField showAll="0"/>
    <pivotField multipleItemSelectionAllowed="1" showAll="0">
      <items count="4">
        <item h="1" x="1"/>
        <item h="1" x="0"/>
        <item x="2"/>
        <item t="default"/>
      </items>
    </pivotField>
    <pivotField showAll="0"/>
    <pivotField numFmtId="164" showAll="0"/>
  </pivotFields>
  <rowItems count="1">
    <i/>
  </rowItems>
  <colItems count="1">
    <i/>
  </colItems>
  <dataFields count="1">
    <dataField name="Number of Risks" fld="0" subtotal="count" baseField="0" baseItem="0"/>
  </dataFields>
  <formats count="56">
    <format dxfId="2422">
      <pivotArea outline="0" collapsedLevelsAreSubtotals="1" fieldPosition="0"/>
    </format>
    <format dxfId="2421">
      <pivotArea outline="0" collapsedLevelsAreSubtotals="1" fieldPosition="0"/>
    </format>
    <format dxfId="2420">
      <pivotArea outline="0" collapsedLevelsAreSubtotals="1" fieldPosition="0"/>
    </format>
    <format dxfId="2419">
      <pivotArea outline="0" collapsedLevelsAreSubtotals="1" fieldPosition="0"/>
    </format>
    <format dxfId="2418">
      <pivotArea outline="0" collapsedLevelsAreSubtotals="1" fieldPosition="0"/>
    </format>
    <format dxfId="2417">
      <pivotArea outline="0" collapsedLevelsAreSubtotals="1" fieldPosition="0"/>
    </format>
    <format dxfId="2416">
      <pivotArea outline="0" collapsedLevelsAreSubtotals="1" fieldPosition="0"/>
    </format>
    <format dxfId="2415">
      <pivotArea outline="0" collapsedLevelsAreSubtotals="1" fieldPosition="0"/>
    </format>
    <format dxfId="2414">
      <pivotArea outline="0" collapsedLevelsAreSubtotals="1" fieldPosition="0"/>
    </format>
    <format dxfId="2413">
      <pivotArea outline="0" collapsedLevelsAreSubtotals="1" fieldPosition="0"/>
    </format>
    <format dxfId="2412">
      <pivotArea outline="0" collapsedLevelsAreSubtotals="1" fieldPosition="0"/>
    </format>
    <format dxfId="2411">
      <pivotArea outline="0" collapsedLevelsAreSubtotals="1" fieldPosition="0"/>
    </format>
    <format dxfId="2410">
      <pivotArea outline="0" collapsedLevelsAreSubtotals="1" fieldPosition="0"/>
    </format>
    <format dxfId="2409">
      <pivotArea outline="0" collapsedLevelsAreSubtotals="1" fieldPosition="0"/>
    </format>
    <format dxfId="2408">
      <pivotArea outline="0" collapsedLevelsAreSubtotals="1" fieldPosition="0"/>
    </format>
    <format dxfId="2407">
      <pivotArea outline="0" collapsedLevelsAreSubtotals="1" fieldPosition="0"/>
    </format>
    <format dxfId="2406">
      <pivotArea outline="0" collapsedLevelsAreSubtotals="1" fieldPosition="0"/>
    </format>
    <format dxfId="2405">
      <pivotArea outline="0" collapsedLevelsAreSubtotals="1" fieldPosition="0"/>
    </format>
    <format dxfId="2404">
      <pivotArea outline="0" collapsedLevelsAreSubtotals="1" fieldPosition="0"/>
    </format>
    <format dxfId="2403">
      <pivotArea outline="0" collapsedLevelsAreSubtotals="1" fieldPosition="0"/>
    </format>
    <format dxfId="2402">
      <pivotArea outline="0" collapsedLevelsAreSubtotals="1" fieldPosition="0"/>
    </format>
    <format dxfId="2401">
      <pivotArea type="all" dataOnly="0" outline="0" fieldPosition="0"/>
    </format>
    <format dxfId="2400">
      <pivotArea outline="0" collapsedLevelsAreSubtotals="1" fieldPosition="0"/>
    </format>
    <format dxfId="2399">
      <pivotArea dataOnly="0" labelOnly="1" outline="0" axis="axisValues" fieldPosition="0"/>
    </format>
    <format dxfId="2398">
      <pivotArea dataOnly="0" labelOnly="1" outline="0" axis="axisValues" fieldPosition="0"/>
    </format>
    <format dxfId="2397">
      <pivotArea type="all" dataOnly="0" outline="0" fieldPosition="0"/>
    </format>
    <format dxfId="2396">
      <pivotArea outline="0" collapsedLevelsAreSubtotals="1" fieldPosition="0"/>
    </format>
    <format dxfId="2395">
      <pivotArea dataOnly="0" labelOnly="1" outline="0" axis="axisValues" fieldPosition="0"/>
    </format>
    <format dxfId="2394">
      <pivotArea dataOnly="0" labelOnly="1" outline="0" axis="axisValues" fieldPosition="0"/>
    </format>
    <format dxfId="2393">
      <pivotArea type="all" dataOnly="0" outline="0" fieldPosition="0"/>
    </format>
    <format dxfId="2392">
      <pivotArea outline="0" collapsedLevelsAreSubtotals="1" fieldPosition="0"/>
    </format>
    <format dxfId="2391">
      <pivotArea dataOnly="0" labelOnly="1" outline="0" axis="axisValues" fieldPosition="0"/>
    </format>
    <format dxfId="2390">
      <pivotArea dataOnly="0" labelOnly="1" outline="0" axis="axisValues" fieldPosition="0"/>
    </format>
    <format dxfId="2389">
      <pivotArea type="all" dataOnly="0" outline="0" fieldPosition="0"/>
    </format>
    <format dxfId="2388">
      <pivotArea outline="0" collapsedLevelsAreSubtotals="1" fieldPosition="0"/>
    </format>
    <format dxfId="2387">
      <pivotArea dataOnly="0" labelOnly="1" outline="0" axis="axisValues" fieldPosition="0"/>
    </format>
    <format dxfId="2386">
      <pivotArea dataOnly="0" labelOnly="1" outline="0" axis="axisValues" fieldPosition="0"/>
    </format>
    <format dxfId="2385">
      <pivotArea outline="0" collapsedLevelsAreSubtotals="1" fieldPosition="0"/>
    </format>
    <format dxfId="2384">
      <pivotArea outline="0" collapsedLevelsAreSubtotals="1" fieldPosition="0"/>
    </format>
    <format dxfId="2383">
      <pivotArea outline="0" collapsedLevelsAreSubtotals="1" fieldPosition="0"/>
    </format>
    <format dxfId="2382">
      <pivotArea outline="0" collapsedLevelsAreSubtotals="1" fieldPosition="0"/>
    </format>
    <format dxfId="2381">
      <pivotArea outline="0" collapsedLevelsAreSubtotals="1" fieldPosition="0"/>
    </format>
    <format dxfId="2380">
      <pivotArea outline="0" collapsedLevelsAreSubtotals="1" fieldPosition="0"/>
    </format>
    <format dxfId="2379">
      <pivotArea outline="0" collapsedLevelsAreSubtotals="1" fieldPosition="0"/>
    </format>
    <format dxfId="2378">
      <pivotArea outline="0" collapsedLevelsAreSubtotals="1" fieldPosition="0"/>
    </format>
    <format dxfId="2377">
      <pivotArea outline="0" collapsedLevelsAreSubtotals="1" fieldPosition="0"/>
    </format>
    <format dxfId="2376">
      <pivotArea type="all" dataOnly="0" outline="0" fieldPosition="0"/>
    </format>
    <format dxfId="2375">
      <pivotArea outline="0" collapsedLevelsAreSubtotals="1" fieldPosition="0"/>
    </format>
    <format dxfId="2374">
      <pivotArea dataOnly="0" labelOnly="1" outline="0" axis="axisValues" fieldPosition="0"/>
    </format>
    <format dxfId="2373">
      <pivotArea dataOnly="0" labelOnly="1" outline="0" axis="axisValues" fieldPosition="0"/>
    </format>
    <format dxfId="2358">
      <pivotArea outline="0" collapsedLevelsAreSubtotals="1" fieldPosition="0"/>
    </format>
    <format dxfId="2357">
      <pivotArea outline="0" collapsedLevelsAreSubtotals="1" fieldPosition="0"/>
    </format>
    <format dxfId="2356">
      <pivotArea outline="0" collapsedLevelsAreSubtotals="1" fieldPosition="0"/>
    </format>
    <format dxfId="2355">
      <pivotArea outline="0" collapsedLevelsAreSubtotals="1" fieldPosition="0"/>
    </format>
    <format dxfId="2354">
      <pivotArea outline="0" collapsedLevelsAreSubtotals="1" fieldPosition="0"/>
    </format>
    <format dxfId="23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Additional Controls">
  <location ref="D3:E23" firstHeaderRow="1" firstDataRow="1" firstDataCol="1"/>
  <pivotFields count="22">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pivotField showAll="0"/>
    <pivotField showAll="0"/>
    <pivotField showAll="0"/>
    <pivotField axis="axisRow" showAll="0" sortType="descending">
      <items count="20">
        <item sd="0" x="2"/>
        <item sd="0" x="7"/>
        <item sd="0" x="11"/>
        <item sd="0" x="5"/>
        <item sd="0" x="10"/>
        <item sd="0" x="3"/>
        <item sd="0" x="6"/>
        <item sd="0" x="16"/>
        <item sd="0" x="1"/>
        <item sd="0" x="18"/>
        <item sd="0" x="14"/>
        <item sd="0" x="0"/>
        <item sd="0" x="9"/>
        <item sd="0" x="13"/>
        <item sd="0" x="17"/>
        <item sd="0" x="8"/>
        <item sd="0" x="12"/>
        <item sd="0" x="4"/>
        <item sd="0" x="15"/>
        <item t="default"/>
      </items>
      <autoSortScope>
        <pivotArea dataOnly="0" outline="0" fieldPosition="0">
          <references count="1">
            <reference field="4294967294" count="1" selected="0">
              <x v="0"/>
            </reference>
          </references>
        </pivotArea>
      </autoSortScope>
    </pivotField>
    <pivotField showAll="0"/>
    <pivotField showAll="0">
      <items count="24">
        <item x="10"/>
        <item x="17"/>
        <item x="9"/>
        <item x="16"/>
        <item x="21"/>
        <item x="7"/>
        <item x="12"/>
        <item x="5"/>
        <item x="2"/>
        <item x="11"/>
        <item x="13"/>
        <item x="8"/>
        <item x="19"/>
        <item x="20"/>
        <item x="14"/>
        <item x="3"/>
        <item x="22"/>
        <item x="1"/>
        <item x="0"/>
        <item x="4"/>
        <item x="6"/>
        <item x="18"/>
        <item x="15"/>
        <item t="default"/>
      </items>
    </pivotField>
    <pivotField showAll="0"/>
    <pivotField showAll="0"/>
    <pivotField showAll="0"/>
    <pivotField showAll="0">
      <items count="5">
        <item x="2"/>
        <item x="1"/>
        <item x="3"/>
        <item x="0"/>
        <item t="default"/>
      </items>
    </pivotField>
    <pivotField showAll="0">
      <items count="9">
        <item x="3"/>
        <item x="5"/>
        <item x="0"/>
        <item x="1"/>
        <item x="4"/>
        <item x="6"/>
        <item x="7"/>
        <item x="2"/>
        <item t="default"/>
      </items>
    </pivotField>
    <pivotField axis="axisRow" showAll="0" sortType="descending">
      <items count="11">
        <item x="0"/>
        <item x="1"/>
        <item x="5"/>
        <item x="4"/>
        <item x="3"/>
        <item x="6"/>
        <item x="2"/>
        <item x="7"/>
        <item x="9"/>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h="1" x="1"/>
        <item h="1" x="0"/>
        <item x="2"/>
        <item t="default"/>
      </items>
    </pivotField>
    <pivotField showAll="0"/>
    <pivotField numFmtId="164" showAll="0"/>
  </pivotFields>
  <rowFields count="2">
    <field x="5"/>
    <field x="13"/>
  </rowFields>
  <rowItems count="20">
    <i>
      <x v="15"/>
    </i>
    <i>
      <x v="8"/>
    </i>
    <i>
      <x v="17"/>
    </i>
    <i>
      <x v="13"/>
    </i>
    <i>
      <x v="6"/>
    </i>
    <i>
      <x v="18"/>
    </i>
    <i>
      <x v="3"/>
    </i>
    <i>
      <x v="1"/>
    </i>
    <i>
      <x v="5"/>
    </i>
    <i>
      <x v="7"/>
    </i>
    <i>
      <x/>
    </i>
    <i>
      <x v="12"/>
    </i>
    <i>
      <x v="2"/>
    </i>
    <i>
      <x v="4"/>
    </i>
    <i>
      <x v="10"/>
    </i>
    <i>
      <x v="16"/>
    </i>
    <i>
      <x v="9"/>
    </i>
    <i>
      <x v="14"/>
    </i>
    <i>
      <x v="11"/>
    </i>
    <i t="grand">
      <x/>
    </i>
  </rowItems>
  <colItems count="1">
    <i/>
  </colItems>
  <dataFields count="1">
    <dataField name="Number of Risks" fld="0" subtotal="count" baseField="0" baseItem="0"/>
  </dataFields>
  <formats count="14">
    <format dxfId="2372">
      <pivotArea type="all" dataOnly="0" outline="0" fieldPosition="0"/>
    </format>
    <format dxfId="2371">
      <pivotArea outline="0" collapsedLevelsAreSubtotals="1" fieldPosition="0"/>
    </format>
    <format dxfId="2370">
      <pivotArea field="5" type="button" dataOnly="0" labelOnly="1" outline="0" axis="axisRow" fieldPosition="0"/>
    </format>
    <format dxfId="2369">
      <pivotArea dataOnly="0" labelOnly="1" outline="0" axis="axisValues" fieldPosition="0"/>
    </format>
    <format dxfId="2368">
      <pivotArea dataOnly="0" labelOnly="1" fieldPosition="0">
        <references count="1">
          <reference field="5" count="0"/>
        </references>
      </pivotArea>
    </format>
    <format dxfId="2367">
      <pivotArea dataOnly="0" labelOnly="1" grandRow="1" outline="0" fieldPosition="0"/>
    </format>
    <format dxfId="2366">
      <pivotArea dataOnly="0" labelOnly="1" outline="0" axis="axisValues" fieldPosition="0"/>
    </format>
    <format dxfId="2345">
      <pivotArea type="all" dataOnly="0" outline="0" fieldPosition="0"/>
    </format>
    <format dxfId="2344">
      <pivotArea outline="0" collapsedLevelsAreSubtotals="1" fieldPosition="0"/>
    </format>
    <format dxfId="2343">
      <pivotArea field="5" type="button" dataOnly="0" labelOnly="1" outline="0" axis="axisRow" fieldPosition="0"/>
    </format>
    <format dxfId="2342">
      <pivotArea dataOnly="0" labelOnly="1" outline="0" axis="axisValues" fieldPosition="0"/>
    </format>
    <format dxfId="2341">
      <pivotArea dataOnly="0" labelOnly="1" fieldPosition="0">
        <references count="1">
          <reference field="5" count="0"/>
        </references>
      </pivotArea>
    </format>
    <format dxfId="2340">
      <pivotArea dataOnly="0" labelOnly="1" grandRow="1" outline="0" fieldPosition="0"/>
    </format>
    <format dxfId="23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Existing Control">
  <location ref="A3:B23" firstHeaderRow="1" firstDataRow="1" firstDataCol="1"/>
  <pivotFields count="22">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pivotField showAll="0"/>
    <pivotField showAll="0"/>
    <pivotField showAll="0"/>
    <pivotField axis="axisRow" showAll="0" sortType="descending">
      <items count="20">
        <item sd="0" x="2"/>
        <item sd="0" x="7"/>
        <item sd="0" x="11"/>
        <item sd="0" x="5"/>
        <item sd="0" x="10"/>
        <item sd="0" x="3"/>
        <item sd="0" x="6"/>
        <item sd="0" x="16"/>
        <item sd="0" x="1"/>
        <item sd="0" x="18"/>
        <item sd="0" x="14"/>
        <item sd="0" x="0"/>
        <item sd="0" x="9"/>
        <item sd="0" x="13"/>
        <item sd="0" x="17"/>
        <item sd="0" x="8"/>
        <item sd="0" x="12"/>
        <item sd="0" x="4"/>
        <item sd="0" x="15"/>
        <item t="default"/>
      </items>
      <autoSortScope>
        <pivotArea dataOnly="0" outline="0" fieldPosition="0">
          <references count="1">
            <reference field="4294967294" count="1" selected="0">
              <x v="0"/>
            </reference>
          </references>
        </pivotArea>
      </autoSortScope>
    </pivotField>
    <pivotField showAll="0"/>
    <pivotField showAll="0">
      <items count="24">
        <item x="10"/>
        <item x="17"/>
        <item x="9"/>
        <item x="16"/>
        <item x="21"/>
        <item x="7"/>
        <item x="12"/>
        <item x="5"/>
        <item x="2"/>
        <item x="11"/>
        <item x="13"/>
        <item x="8"/>
        <item x="19"/>
        <item x="20"/>
        <item x="14"/>
        <item x="3"/>
        <item x="22"/>
        <item x="1"/>
        <item x="0"/>
        <item x="4"/>
        <item x="6"/>
        <item x="18"/>
        <item x="15"/>
        <item t="default"/>
      </items>
    </pivotField>
    <pivotField showAll="0"/>
    <pivotField showAll="0"/>
    <pivotField showAll="0"/>
    <pivotField showAll="0">
      <items count="5">
        <item x="2"/>
        <item x="1"/>
        <item x="3"/>
        <item x="0"/>
        <item t="default"/>
      </items>
    </pivotField>
    <pivotField axis="axisRow" showAll="0" sortType="descending">
      <items count="9">
        <item x="3"/>
        <item x="5"/>
        <item x="0"/>
        <item x="1"/>
        <item x="4"/>
        <item x="6"/>
        <item x="7"/>
        <item x="2"/>
        <item t="default"/>
      </items>
      <autoSortScope>
        <pivotArea dataOnly="0" outline="0" fieldPosition="0">
          <references count="1">
            <reference field="4294967294" count="1" selected="0">
              <x v="0"/>
            </reference>
          </references>
        </pivotArea>
      </autoSortScope>
    </pivotField>
    <pivotField showAll="0">
      <items count="11">
        <item x="0"/>
        <item x="1"/>
        <item x="5"/>
        <item x="4"/>
        <item x="3"/>
        <item x="6"/>
        <item x="2"/>
        <item x="7"/>
        <item x="9"/>
        <item x="8"/>
        <item t="default"/>
      </items>
    </pivotField>
    <pivotField showAll="0"/>
    <pivotField showAll="0"/>
    <pivotField showAll="0"/>
    <pivotField showAll="0"/>
    <pivotField showAll="0"/>
    <pivotField multipleItemSelectionAllowed="1" showAll="0">
      <items count="4">
        <item h="1" x="1"/>
        <item h="1" x="0"/>
        <item x="2"/>
        <item t="default"/>
      </items>
    </pivotField>
    <pivotField showAll="0"/>
    <pivotField numFmtId="164" showAll="0"/>
  </pivotFields>
  <rowFields count="2">
    <field x="5"/>
    <field x="12"/>
  </rowFields>
  <rowItems count="20">
    <i>
      <x v="15"/>
    </i>
    <i>
      <x v="8"/>
    </i>
    <i>
      <x v="17"/>
    </i>
    <i>
      <x v="13"/>
    </i>
    <i>
      <x v="6"/>
    </i>
    <i>
      <x v="18"/>
    </i>
    <i>
      <x v="3"/>
    </i>
    <i>
      <x v="1"/>
    </i>
    <i>
      <x v="5"/>
    </i>
    <i>
      <x v="7"/>
    </i>
    <i>
      <x/>
    </i>
    <i>
      <x v="12"/>
    </i>
    <i>
      <x v="2"/>
    </i>
    <i>
      <x v="4"/>
    </i>
    <i>
      <x v="10"/>
    </i>
    <i>
      <x v="16"/>
    </i>
    <i>
      <x v="9"/>
    </i>
    <i>
      <x v="14"/>
    </i>
    <i>
      <x v="11"/>
    </i>
    <i t="grand">
      <x/>
    </i>
  </rowItems>
  <colItems count="1">
    <i/>
  </colItems>
  <dataFields count="1">
    <dataField name="Number of Risks" fld="0" subtotal="count" showDataAs="percentOfTotal" baseField="0" baseItem="0" numFmtId="10"/>
  </dataFields>
  <formats count="15">
    <format dxfId="2365">
      <pivotArea type="all" dataOnly="0" outline="0" fieldPosition="0"/>
    </format>
    <format dxfId="2364">
      <pivotArea outline="0" collapsedLevelsAreSubtotals="1" fieldPosition="0"/>
    </format>
    <format dxfId="2363">
      <pivotArea field="5" type="button" dataOnly="0" labelOnly="1" outline="0" axis="axisRow" fieldPosition="0"/>
    </format>
    <format dxfId="2362">
      <pivotArea dataOnly="0" labelOnly="1" outline="0" axis="axisValues" fieldPosition="0"/>
    </format>
    <format dxfId="2361">
      <pivotArea dataOnly="0" labelOnly="1" fieldPosition="0">
        <references count="1">
          <reference field="5" count="0"/>
        </references>
      </pivotArea>
    </format>
    <format dxfId="2360">
      <pivotArea dataOnly="0" labelOnly="1" grandRow="1" outline="0" fieldPosition="0"/>
    </format>
    <format dxfId="2359">
      <pivotArea dataOnly="0" labelOnly="1" outline="0" axis="axisValues" fieldPosition="0"/>
    </format>
    <format dxfId="2352">
      <pivotArea type="all" dataOnly="0" outline="0" fieldPosition="0"/>
    </format>
    <format dxfId="2351">
      <pivotArea outline="0" collapsedLevelsAreSubtotals="1" fieldPosition="0"/>
    </format>
    <format dxfId="2350">
      <pivotArea field="5" type="button" dataOnly="0" labelOnly="1" outline="0" axis="axisRow" fieldPosition="0"/>
    </format>
    <format dxfId="2349">
      <pivotArea dataOnly="0" labelOnly="1" outline="0" axis="axisValues" fieldPosition="0"/>
    </format>
    <format dxfId="2348">
      <pivotArea dataOnly="0" labelOnly="1" fieldPosition="0">
        <references count="1">
          <reference field="5" count="0"/>
        </references>
      </pivotArea>
    </format>
    <format dxfId="2347">
      <pivotArea dataOnly="0" labelOnly="1" grandRow="1" outline="0" fieldPosition="0"/>
    </format>
    <format dxfId="2346">
      <pivotArea dataOnly="0" labelOnly="1" outline="0" axis="axisValues"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6" name="PivotTable3"/>
    <pivotTable tabId="6" name="PivotTable2"/>
    <pivotTable tabId="6" name="PivotTable4"/>
  </pivotTables>
  <data>
    <tabular pivotCacheId="1">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2" sourceName="Years2">
  <pivotTables>
    <pivotTable tabId="8" name="PivotTable5"/>
    <pivotTable tabId="8" name="PivotTable6"/>
    <pivotTable tabId="8" name="PivotTable2"/>
  </pivotTables>
  <data>
    <tabular pivotCacheId="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sidual_Risk_Level" sourceName="Residual Risk Level">
  <pivotTables>
    <pivotTable tabId="16" name="PivotTable4"/>
  </pivotTables>
  <data>
    <tabular pivotCacheId="3">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ntrol_Implementation_Status" sourceName="Control Implementation Status">
  <pivotTables>
    <pivotTable tabId="18" name="PivotTable2"/>
    <pivotTable tabId="18" name="PivotTable3"/>
    <pivotTable tabId="18" name="PivotTable4"/>
  </pivotTables>
  <data>
    <tabular pivotCacheId="3">
      <items count="3">
        <i x="1"/>
        <i x="0"/>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columnCount="4" showCaption="0" rowHeight="365760"/>
</slicers>
</file>

<file path=xl/slicers/slicer2.xml><?xml version="1.0" encoding="utf-8"?>
<slicers xmlns="http://schemas.microsoft.com/office/spreadsheetml/2009/9/main" xmlns:mc="http://schemas.openxmlformats.org/markup-compatibility/2006" xmlns:x="http://schemas.openxmlformats.org/spreadsheetml/2006/main" mc:Ignorable="x">
  <slicer name="Years2" cache="Slicer_Years2" caption="Years2" columnCount="4" showCaption="0" rowHeight="365760"/>
</slicers>
</file>

<file path=xl/slicers/slicer3.xml><?xml version="1.0" encoding="utf-8"?>
<slicers xmlns="http://schemas.microsoft.com/office/spreadsheetml/2009/9/main" xmlns:mc="http://schemas.openxmlformats.org/markup-compatibility/2006" xmlns:x="http://schemas.openxmlformats.org/spreadsheetml/2006/main" mc:Ignorable="x">
  <slicer name="Residual Risk Level" cache="Slicer_Residual_Risk_Level" caption="Residual Risk Level" columnCount="4" showCaption="0" rowHeight="365760"/>
</slicers>
</file>

<file path=xl/slicers/slicer4.xml><?xml version="1.0" encoding="utf-8"?>
<slicers xmlns="http://schemas.microsoft.com/office/spreadsheetml/2009/9/main" xmlns:mc="http://schemas.openxmlformats.org/markup-compatibility/2006" xmlns:x="http://schemas.openxmlformats.org/spreadsheetml/2006/main" mc:Ignorable="x">
  <slicer name="Control Implementation Status" cache="Slicer_Control_Implementation_Status" caption="Control Implementation Status" columnCount="3" showCaption="0" style="SlicerStyleOther1" rowHeight="365760"/>
</slicers>
</file>

<file path=xl/tables/table1.xml><?xml version="1.0" encoding="utf-8"?>
<table xmlns="http://schemas.openxmlformats.org/spreadsheetml/2006/main" id="5" name="Table5" displayName="Table5" ref="A1:V501" totalsRowShown="0" headerRowDxfId="2494" headerRowBorderDxfId="2493" tableBorderDxfId="2492">
  <autoFilter ref="A1:V501"/>
  <tableColumns count="22">
    <tableColumn id="1" name="Risk ID"/>
    <tableColumn id="2" name="Assessment Date" dataDxfId="2491"/>
    <tableColumn id="3" name="Department"/>
    <tableColumn id="4" name="Location"/>
    <tableColumn id="5" name="Activity"/>
    <tableColumn id="6" name="Hazard"/>
    <tableColumn id="7" name="Hazard Category"/>
    <tableColumn id="8" name="Potential Consequence"/>
    <tableColumn id="9" name="Initial Likelihood"/>
    <tableColumn id="10" name="Initial Consequence"/>
    <tableColumn id="11" name="Initial Risk Score"/>
    <tableColumn id="12" name="Initial Risk Level"/>
    <tableColumn id="13" name="Existing Controls"/>
    <tableColumn id="14" name="Additional Controls"/>
    <tableColumn id="15" name="Residual Likelihood"/>
    <tableColumn id="16" name="Residual Consequence"/>
    <tableColumn id="17" name="Residual Risk Score"/>
    <tableColumn id="18" name="Risk Reduction" dataDxfId="2490"/>
    <tableColumn id="19" name="Residual Risk Level"/>
    <tableColumn id="20" name="Control Implementation Status"/>
    <tableColumn id="21" name="Responsible Person"/>
    <tableColumn id="22" name="Review Date" dataDxfId="2489"/>
  </tableColumns>
  <tableStyleInfo name="TableStyleMedium9" showFirstColumn="0" showLastColumn="0" showRowStripes="1" showColumnStripes="0"/>
</table>
</file>

<file path=xl/tables/table2.xml><?xml version="1.0" encoding="utf-8"?>
<table xmlns="http://schemas.openxmlformats.org/spreadsheetml/2006/main" id="6" name="Table6" displayName="Table6" ref="A1:V476" totalsRowShown="0">
  <autoFilter ref="A1:V476"/>
  <tableColumns count="22">
    <tableColumn id="1" name="Risk ID"/>
    <tableColumn id="2" name="Assessment Date" dataDxfId="2446"/>
    <tableColumn id="3" name="Department"/>
    <tableColumn id="4" name="Location"/>
    <tableColumn id="5" name="Activity"/>
    <tableColumn id="6" name="Hazard"/>
    <tableColumn id="7" name="Hazard Category"/>
    <tableColumn id="8" name="Potential Consequence"/>
    <tableColumn id="9" name="Initial Likelihood"/>
    <tableColumn id="10" name="Initial Consequence"/>
    <tableColumn id="11" name="Initial Risk Score"/>
    <tableColumn id="12" name="Initial Risk Level"/>
    <tableColumn id="13" name="Existing Controls"/>
    <tableColumn id="14" name="Additional Controls"/>
    <tableColumn id="15" name="Residual Likelihood"/>
    <tableColumn id="16" name="Residual Consequence"/>
    <tableColumn id="17" name="Residual Risk Score"/>
    <tableColumn id="18" name="Risk Reduction"/>
    <tableColumn id="19" name="Residual Risk Level"/>
    <tableColumn id="20" name="Control Implementation Status"/>
    <tableColumn id="21" name="Responsible Person"/>
    <tableColumn id="22" name="Review Date" dataDxfId="2445"/>
  </tableColumns>
  <tableStyleInfo name="TableStyleMedium9" showFirstColumn="0" showLastColumn="0" showRowStripes="1" showColumnStripes="0"/>
</table>
</file>

<file path=xl/tables/table3.xml><?xml version="1.0" encoding="utf-8"?>
<table xmlns="http://schemas.openxmlformats.org/spreadsheetml/2006/main" id="7" name="Table7" displayName="Table7" ref="A1:V26" totalsRowShown="0">
  <autoFilter ref="A1:V26"/>
  <tableColumns count="22">
    <tableColumn id="1" name="Risk ID"/>
    <tableColumn id="2" name="Assessment Date" dataDxfId="2444"/>
    <tableColumn id="3" name="Department"/>
    <tableColumn id="4" name="Location"/>
    <tableColumn id="5" name="Activity"/>
    <tableColumn id="6" name="Hazard"/>
    <tableColumn id="7" name="Hazard Category"/>
    <tableColumn id="8" name="Potential Consequence"/>
    <tableColumn id="9" name="Initial Likelihood"/>
    <tableColumn id="10" name="Initial Consequence"/>
    <tableColumn id="11" name="Initial Risk Score"/>
    <tableColumn id="12" name="Initial Risk Level"/>
    <tableColumn id="13" name="Existing Controls"/>
    <tableColumn id="14" name="Additional Controls"/>
    <tableColumn id="15" name="Residual Likelihood"/>
    <tableColumn id="16" name="Residual Consequence"/>
    <tableColumn id="17" name="Residual Risk Score"/>
    <tableColumn id="18" name="Risk Reduction"/>
    <tableColumn id="19" name="Residual Risk Level"/>
    <tableColumn id="20" name="Control Implementation Status"/>
    <tableColumn id="21" name="Responsible Person"/>
    <tableColumn id="22" name="Review Date" dataDxfId="244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Review_Date" sourceName="Review Date">
  <pivotTables>
    <pivotTable tabId="15" name="PivotTable3"/>
  </pivotTables>
  <state minimalRefreshVersion="6" lastRefreshVersion="6" pivotCacheId="3" filterType="unknown">
    <bounds startDate="2025-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Review Date" cache="NativeTimeline_Review_Date" caption="Review Date" showHeader="0" showHorizontalScrollbar="0" level="1" selectionLevel="1" scrollPosition="2025-01-01T00:00:00" style="TimeSlicerStyleDark5"/>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4.xml"/><Relationship Id="rId5" Type="http://schemas.openxmlformats.org/officeDocument/2006/relationships/drawing" Target="../drawings/drawing5.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50"/>
  </sheetPr>
  <dimension ref="A1:V501"/>
  <sheetViews>
    <sheetView topLeftCell="A2" workbookViewId="0">
      <selection activeCell="E9" sqref="A1:V501"/>
    </sheetView>
  </sheetViews>
  <sheetFormatPr defaultRowHeight="15" x14ac:dyDescent="0.25"/>
  <cols>
    <col min="1" max="1" width="11.42578125" bestFit="1" customWidth="1"/>
    <col min="2" max="2" width="20.85546875" bestFit="1" customWidth="1"/>
    <col min="3" max="3" width="16.28515625" bestFit="1" customWidth="1"/>
    <col min="4" max="4" width="13" bestFit="1" customWidth="1"/>
    <col min="5" max="5" width="27" bestFit="1" customWidth="1"/>
    <col min="6" max="6" width="35.28515625" bestFit="1" customWidth="1"/>
    <col min="7" max="7" width="20" customWidth="1"/>
    <col min="8" max="8" width="26.5703125" bestFit="1" customWidth="1"/>
    <col min="9" max="9" width="20.5703125" bestFit="1" customWidth="1"/>
    <col min="10" max="10" width="23.42578125" bestFit="1" customWidth="1"/>
    <col min="11" max="11" width="20.140625" bestFit="1" customWidth="1"/>
    <col min="12" max="12" width="20" customWidth="1"/>
    <col min="13" max="13" width="43" bestFit="1" customWidth="1"/>
    <col min="14" max="14" width="35.85546875" bestFit="1" customWidth="1"/>
    <col min="15" max="15" width="23.140625" bestFit="1" customWidth="1"/>
    <col min="16" max="16" width="26" bestFit="1" customWidth="1"/>
    <col min="17" max="17" width="22.7109375" bestFit="1" customWidth="1"/>
    <col min="18" max="18" width="16.42578125" style="4" bestFit="1" customWidth="1"/>
    <col min="19" max="19" width="22.5703125" bestFit="1" customWidth="1"/>
    <col min="20" max="20" width="33.42578125" bestFit="1" customWidth="1"/>
    <col min="21" max="21" width="23.28515625" bestFit="1" customWidth="1"/>
    <col min="22" max="22" width="18.28515625" bestFit="1" customWidth="1"/>
  </cols>
  <sheetData>
    <row r="1" spans="1:22" x14ac:dyDescent="0.25">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5" t="s">
        <v>661</v>
      </c>
      <c r="S1" s="14" t="s">
        <v>17</v>
      </c>
      <c r="T1" s="14" t="s">
        <v>18</v>
      </c>
      <c r="U1" s="14" t="s">
        <v>19</v>
      </c>
      <c r="V1" s="14" t="s">
        <v>20</v>
      </c>
    </row>
    <row r="2" spans="1:22" x14ac:dyDescent="0.25">
      <c r="A2" t="s">
        <v>21</v>
      </c>
      <c r="B2" s="2">
        <v>46199</v>
      </c>
      <c r="C2" t="s">
        <v>22</v>
      </c>
      <c r="D2" t="s">
        <v>23</v>
      </c>
      <c r="E2" t="s">
        <v>24</v>
      </c>
      <c r="F2" t="s">
        <v>25</v>
      </c>
      <c r="G2" t="s">
        <v>26</v>
      </c>
      <c r="H2" t="s">
        <v>27</v>
      </c>
      <c r="I2">
        <v>2</v>
      </c>
      <c r="J2">
        <v>3</v>
      </c>
      <c r="K2">
        <v>6</v>
      </c>
      <c r="L2" t="s">
        <v>28</v>
      </c>
      <c r="M2" t="s">
        <v>29</v>
      </c>
      <c r="N2" t="s">
        <v>30</v>
      </c>
      <c r="O2">
        <v>1</v>
      </c>
      <c r="P2">
        <v>2</v>
      </c>
      <c r="Q2">
        <v>2</v>
      </c>
      <c r="R2" s="4" t="str">
        <f>IF(Table5[[#This Row],[Residual Risk Score]]&lt;Table5[[#This Row],[Initial Risk Score]],"Reduced","No Reduction")</f>
        <v>Reduced</v>
      </c>
      <c r="S2" t="s">
        <v>31</v>
      </c>
      <c r="T2" t="s">
        <v>32</v>
      </c>
      <c r="U2" t="s">
        <v>33</v>
      </c>
      <c r="V2" s="2">
        <v>46564</v>
      </c>
    </row>
    <row r="3" spans="1:22" x14ac:dyDescent="0.25">
      <c r="A3" t="s">
        <v>34</v>
      </c>
      <c r="B3" s="2">
        <v>45976</v>
      </c>
      <c r="C3" t="s">
        <v>35</v>
      </c>
      <c r="D3" t="s">
        <v>23</v>
      </c>
      <c r="E3" t="s">
        <v>36</v>
      </c>
      <c r="F3" t="s">
        <v>37</v>
      </c>
      <c r="G3" t="s">
        <v>38</v>
      </c>
      <c r="H3" t="s">
        <v>39</v>
      </c>
      <c r="I3">
        <v>4</v>
      </c>
      <c r="J3">
        <v>4</v>
      </c>
      <c r="K3">
        <v>16</v>
      </c>
      <c r="L3" t="s">
        <v>40</v>
      </c>
      <c r="M3" t="s">
        <v>41</v>
      </c>
      <c r="N3" t="s">
        <v>42</v>
      </c>
      <c r="O3">
        <v>4</v>
      </c>
      <c r="P3">
        <v>3</v>
      </c>
      <c r="Q3">
        <v>12</v>
      </c>
      <c r="R3" t="str">
        <f>IF(Table5[[#This Row],[Residual Risk Score]]&gt;Table5[[#This Row],[Initial Risk Score]],"NO Reduction","Reduced")</f>
        <v>Reduced</v>
      </c>
      <c r="S3" t="s">
        <v>40</v>
      </c>
      <c r="T3" t="s">
        <v>43</v>
      </c>
      <c r="U3" t="s">
        <v>33</v>
      </c>
      <c r="V3" s="2">
        <v>46156</v>
      </c>
    </row>
    <row r="4" spans="1:22" x14ac:dyDescent="0.25">
      <c r="A4" t="s">
        <v>44</v>
      </c>
      <c r="B4" s="2">
        <v>45675</v>
      </c>
      <c r="C4" t="s">
        <v>45</v>
      </c>
      <c r="D4" t="s">
        <v>23</v>
      </c>
      <c r="E4" t="s">
        <v>46</v>
      </c>
      <c r="F4" t="s">
        <v>47</v>
      </c>
      <c r="G4" t="s">
        <v>48</v>
      </c>
      <c r="H4" t="s">
        <v>49</v>
      </c>
      <c r="I4">
        <v>5</v>
      </c>
      <c r="J4">
        <v>2</v>
      </c>
      <c r="K4">
        <v>10</v>
      </c>
      <c r="L4" t="s">
        <v>40</v>
      </c>
      <c r="M4" t="s">
        <v>50</v>
      </c>
      <c r="N4" t="s">
        <v>51</v>
      </c>
      <c r="O4">
        <v>5</v>
      </c>
      <c r="P4">
        <v>1</v>
      </c>
      <c r="Q4">
        <v>5</v>
      </c>
      <c r="R4" t="str">
        <f>IF(Table5[[#This Row],[Residual Risk Score]]&gt;Table5[[#This Row],[Initial Risk Score]],"NO Reduction","Reduced")</f>
        <v>Reduced</v>
      </c>
      <c r="S4" t="s">
        <v>28</v>
      </c>
      <c r="T4" t="s">
        <v>32</v>
      </c>
      <c r="U4" t="s">
        <v>52</v>
      </c>
      <c r="V4" s="2">
        <v>45855</v>
      </c>
    </row>
    <row r="5" spans="1:22" x14ac:dyDescent="0.25">
      <c r="A5" t="s">
        <v>53</v>
      </c>
      <c r="B5" s="2">
        <v>45870</v>
      </c>
      <c r="C5" t="s">
        <v>54</v>
      </c>
      <c r="D5" t="s">
        <v>55</v>
      </c>
      <c r="E5" t="s">
        <v>56</v>
      </c>
      <c r="F5" t="s">
        <v>57</v>
      </c>
      <c r="G5" t="s">
        <v>58</v>
      </c>
      <c r="H5" t="s">
        <v>59</v>
      </c>
      <c r="I5">
        <v>5</v>
      </c>
      <c r="J5">
        <v>3</v>
      </c>
      <c r="K5">
        <v>15</v>
      </c>
      <c r="L5" t="s">
        <v>40</v>
      </c>
      <c r="M5" t="s">
        <v>29</v>
      </c>
      <c r="N5" t="s">
        <v>60</v>
      </c>
      <c r="O5">
        <v>3</v>
      </c>
      <c r="P5">
        <v>3</v>
      </c>
      <c r="Q5">
        <v>9</v>
      </c>
      <c r="R5" s="4" t="str">
        <f>IF(Table5[[#This Row],[Residual Risk Score]]&lt;Table5[[#This Row],[Initial Risk Score]],"Reduced","No Reduction")</f>
        <v>Reduced</v>
      </c>
      <c r="S5" t="s">
        <v>28</v>
      </c>
      <c r="T5" t="s">
        <v>61</v>
      </c>
      <c r="U5" t="s">
        <v>62</v>
      </c>
      <c r="V5" s="2">
        <v>46600</v>
      </c>
    </row>
    <row r="6" spans="1:22" x14ac:dyDescent="0.25">
      <c r="A6" t="s">
        <v>63</v>
      </c>
      <c r="B6" s="2">
        <v>46190</v>
      </c>
      <c r="C6" t="s">
        <v>64</v>
      </c>
      <c r="D6" t="s">
        <v>65</v>
      </c>
      <c r="E6" t="s">
        <v>66</v>
      </c>
      <c r="F6" t="s">
        <v>67</v>
      </c>
      <c r="G6" t="s">
        <v>35</v>
      </c>
      <c r="H6" t="s">
        <v>68</v>
      </c>
      <c r="I6">
        <v>2</v>
      </c>
      <c r="J6">
        <v>5</v>
      </c>
      <c r="K6">
        <v>10</v>
      </c>
      <c r="L6" t="s">
        <v>40</v>
      </c>
      <c r="M6" t="s">
        <v>69</v>
      </c>
      <c r="N6" t="s">
        <v>70</v>
      </c>
      <c r="O6">
        <v>1</v>
      </c>
      <c r="P6">
        <v>5</v>
      </c>
      <c r="Q6">
        <v>5</v>
      </c>
      <c r="R6" s="4" t="str">
        <f>IF(Table5[[#This Row],[Residual Risk Score]]&lt;Table5[[#This Row],[Initial Risk Score]],"Reduced","No Reduction")</f>
        <v>Reduced</v>
      </c>
      <c r="S6" t="s">
        <v>28</v>
      </c>
      <c r="T6" t="s">
        <v>32</v>
      </c>
      <c r="U6" t="s">
        <v>71</v>
      </c>
      <c r="V6" s="2">
        <v>46920</v>
      </c>
    </row>
    <row r="7" spans="1:22" x14ac:dyDescent="0.25">
      <c r="A7" t="s">
        <v>72</v>
      </c>
      <c r="B7" s="2">
        <v>46043</v>
      </c>
      <c r="C7" t="s">
        <v>73</v>
      </c>
      <c r="D7" t="s">
        <v>74</v>
      </c>
      <c r="E7" t="s">
        <v>75</v>
      </c>
      <c r="F7" t="s">
        <v>76</v>
      </c>
      <c r="G7" t="s">
        <v>73</v>
      </c>
      <c r="H7" t="s">
        <v>77</v>
      </c>
      <c r="I7">
        <v>3</v>
      </c>
      <c r="J7">
        <v>2</v>
      </c>
      <c r="K7">
        <v>6</v>
      </c>
      <c r="L7" t="s">
        <v>28</v>
      </c>
      <c r="M7" t="s">
        <v>78</v>
      </c>
      <c r="N7" t="s">
        <v>60</v>
      </c>
      <c r="O7">
        <v>3</v>
      </c>
      <c r="P7">
        <v>1</v>
      </c>
      <c r="Q7">
        <v>3</v>
      </c>
      <c r="R7" s="4" t="str">
        <f>IF(Table5[[#This Row],[Residual Risk Score]]&lt;Table5[[#This Row],[Initial Risk Score]],"Reduced","No Reduction")</f>
        <v>Reduced</v>
      </c>
      <c r="S7" t="s">
        <v>31</v>
      </c>
      <c r="T7" t="s">
        <v>32</v>
      </c>
      <c r="U7" t="s">
        <v>52</v>
      </c>
      <c r="V7" s="2">
        <v>46773</v>
      </c>
    </row>
    <row r="8" spans="1:22" x14ac:dyDescent="0.25">
      <c r="A8" t="s">
        <v>79</v>
      </c>
      <c r="B8" s="2">
        <v>45966</v>
      </c>
      <c r="C8" t="s">
        <v>22</v>
      </c>
      <c r="D8" t="s">
        <v>80</v>
      </c>
      <c r="E8" t="s">
        <v>81</v>
      </c>
      <c r="F8" t="s">
        <v>82</v>
      </c>
      <c r="G8" t="s">
        <v>81</v>
      </c>
      <c r="H8" t="s">
        <v>68</v>
      </c>
      <c r="I8">
        <v>4</v>
      </c>
      <c r="J8">
        <v>3</v>
      </c>
      <c r="K8">
        <v>12</v>
      </c>
      <c r="L8" t="s">
        <v>40</v>
      </c>
      <c r="M8" t="s">
        <v>83</v>
      </c>
      <c r="N8" t="s">
        <v>42</v>
      </c>
      <c r="O8">
        <v>3</v>
      </c>
      <c r="P8">
        <v>2</v>
      </c>
      <c r="Q8">
        <v>6</v>
      </c>
      <c r="R8" t="str">
        <f>IF(Table5[[#This Row],[Residual Risk Score]]&gt;Table5[[#This Row],[Initial Risk Score]],"NO Reduction","Reduced")</f>
        <v>Reduced</v>
      </c>
      <c r="S8" t="s">
        <v>28</v>
      </c>
      <c r="T8" t="s">
        <v>43</v>
      </c>
      <c r="U8" t="s">
        <v>52</v>
      </c>
      <c r="V8" s="2">
        <v>46331</v>
      </c>
    </row>
    <row r="9" spans="1:22" x14ac:dyDescent="0.25">
      <c r="A9" t="s">
        <v>84</v>
      </c>
      <c r="B9" s="2">
        <v>46330</v>
      </c>
      <c r="C9" t="s">
        <v>85</v>
      </c>
      <c r="D9" t="s">
        <v>55</v>
      </c>
      <c r="E9" t="s">
        <v>86</v>
      </c>
      <c r="F9" t="s">
        <v>87</v>
      </c>
      <c r="G9" t="s">
        <v>48</v>
      </c>
      <c r="H9" t="s">
        <v>88</v>
      </c>
      <c r="I9">
        <v>5</v>
      </c>
      <c r="J9">
        <v>2</v>
      </c>
      <c r="K9">
        <v>10</v>
      </c>
      <c r="L9" t="s">
        <v>40</v>
      </c>
      <c r="M9" t="s">
        <v>50</v>
      </c>
      <c r="N9" t="s">
        <v>89</v>
      </c>
      <c r="O9">
        <v>4</v>
      </c>
      <c r="P9">
        <v>1</v>
      </c>
      <c r="Q9">
        <v>4</v>
      </c>
      <c r="R9" s="4" t="str">
        <f>IF(Table5[[#This Row],[Residual Risk Score]]&lt;Table5[[#This Row],[Initial Risk Score]],"Reduced","No Reduction")</f>
        <v>Reduced</v>
      </c>
      <c r="S9" t="s">
        <v>31</v>
      </c>
      <c r="T9" t="s">
        <v>43</v>
      </c>
      <c r="U9" t="s">
        <v>33</v>
      </c>
      <c r="V9" s="2">
        <v>46510</v>
      </c>
    </row>
    <row r="10" spans="1:22" x14ac:dyDescent="0.25">
      <c r="A10" t="s">
        <v>90</v>
      </c>
      <c r="B10" s="2">
        <v>45865</v>
      </c>
      <c r="C10" t="s">
        <v>64</v>
      </c>
      <c r="D10" t="s">
        <v>80</v>
      </c>
      <c r="E10" t="s">
        <v>91</v>
      </c>
      <c r="F10" t="s">
        <v>92</v>
      </c>
      <c r="G10" t="s">
        <v>35</v>
      </c>
      <c r="H10" t="s">
        <v>93</v>
      </c>
      <c r="I10">
        <v>5</v>
      </c>
      <c r="J10">
        <v>4</v>
      </c>
      <c r="K10">
        <v>20</v>
      </c>
      <c r="L10" t="s">
        <v>94</v>
      </c>
      <c r="M10" t="s">
        <v>95</v>
      </c>
      <c r="N10" t="s">
        <v>51</v>
      </c>
      <c r="O10">
        <v>4</v>
      </c>
      <c r="P10">
        <v>4</v>
      </c>
      <c r="Q10">
        <v>16</v>
      </c>
      <c r="R10" s="4" t="str">
        <f>IF(Table5[[#This Row],[Residual Risk Score]]&lt;Table5[[#This Row],[Initial Risk Score]],"Reduced","No Reduction")</f>
        <v>Reduced</v>
      </c>
      <c r="S10" t="s">
        <v>40</v>
      </c>
      <c r="T10" t="s">
        <v>61</v>
      </c>
      <c r="U10" t="s">
        <v>96</v>
      </c>
      <c r="V10" s="2">
        <v>46595</v>
      </c>
    </row>
    <row r="11" spans="1:22" x14ac:dyDescent="0.25">
      <c r="A11" t="s">
        <v>97</v>
      </c>
      <c r="B11" s="2">
        <v>45917</v>
      </c>
      <c r="C11" t="s">
        <v>22</v>
      </c>
      <c r="D11" t="s">
        <v>98</v>
      </c>
      <c r="E11" t="s">
        <v>99</v>
      </c>
      <c r="F11" t="s">
        <v>100</v>
      </c>
      <c r="G11" t="s">
        <v>35</v>
      </c>
      <c r="H11" t="s">
        <v>68</v>
      </c>
      <c r="I11">
        <v>4</v>
      </c>
      <c r="J11">
        <v>2</v>
      </c>
      <c r="K11">
        <v>8</v>
      </c>
      <c r="L11" t="s">
        <v>28</v>
      </c>
      <c r="M11" t="s">
        <v>101</v>
      </c>
      <c r="N11" t="s">
        <v>102</v>
      </c>
      <c r="O11">
        <v>2</v>
      </c>
      <c r="P11">
        <v>1</v>
      </c>
      <c r="Q11">
        <v>2</v>
      </c>
      <c r="R11" t="str">
        <f>IF(Table5[[#This Row],[Residual Risk Score]]&gt;Table5[[#This Row],[Initial Risk Score]],"NO Reduction","Reduced")</f>
        <v>Reduced</v>
      </c>
      <c r="S11" t="s">
        <v>31</v>
      </c>
      <c r="T11" t="s">
        <v>43</v>
      </c>
      <c r="U11" t="s">
        <v>52</v>
      </c>
      <c r="V11" s="2">
        <v>46282</v>
      </c>
    </row>
    <row r="12" spans="1:22" x14ac:dyDescent="0.25">
      <c r="A12" t="s">
        <v>103</v>
      </c>
      <c r="B12" s="2">
        <v>46172</v>
      </c>
      <c r="C12" t="s">
        <v>73</v>
      </c>
      <c r="D12" t="s">
        <v>98</v>
      </c>
      <c r="E12" t="s">
        <v>104</v>
      </c>
      <c r="F12" t="s">
        <v>105</v>
      </c>
      <c r="G12" t="s">
        <v>73</v>
      </c>
      <c r="H12" t="s">
        <v>77</v>
      </c>
      <c r="I12">
        <v>3</v>
      </c>
      <c r="J12">
        <v>4</v>
      </c>
      <c r="K12">
        <v>12</v>
      </c>
      <c r="L12" t="s">
        <v>40</v>
      </c>
      <c r="M12" t="s">
        <v>78</v>
      </c>
      <c r="N12" t="s">
        <v>106</v>
      </c>
      <c r="O12">
        <v>1</v>
      </c>
      <c r="P12">
        <v>3</v>
      </c>
      <c r="Q12">
        <v>3</v>
      </c>
      <c r="R12" s="4" t="str">
        <f>IF(Table5[[#This Row],[Residual Risk Score]]&lt;Table5[[#This Row],[Initial Risk Score]],"Reduced","No Reduction")</f>
        <v>Reduced</v>
      </c>
      <c r="S12" t="s">
        <v>31</v>
      </c>
      <c r="T12" t="s">
        <v>61</v>
      </c>
      <c r="U12" t="s">
        <v>52</v>
      </c>
      <c r="V12" s="2">
        <v>46537</v>
      </c>
    </row>
    <row r="13" spans="1:22" x14ac:dyDescent="0.25">
      <c r="A13" t="s">
        <v>107</v>
      </c>
      <c r="B13" s="2">
        <v>45816</v>
      </c>
      <c r="C13" t="s">
        <v>22</v>
      </c>
      <c r="D13" t="s">
        <v>108</v>
      </c>
      <c r="E13" t="s">
        <v>109</v>
      </c>
      <c r="F13" t="s">
        <v>110</v>
      </c>
      <c r="G13" t="s">
        <v>111</v>
      </c>
      <c r="H13" t="s">
        <v>68</v>
      </c>
      <c r="I13">
        <v>5</v>
      </c>
      <c r="J13">
        <v>5</v>
      </c>
      <c r="K13">
        <v>25</v>
      </c>
      <c r="L13" t="s">
        <v>94</v>
      </c>
      <c r="M13" t="s">
        <v>95</v>
      </c>
      <c r="N13" t="s">
        <v>106</v>
      </c>
      <c r="O13">
        <v>5</v>
      </c>
      <c r="P13">
        <v>5</v>
      </c>
      <c r="Q13">
        <v>25</v>
      </c>
      <c r="R13" t="str">
        <f>IF(Table5[[#This Row],[Residual Risk Score]]&gt;Table5[[#This Row],[Initial Risk Score]],"NO Reduction","Reduced")</f>
        <v>Reduced</v>
      </c>
      <c r="S13" t="s">
        <v>94</v>
      </c>
      <c r="T13" t="s">
        <v>61</v>
      </c>
      <c r="U13" t="s">
        <v>33</v>
      </c>
      <c r="V13" s="2">
        <v>45996</v>
      </c>
    </row>
    <row r="14" spans="1:22" x14ac:dyDescent="0.25">
      <c r="A14" t="s">
        <v>112</v>
      </c>
      <c r="B14" s="2">
        <v>46036</v>
      </c>
      <c r="C14" t="s">
        <v>35</v>
      </c>
      <c r="D14" t="s">
        <v>108</v>
      </c>
      <c r="E14" t="s">
        <v>36</v>
      </c>
      <c r="F14" t="s">
        <v>37</v>
      </c>
      <c r="G14" t="s">
        <v>38</v>
      </c>
      <c r="H14" t="s">
        <v>113</v>
      </c>
      <c r="I14">
        <v>5</v>
      </c>
      <c r="J14">
        <v>5</v>
      </c>
      <c r="K14">
        <v>25</v>
      </c>
      <c r="L14" t="s">
        <v>94</v>
      </c>
      <c r="M14" t="s">
        <v>101</v>
      </c>
      <c r="N14" t="s">
        <v>42</v>
      </c>
      <c r="O14">
        <v>4</v>
      </c>
      <c r="P14">
        <v>4</v>
      </c>
      <c r="Q14">
        <v>16</v>
      </c>
      <c r="R14" s="4" t="str">
        <f>IF(Table5[[#This Row],[Residual Risk Score]]&lt;Table5[[#This Row],[Initial Risk Score]],"Reduced","No Reduction")</f>
        <v>Reduced</v>
      </c>
      <c r="S14" t="s">
        <v>40</v>
      </c>
      <c r="T14" t="s">
        <v>61</v>
      </c>
      <c r="U14" t="s">
        <v>71</v>
      </c>
      <c r="V14" s="2">
        <v>46401</v>
      </c>
    </row>
    <row r="15" spans="1:22" x14ac:dyDescent="0.25">
      <c r="A15" t="s">
        <v>114</v>
      </c>
      <c r="B15" s="2">
        <v>46105</v>
      </c>
      <c r="C15" t="s">
        <v>22</v>
      </c>
      <c r="D15" t="s">
        <v>108</v>
      </c>
      <c r="E15" t="s">
        <v>81</v>
      </c>
      <c r="F15" t="s">
        <v>82</v>
      </c>
      <c r="G15" t="s">
        <v>81</v>
      </c>
      <c r="H15" t="s">
        <v>68</v>
      </c>
      <c r="I15">
        <v>2</v>
      </c>
      <c r="J15">
        <v>4</v>
      </c>
      <c r="K15">
        <v>8</v>
      </c>
      <c r="L15" t="s">
        <v>28</v>
      </c>
      <c r="M15" t="s">
        <v>101</v>
      </c>
      <c r="N15" t="s">
        <v>102</v>
      </c>
      <c r="O15">
        <v>2</v>
      </c>
      <c r="P15">
        <v>3</v>
      </c>
      <c r="Q15">
        <v>6</v>
      </c>
      <c r="R15" s="4" t="str">
        <f>IF(Table5[[#This Row],[Residual Risk Score]]&lt;Table5[[#This Row],[Initial Risk Score]],"Reduced","No Reduction")</f>
        <v>Reduced</v>
      </c>
      <c r="S15" t="s">
        <v>28</v>
      </c>
      <c r="T15" t="s">
        <v>32</v>
      </c>
      <c r="U15" t="s">
        <v>52</v>
      </c>
      <c r="V15" s="2">
        <v>46470</v>
      </c>
    </row>
    <row r="16" spans="1:22" x14ac:dyDescent="0.25">
      <c r="A16" t="s">
        <v>115</v>
      </c>
      <c r="B16" s="2">
        <v>45827</v>
      </c>
      <c r="C16" t="s">
        <v>35</v>
      </c>
      <c r="D16" t="s">
        <v>80</v>
      </c>
      <c r="E16" t="s">
        <v>36</v>
      </c>
      <c r="F16" t="s">
        <v>37</v>
      </c>
      <c r="G16" t="s">
        <v>38</v>
      </c>
      <c r="H16" t="s">
        <v>116</v>
      </c>
      <c r="I16">
        <v>3</v>
      </c>
      <c r="J16">
        <v>5</v>
      </c>
      <c r="K16">
        <v>15</v>
      </c>
      <c r="L16" t="s">
        <v>40</v>
      </c>
      <c r="M16" t="s">
        <v>95</v>
      </c>
      <c r="N16" t="s">
        <v>30</v>
      </c>
      <c r="O16">
        <v>3</v>
      </c>
      <c r="P16">
        <v>5</v>
      </c>
      <c r="Q16">
        <v>15</v>
      </c>
      <c r="R16" s="4" t="str">
        <f>IF(Table5[[#This Row],[Residual Risk Score]]&lt;Table5[[#This Row],[Initial Risk Score]],"Reduced","No Reduction")</f>
        <v>No Reduction</v>
      </c>
      <c r="S16" t="s">
        <v>40</v>
      </c>
      <c r="T16" t="s">
        <v>61</v>
      </c>
      <c r="U16" t="s">
        <v>33</v>
      </c>
      <c r="V16" s="2">
        <v>46557</v>
      </c>
    </row>
    <row r="17" spans="1:22" x14ac:dyDescent="0.25">
      <c r="A17" t="s">
        <v>117</v>
      </c>
      <c r="B17" s="2">
        <v>45909</v>
      </c>
      <c r="C17" t="s">
        <v>22</v>
      </c>
      <c r="D17" t="s">
        <v>98</v>
      </c>
      <c r="E17" t="s">
        <v>24</v>
      </c>
      <c r="F17" t="s">
        <v>25</v>
      </c>
      <c r="G17" t="s">
        <v>26</v>
      </c>
      <c r="H17" t="s">
        <v>27</v>
      </c>
      <c r="I17">
        <v>5</v>
      </c>
      <c r="J17">
        <v>2</v>
      </c>
      <c r="K17">
        <v>10</v>
      </c>
      <c r="L17" t="s">
        <v>40</v>
      </c>
      <c r="M17" t="s">
        <v>41</v>
      </c>
      <c r="N17" t="s">
        <v>60</v>
      </c>
      <c r="O17">
        <v>4</v>
      </c>
      <c r="P17">
        <v>1</v>
      </c>
      <c r="Q17">
        <v>4</v>
      </c>
      <c r="R17" s="4" t="str">
        <f>IF(Table5[[#This Row],[Residual Risk Score]]&lt;Table5[[#This Row],[Initial Risk Score]],"Reduced","No Reduction")</f>
        <v>Reduced</v>
      </c>
      <c r="S17" t="s">
        <v>31</v>
      </c>
      <c r="T17" t="s">
        <v>43</v>
      </c>
      <c r="U17" t="s">
        <v>52</v>
      </c>
      <c r="V17" s="2">
        <v>46089</v>
      </c>
    </row>
    <row r="18" spans="1:22" x14ac:dyDescent="0.25">
      <c r="A18" t="s">
        <v>118</v>
      </c>
      <c r="B18" s="2">
        <v>46218</v>
      </c>
      <c r="C18" t="s">
        <v>64</v>
      </c>
      <c r="D18" t="s">
        <v>23</v>
      </c>
      <c r="E18" t="s">
        <v>66</v>
      </c>
      <c r="F18" t="s">
        <v>67</v>
      </c>
      <c r="G18" t="s">
        <v>35</v>
      </c>
      <c r="H18" t="s">
        <v>68</v>
      </c>
      <c r="I18">
        <v>3</v>
      </c>
      <c r="J18">
        <v>2</v>
      </c>
      <c r="K18">
        <v>6</v>
      </c>
      <c r="L18" t="s">
        <v>28</v>
      </c>
      <c r="M18" t="s">
        <v>41</v>
      </c>
      <c r="N18" t="s">
        <v>70</v>
      </c>
      <c r="O18">
        <v>2</v>
      </c>
      <c r="P18">
        <v>1</v>
      </c>
      <c r="Q18">
        <v>2</v>
      </c>
      <c r="R18" s="4" t="str">
        <f>IF(Table5[[#This Row],[Residual Risk Score]]&lt;Table5[[#This Row],[Initial Risk Score]],"Reduced","No Reduction")</f>
        <v>Reduced</v>
      </c>
      <c r="S18" t="s">
        <v>31</v>
      </c>
      <c r="T18" t="s">
        <v>61</v>
      </c>
      <c r="U18" t="s">
        <v>33</v>
      </c>
      <c r="V18" s="2">
        <v>46948</v>
      </c>
    </row>
    <row r="19" spans="1:22" x14ac:dyDescent="0.25">
      <c r="A19" t="s">
        <v>119</v>
      </c>
      <c r="B19" s="2">
        <v>46226</v>
      </c>
      <c r="C19" t="s">
        <v>35</v>
      </c>
      <c r="D19" t="s">
        <v>98</v>
      </c>
      <c r="E19" t="s">
        <v>120</v>
      </c>
      <c r="F19" t="s">
        <v>121</v>
      </c>
      <c r="G19" t="s">
        <v>35</v>
      </c>
      <c r="H19" t="s">
        <v>122</v>
      </c>
      <c r="I19">
        <v>3</v>
      </c>
      <c r="J19">
        <v>4</v>
      </c>
      <c r="K19">
        <v>12</v>
      </c>
      <c r="L19" t="s">
        <v>40</v>
      </c>
      <c r="M19" t="s">
        <v>83</v>
      </c>
      <c r="N19" t="s">
        <v>30</v>
      </c>
      <c r="O19">
        <v>2</v>
      </c>
      <c r="P19">
        <v>4</v>
      </c>
      <c r="Q19">
        <v>8</v>
      </c>
      <c r="R19" s="4" t="str">
        <f>IF(Table5[[#This Row],[Residual Risk Score]]&lt;Table5[[#This Row],[Initial Risk Score]],"Reduced","No Reduction")</f>
        <v>Reduced</v>
      </c>
      <c r="S19" t="s">
        <v>28</v>
      </c>
      <c r="T19" t="s">
        <v>32</v>
      </c>
      <c r="U19" t="s">
        <v>33</v>
      </c>
      <c r="V19" s="2">
        <v>46956</v>
      </c>
    </row>
    <row r="20" spans="1:22" x14ac:dyDescent="0.25">
      <c r="A20" t="s">
        <v>123</v>
      </c>
      <c r="B20" s="2">
        <v>46191</v>
      </c>
      <c r="C20" t="s">
        <v>73</v>
      </c>
      <c r="D20" t="s">
        <v>108</v>
      </c>
      <c r="E20" t="s">
        <v>104</v>
      </c>
      <c r="F20" t="s">
        <v>105</v>
      </c>
      <c r="G20" t="s">
        <v>73</v>
      </c>
      <c r="H20" t="s">
        <v>68</v>
      </c>
      <c r="I20">
        <v>2</v>
      </c>
      <c r="J20">
        <v>5</v>
      </c>
      <c r="K20">
        <v>10</v>
      </c>
      <c r="L20" t="s">
        <v>40</v>
      </c>
      <c r="M20" t="s">
        <v>101</v>
      </c>
      <c r="N20" t="s">
        <v>124</v>
      </c>
      <c r="O20">
        <v>1</v>
      </c>
      <c r="P20">
        <v>4</v>
      </c>
      <c r="Q20">
        <v>4</v>
      </c>
      <c r="R20" s="4" t="str">
        <f>IF(Table5[[#This Row],[Residual Risk Score]]&lt;Table5[[#This Row],[Initial Risk Score]],"Reduced","No Reduction")</f>
        <v>Reduced</v>
      </c>
      <c r="S20" t="s">
        <v>31</v>
      </c>
      <c r="T20" t="s">
        <v>43</v>
      </c>
      <c r="U20" t="s">
        <v>71</v>
      </c>
      <c r="V20" s="2">
        <v>46556</v>
      </c>
    </row>
    <row r="21" spans="1:22" x14ac:dyDescent="0.25">
      <c r="A21" t="s">
        <v>125</v>
      </c>
      <c r="B21" s="2">
        <v>45763</v>
      </c>
      <c r="C21" t="s">
        <v>85</v>
      </c>
      <c r="D21" t="s">
        <v>108</v>
      </c>
      <c r="E21" t="s">
        <v>86</v>
      </c>
      <c r="F21" t="s">
        <v>87</v>
      </c>
      <c r="G21" t="s">
        <v>48</v>
      </c>
      <c r="H21" t="s">
        <v>88</v>
      </c>
      <c r="I21">
        <v>3</v>
      </c>
      <c r="J21">
        <v>4</v>
      </c>
      <c r="K21">
        <v>12</v>
      </c>
      <c r="L21" t="s">
        <v>40</v>
      </c>
      <c r="M21" t="s">
        <v>29</v>
      </c>
      <c r="N21" t="s">
        <v>106</v>
      </c>
      <c r="O21">
        <v>1</v>
      </c>
      <c r="P21">
        <v>4</v>
      </c>
      <c r="Q21">
        <v>4</v>
      </c>
      <c r="R21" s="4" t="str">
        <f>IF(Table5[[#This Row],[Residual Risk Score]]&lt;Table5[[#This Row],[Initial Risk Score]],"Reduced","No Reduction")</f>
        <v>Reduced</v>
      </c>
      <c r="S21" t="s">
        <v>31</v>
      </c>
      <c r="T21" t="s">
        <v>43</v>
      </c>
      <c r="U21" t="s">
        <v>96</v>
      </c>
      <c r="V21" s="2">
        <v>46493</v>
      </c>
    </row>
    <row r="22" spans="1:22" x14ac:dyDescent="0.25">
      <c r="A22" t="s">
        <v>126</v>
      </c>
      <c r="B22" s="2">
        <v>46107</v>
      </c>
      <c r="C22" t="s">
        <v>22</v>
      </c>
      <c r="D22" t="s">
        <v>23</v>
      </c>
      <c r="E22" t="s">
        <v>81</v>
      </c>
      <c r="F22" t="s">
        <v>82</v>
      </c>
      <c r="G22" t="s">
        <v>81</v>
      </c>
      <c r="H22" t="s">
        <v>127</v>
      </c>
      <c r="I22">
        <v>5</v>
      </c>
      <c r="J22">
        <v>2</v>
      </c>
      <c r="K22">
        <v>10</v>
      </c>
      <c r="L22" t="s">
        <v>40</v>
      </c>
      <c r="M22" t="s">
        <v>83</v>
      </c>
      <c r="N22" t="s">
        <v>128</v>
      </c>
      <c r="O22">
        <v>4</v>
      </c>
      <c r="P22">
        <v>1</v>
      </c>
      <c r="Q22">
        <v>4</v>
      </c>
      <c r="R22" s="4" t="str">
        <f>IF(Table5[[#This Row],[Residual Risk Score]]&gt;Table5[[#This Row],[Initial Risk Score]],"NO Reduction","Reduced")</f>
        <v>Reduced</v>
      </c>
      <c r="S22" t="s">
        <v>31</v>
      </c>
      <c r="T22" t="s">
        <v>43</v>
      </c>
      <c r="U22" t="s">
        <v>52</v>
      </c>
      <c r="V22" s="2">
        <v>46287</v>
      </c>
    </row>
    <row r="23" spans="1:22" x14ac:dyDescent="0.25">
      <c r="A23" t="s">
        <v>129</v>
      </c>
      <c r="B23" s="2">
        <v>46091</v>
      </c>
      <c r="C23" t="s">
        <v>35</v>
      </c>
      <c r="D23" t="s">
        <v>55</v>
      </c>
      <c r="E23" t="s">
        <v>120</v>
      </c>
      <c r="F23" t="s">
        <v>121</v>
      </c>
      <c r="G23" t="s">
        <v>35</v>
      </c>
      <c r="H23" t="s">
        <v>68</v>
      </c>
      <c r="I23">
        <v>3</v>
      </c>
      <c r="J23">
        <v>5</v>
      </c>
      <c r="K23">
        <v>15</v>
      </c>
      <c r="L23" t="s">
        <v>40</v>
      </c>
      <c r="M23" t="s">
        <v>95</v>
      </c>
      <c r="N23" t="s">
        <v>60</v>
      </c>
      <c r="O23">
        <v>2</v>
      </c>
      <c r="P23">
        <v>4</v>
      </c>
      <c r="Q23">
        <v>8</v>
      </c>
      <c r="R23" s="4" t="str">
        <f>IF(Table5[[#This Row],[Residual Risk Score]]&gt;Table5[[#This Row],[Initial Risk Score]],"NO Reduction","Reduced")</f>
        <v>Reduced</v>
      </c>
      <c r="S23" t="s">
        <v>28</v>
      </c>
      <c r="T23" t="s">
        <v>32</v>
      </c>
      <c r="U23" t="s">
        <v>33</v>
      </c>
      <c r="V23" s="2">
        <v>46271</v>
      </c>
    </row>
    <row r="24" spans="1:22" x14ac:dyDescent="0.25">
      <c r="A24" t="s">
        <v>130</v>
      </c>
      <c r="B24" s="2">
        <v>45842</v>
      </c>
      <c r="C24" t="s">
        <v>35</v>
      </c>
      <c r="D24" t="s">
        <v>23</v>
      </c>
      <c r="E24" t="s">
        <v>36</v>
      </c>
      <c r="F24" t="s">
        <v>37</v>
      </c>
      <c r="G24" t="s">
        <v>38</v>
      </c>
      <c r="H24" t="s">
        <v>113</v>
      </c>
      <c r="I24">
        <v>5</v>
      </c>
      <c r="J24">
        <v>4</v>
      </c>
      <c r="K24">
        <v>20</v>
      </c>
      <c r="L24" t="s">
        <v>94</v>
      </c>
      <c r="M24" t="s">
        <v>78</v>
      </c>
      <c r="N24" t="s">
        <v>102</v>
      </c>
      <c r="O24">
        <v>4</v>
      </c>
      <c r="P24">
        <v>3</v>
      </c>
      <c r="Q24">
        <v>12</v>
      </c>
      <c r="R24" s="4" t="str">
        <f>IF(Table5[[#This Row],[Residual Risk Score]]&gt;Table5[[#This Row],[Initial Risk Score]],"NO Reduction","Reduced")</f>
        <v>Reduced</v>
      </c>
      <c r="S24" t="s">
        <v>40</v>
      </c>
      <c r="T24" t="s">
        <v>43</v>
      </c>
      <c r="U24" t="s">
        <v>33</v>
      </c>
      <c r="V24" s="2">
        <v>46022</v>
      </c>
    </row>
    <row r="25" spans="1:22" x14ac:dyDescent="0.25">
      <c r="A25" t="s">
        <v>131</v>
      </c>
      <c r="B25" s="2">
        <v>45753</v>
      </c>
      <c r="C25" t="s">
        <v>22</v>
      </c>
      <c r="D25" t="s">
        <v>80</v>
      </c>
      <c r="E25" t="s">
        <v>24</v>
      </c>
      <c r="F25" t="s">
        <v>25</v>
      </c>
      <c r="G25" t="s">
        <v>26</v>
      </c>
      <c r="H25" t="s">
        <v>27</v>
      </c>
      <c r="I25">
        <v>2</v>
      </c>
      <c r="J25">
        <v>5</v>
      </c>
      <c r="K25">
        <v>10</v>
      </c>
      <c r="L25" t="s">
        <v>40</v>
      </c>
      <c r="M25" t="s">
        <v>69</v>
      </c>
      <c r="N25" t="s">
        <v>89</v>
      </c>
      <c r="O25">
        <v>2</v>
      </c>
      <c r="P25">
        <v>5</v>
      </c>
      <c r="Q25">
        <v>10</v>
      </c>
      <c r="R25" s="4" t="str">
        <f>IF(Table5[[#This Row],[Residual Risk Score]]&lt;Table5[[#This Row],[Initial Risk Score]],"Reduced","No Reduction")</f>
        <v>No Reduction</v>
      </c>
      <c r="S25" t="s">
        <v>40</v>
      </c>
      <c r="T25" t="s">
        <v>32</v>
      </c>
      <c r="U25" t="s">
        <v>52</v>
      </c>
      <c r="V25" s="2">
        <v>46483</v>
      </c>
    </row>
    <row r="26" spans="1:22" x14ac:dyDescent="0.25">
      <c r="A26" t="s">
        <v>132</v>
      </c>
      <c r="B26" s="2">
        <v>45842</v>
      </c>
      <c r="C26" t="s">
        <v>35</v>
      </c>
      <c r="D26" t="s">
        <v>80</v>
      </c>
      <c r="E26" t="s">
        <v>36</v>
      </c>
      <c r="F26" t="s">
        <v>37</v>
      </c>
      <c r="G26" t="s">
        <v>38</v>
      </c>
      <c r="H26" t="s">
        <v>116</v>
      </c>
      <c r="I26">
        <v>2</v>
      </c>
      <c r="J26">
        <v>2</v>
      </c>
      <c r="K26">
        <v>4</v>
      </c>
      <c r="L26" t="s">
        <v>31</v>
      </c>
      <c r="M26" t="s">
        <v>101</v>
      </c>
      <c r="N26" t="s">
        <v>124</v>
      </c>
      <c r="O26">
        <v>2</v>
      </c>
      <c r="P26">
        <v>1</v>
      </c>
      <c r="Q26">
        <v>2</v>
      </c>
      <c r="R26" s="4" t="str">
        <f>IF(Table5[[#This Row],[Residual Risk Score]]&gt;Table5[[#This Row],[Initial Risk Score]],"NO Reduction","Reduced")</f>
        <v>Reduced</v>
      </c>
      <c r="S26" t="s">
        <v>31</v>
      </c>
      <c r="T26" t="s">
        <v>32</v>
      </c>
      <c r="U26" t="s">
        <v>52</v>
      </c>
      <c r="V26" s="2">
        <v>46022</v>
      </c>
    </row>
    <row r="27" spans="1:22" x14ac:dyDescent="0.25">
      <c r="A27" t="s">
        <v>133</v>
      </c>
      <c r="B27" s="2">
        <v>45936</v>
      </c>
      <c r="C27" t="s">
        <v>22</v>
      </c>
      <c r="D27" t="s">
        <v>98</v>
      </c>
      <c r="E27" t="s">
        <v>81</v>
      </c>
      <c r="F27" t="s">
        <v>82</v>
      </c>
      <c r="G27" t="s">
        <v>81</v>
      </c>
      <c r="H27" t="s">
        <v>127</v>
      </c>
      <c r="I27">
        <v>3</v>
      </c>
      <c r="J27">
        <v>2</v>
      </c>
      <c r="K27">
        <v>6</v>
      </c>
      <c r="L27" t="s">
        <v>28</v>
      </c>
      <c r="M27" t="s">
        <v>83</v>
      </c>
      <c r="N27" t="s">
        <v>128</v>
      </c>
      <c r="O27">
        <v>1</v>
      </c>
      <c r="P27">
        <v>2</v>
      </c>
      <c r="Q27">
        <v>2</v>
      </c>
      <c r="R27" s="4" t="str">
        <f>IF(Table5[[#This Row],[Residual Risk Score]]&lt;Table5[[#This Row],[Initial Risk Score]],"Reduced","No Reduction")</f>
        <v>Reduced</v>
      </c>
      <c r="S27" t="s">
        <v>31</v>
      </c>
      <c r="T27" t="s">
        <v>61</v>
      </c>
      <c r="U27" t="s">
        <v>62</v>
      </c>
      <c r="V27" s="2">
        <v>46666</v>
      </c>
    </row>
    <row r="28" spans="1:22" x14ac:dyDescent="0.25">
      <c r="A28" t="s">
        <v>134</v>
      </c>
      <c r="B28" s="2">
        <v>45847</v>
      </c>
      <c r="C28" t="s">
        <v>22</v>
      </c>
      <c r="D28" t="s">
        <v>80</v>
      </c>
      <c r="E28" t="s">
        <v>135</v>
      </c>
      <c r="F28" t="s">
        <v>136</v>
      </c>
      <c r="G28" t="s">
        <v>35</v>
      </c>
      <c r="H28" t="s">
        <v>137</v>
      </c>
      <c r="I28">
        <v>5</v>
      </c>
      <c r="J28">
        <v>3</v>
      </c>
      <c r="K28">
        <v>15</v>
      </c>
      <c r="L28" t="s">
        <v>40</v>
      </c>
      <c r="M28" t="s">
        <v>50</v>
      </c>
      <c r="N28" t="s">
        <v>60</v>
      </c>
      <c r="O28">
        <v>3</v>
      </c>
      <c r="P28">
        <v>3</v>
      </c>
      <c r="Q28">
        <v>9</v>
      </c>
      <c r="R28" s="4" t="str">
        <f>IF(Table5[[#This Row],[Residual Risk Score]]&gt;Table5[[#This Row],[Initial Risk Score]],"NO Reduction","Reduced")</f>
        <v>Reduced</v>
      </c>
      <c r="S28" t="s">
        <v>28</v>
      </c>
      <c r="T28" t="s">
        <v>61</v>
      </c>
      <c r="U28" t="s">
        <v>71</v>
      </c>
      <c r="V28" s="2">
        <v>46212</v>
      </c>
    </row>
    <row r="29" spans="1:22" x14ac:dyDescent="0.25">
      <c r="A29" t="s">
        <v>138</v>
      </c>
      <c r="B29" s="2">
        <v>46200</v>
      </c>
      <c r="C29" t="s">
        <v>22</v>
      </c>
      <c r="D29" t="s">
        <v>55</v>
      </c>
      <c r="E29" t="s">
        <v>135</v>
      </c>
      <c r="F29" t="s">
        <v>136</v>
      </c>
      <c r="G29" t="s">
        <v>35</v>
      </c>
      <c r="H29" t="s">
        <v>93</v>
      </c>
      <c r="I29">
        <v>4</v>
      </c>
      <c r="J29">
        <v>2</v>
      </c>
      <c r="K29">
        <v>8</v>
      </c>
      <c r="L29" t="s">
        <v>28</v>
      </c>
      <c r="M29" t="s">
        <v>95</v>
      </c>
      <c r="N29" t="s">
        <v>30</v>
      </c>
      <c r="O29">
        <v>3</v>
      </c>
      <c r="P29">
        <v>1</v>
      </c>
      <c r="Q29">
        <v>3</v>
      </c>
      <c r="R29" s="4" t="str">
        <f>IF(Table5[[#This Row],[Residual Risk Score]]&lt;Table5[[#This Row],[Initial Risk Score]],"Reduced","No Reduction")</f>
        <v>Reduced</v>
      </c>
      <c r="S29" t="s">
        <v>31</v>
      </c>
      <c r="T29" t="s">
        <v>61</v>
      </c>
      <c r="U29" t="s">
        <v>62</v>
      </c>
      <c r="V29" s="2">
        <v>46930</v>
      </c>
    </row>
    <row r="30" spans="1:22" x14ac:dyDescent="0.25">
      <c r="A30" t="s">
        <v>139</v>
      </c>
      <c r="B30" s="2">
        <v>46304</v>
      </c>
      <c r="C30" t="s">
        <v>85</v>
      </c>
      <c r="D30" t="s">
        <v>74</v>
      </c>
      <c r="E30" t="s">
        <v>140</v>
      </c>
      <c r="F30" t="s">
        <v>141</v>
      </c>
      <c r="G30" t="s">
        <v>142</v>
      </c>
      <c r="H30" t="s">
        <v>143</v>
      </c>
      <c r="I30">
        <v>3</v>
      </c>
      <c r="J30">
        <v>4</v>
      </c>
      <c r="K30">
        <v>12</v>
      </c>
      <c r="L30" t="s">
        <v>40</v>
      </c>
      <c r="M30" t="s">
        <v>83</v>
      </c>
      <c r="N30" t="s">
        <v>89</v>
      </c>
      <c r="O30">
        <v>1</v>
      </c>
      <c r="P30">
        <v>4</v>
      </c>
      <c r="Q30">
        <v>4</v>
      </c>
      <c r="R30" s="4" t="str">
        <f>IF(Table5[[#This Row],[Residual Risk Score]]&lt;Table5[[#This Row],[Initial Risk Score]],"Reduced","No Reduction")</f>
        <v>Reduced</v>
      </c>
      <c r="S30" t="s">
        <v>31</v>
      </c>
      <c r="T30" t="s">
        <v>32</v>
      </c>
      <c r="U30" t="s">
        <v>62</v>
      </c>
      <c r="V30" s="2">
        <v>46669</v>
      </c>
    </row>
    <row r="31" spans="1:22" x14ac:dyDescent="0.25">
      <c r="A31" t="s">
        <v>144</v>
      </c>
      <c r="B31" s="2">
        <v>46240</v>
      </c>
      <c r="C31" t="s">
        <v>22</v>
      </c>
      <c r="D31" t="s">
        <v>23</v>
      </c>
      <c r="E31" t="s">
        <v>81</v>
      </c>
      <c r="F31" t="s">
        <v>82</v>
      </c>
      <c r="G31" t="s">
        <v>81</v>
      </c>
      <c r="H31" t="s">
        <v>127</v>
      </c>
      <c r="I31">
        <v>2</v>
      </c>
      <c r="J31">
        <v>5</v>
      </c>
      <c r="K31">
        <v>10</v>
      </c>
      <c r="L31" t="s">
        <v>40</v>
      </c>
      <c r="M31" t="s">
        <v>78</v>
      </c>
      <c r="N31" t="s">
        <v>106</v>
      </c>
      <c r="O31">
        <v>1</v>
      </c>
      <c r="P31">
        <v>5</v>
      </c>
      <c r="Q31">
        <v>5</v>
      </c>
      <c r="R31" s="4" t="str">
        <f>IF(Table5[[#This Row],[Residual Risk Score]]&lt;Table5[[#This Row],[Initial Risk Score]],"Reduced","No Reduction")</f>
        <v>Reduced</v>
      </c>
      <c r="S31" t="s">
        <v>28</v>
      </c>
      <c r="T31" t="s">
        <v>61</v>
      </c>
      <c r="U31" t="s">
        <v>71</v>
      </c>
      <c r="V31" s="2">
        <v>46970</v>
      </c>
    </row>
    <row r="32" spans="1:22" x14ac:dyDescent="0.25">
      <c r="A32" t="s">
        <v>145</v>
      </c>
      <c r="B32" s="2">
        <v>45793</v>
      </c>
      <c r="C32" t="s">
        <v>35</v>
      </c>
      <c r="D32" t="s">
        <v>55</v>
      </c>
      <c r="E32" t="s">
        <v>36</v>
      </c>
      <c r="F32" t="s">
        <v>37</v>
      </c>
      <c r="G32" t="s">
        <v>38</v>
      </c>
      <c r="H32" t="s">
        <v>39</v>
      </c>
      <c r="I32">
        <v>5</v>
      </c>
      <c r="J32">
        <v>4</v>
      </c>
      <c r="K32">
        <v>20</v>
      </c>
      <c r="L32" t="s">
        <v>94</v>
      </c>
      <c r="M32" t="s">
        <v>83</v>
      </c>
      <c r="N32" t="s">
        <v>51</v>
      </c>
      <c r="O32">
        <v>5</v>
      </c>
      <c r="P32">
        <v>3</v>
      </c>
      <c r="Q32">
        <v>15</v>
      </c>
      <c r="R32" s="4" t="str">
        <f>IF(Table5[[#This Row],[Residual Risk Score]]&lt;Table5[[#This Row],[Initial Risk Score]],"Reduced","No Reduction")</f>
        <v>Reduced</v>
      </c>
      <c r="S32" t="s">
        <v>40</v>
      </c>
      <c r="T32" t="s">
        <v>61</v>
      </c>
      <c r="U32" t="s">
        <v>96</v>
      </c>
      <c r="V32" s="2">
        <v>46523</v>
      </c>
    </row>
    <row r="33" spans="1:22" x14ac:dyDescent="0.25">
      <c r="A33" t="s">
        <v>146</v>
      </c>
      <c r="B33" s="2">
        <v>46064</v>
      </c>
      <c r="C33" t="s">
        <v>35</v>
      </c>
      <c r="D33" t="s">
        <v>80</v>
      </c>
      <c r="E33" t="s">
        <v>120</v>
      </c>
      <c r="F33" t="s">
        <v>121</v>
      </c>
      <c r="G33" t="s">
        <v>35</v>
      </c>
      <c r="H33" t="s">
        <v>137</v>
      </c>
      <c r="I33">
        <v>2</v>
      </c>
      <c r="J33">
        <v>4</v>
      </c>
      <c r="K33">
        <v>8</v>
      </c>
      <c r="L33" t="s">
        <v>28</v>
      </c>
      <c r="M33" t="s">
        <v>95</v>
      </c>
      <c r="N33" t="s">
        <v>106</v>
      </c>
      <c r="O33">
        <v>1</v>
      </c>
      <c r="P33">
        <v>3</v>
      </c>
      <c r="Q33">
        <v>3</v>
      </c>
      <c r="R33" s="4" t="str">
        <f>IF(Table5[[#This Row],[Residual Risk Score]]&lt;Table5[[#This Row],[Initial Risk Score]],"Reduced","No Reduction")</f>
        <v>Reduced</v>
      </c>
      <c r="S33" t="s">
        <v>31</v>
      </c>
      <c r="T33" t="s">
        <v>61</v>
      </c>
      <c r="U33" t="s">
        <v>62</v>
      </c>
      <c r="V33" s="2">
        <v>46429</v>
      </c>
    </row>
    <row r="34" spans="1:22" x14ac:dyDescent="0.25">
      <c r="A34" t="s">
        <v>147</v>
      </c>
      <c r="B34" s="2">
        <v>46156</v>
      </c>
      <c r="C34" t="s">
        <v>22</v>
      </c>
      <c r="D34" t="s">
        <v>55</v>
      </c>
      <c r="E34" t="s">
        <v>24</v>
      </c>
      <c r="F34" t="s">
        <v>25</v>
      </c>
      <c r="G34" t="s">
        <v>26</v>
      </c>
      <c r="H34" t="s">
        <v>116</v>
      </c>
      <c r="I34">
        <v>2</v>
      </c>
      <c r="J34">
        <v>5</v>
      </c>
      <c r="K34">
        <v>10</v>
      </c>
      <c r="L34" t="s">
        <v>40</v>
      </c>
      <c r="M34" t="s">
        <v>78</v>
      </c>
      <c r="N34" t="s">
        <v>60</v>
      </c>
      <c r="O34">
        <v>1</v>
      </c>
      <c r="P34">
        <v>4</v>
      </c>
      <c r="Q34">
        <v>4</v>
      </c>
      <c r="R34" s="4" t="str">
        <f>IF(Table5[[#This Row],[Residual Risk Score]]&lt;Table5[[#This Row],[Initial Risk Score]],"Reduced","No Reduction")</f>
        <v>Reduced</v>
      </c>
      <c r="S34" t="s">
        <v>31</v>
      </c>
      <c r="T34" t="s">
        <v>32</v>
      </c>
      <c r="U34" t="s">
        <v>52</v>
      </c>
      <c r="V34" s="2">
        <v>46886</v>
      </c>
    </row>
    <row r="35" spans="1:22" x14ac:dyDescent="0.25">
      <c r="A35" t="s">
        <v>148</v>
      </c>
      <c r="B35" s="2">
        <v>46054</v>
      </c>
      <c r="C35" t="s">
        <v>108</v>
      </c>
      <c r="D35" t="s">
        <v>65</v>
      </c>
      <c r="E35" t="s">
        <v>149</v>
      </c>
      <c r="F35" t="s">
        <v>150</v>
      </c>
      <c r="G35" t="s">
        <v>151</v>
      </c>
      <c r="H35" t="s">
        <v>143</v>
      </c>
      <c r="I35">
        <v>5</v>
      </c>
      <c r="J35">
        <v>5</v>
      </c>
      <c r="K35">
        <v>25</v>
      </c>
      <c r="L35" t="s">
        <v>94</v>
      </c>
      <c r="M35" t="s">
        <v>41</v>
      </c>
      <c r="N35" t="s">
        <v>106</v>
      </c>
      <c r="O35">
        <v>4</v>
      </c>
      <c r="P35">
        <v>4</v>
      </c>
      <c r="Q35">
        <v>16</v>
      </c>
      <c r="R35" t="str">
        <f>IF(Table5[[#This Row],[Residual Risk Score]]&gt;Table5[[#This Row],[Initial Risk Score]],"NO Reduction","Reduced")</f>
        <v>Reduced</v>
      </c>
      <c r="S35" t="s">
        <v>40</v>
      </c>
      <c r="T35" t="s">
        <v>61</v>
      </c>
      <c r="U35" t="s">
        <v>96</v>
      </c>
      <c r="V35" s="2">
        <v>46234</v>
      </c>
    </row>
    <row r="36" spans="1:22" x14ac:dyDescent="0.25">
      <c r="A36" t="s">
        <v>152</v>
      </c>
      <c r="B36" s="2">
        <v>45957</v>
      </c>
      <c r="C36" t="s">
        <v>85</v>
      </c>
      <c r="D36" t="s">
        <v>98</v>
      </c>
      <c r="E36" t="s">
        <v>140</v>
      </c>
      <c r="F36" t="s">
        <v>141</v>
      </c>
      <c r="G36" t="s">
        <v>142</v>
      </c>
      <c r="H36" t="s">
        <v>153</v>
      </c>
      <c r="I36">
        <v>3</v>
      </c>
      <c r="J36">
        <v>2</v>
      </c>
      <c r="K36">
        <v>6</v>
      </c>
      <c r="L36" t="s">
        <v>28</v>
      </c>
      <c r="M36" t="s">
        <v>101</v>
      </c>
      <c r="N36" t="s">
        <v>124</v>
      </c>
      <c r="O36">
        <v>2</v>
      </c>
      <c r="P36">
        <v>2</v>
      </c>
      <c r="Q36">
        <v>4</v>
      </c>
      <c r="R36" t="str">
        <f>IF(Table5[[#This Row],[Residual Risk Score]]&gt;Table5[[#This Row],[Initial Risk Score]],"NO Reduction","Reduced")</f>
        <v>Reduced</v>
      </c>
      <c r="S36" t="s">
        <v>31</v>
      </c>
      <c r="T36" t="s">
        <v>61</v>
      </c>
      <c r="U36" t="s">
        <v>52</v>
      </c>
      <c r="V36" s="2">
        <v>46137</v>
      </c>
    </row>
    <row r="37" spans="1:22" x14ac:dyDescent="0.25">
      <c r="A37" t="s">
        <v>154</v>
      </c>
      <c r="B37" s="2">
        <v>45726</v>
      </c>
      <c r="C37" t="s">
        <v>45</v>
      </c>
      <c r="D37" t="s">
        <v>65</v>
      </c>
      <c r="E37" t="s">
        <v>46</v>
      </c>
      <c r="F37" t="s">
        <v>47</v>
      </c>
      <c r="G37" t="s">
        <v>48</v>
      </c>
      <c r="H37" t="s">
        <v>49</v>
      </c>
      <c r="I37">
        <v>5</v>
      </c>
      <c r="J37">
        <v>5</v>
      </c>
      <c r="K37">
        <v>25</v>
      </c>
      <c r="L37" t="s">
        <v>94</v>
      </c>
      <c r="M37" t="s">
        <v>101</v>
      </c>
      <c r="N37" t="s">
        <v>60</v>
      </c>
      <c r="O37">
        <v>4</v>
      </c>
      <c r="P37">
        <v>5</v>
      </c>
      <c r="Q37">
        <v>20</v>
      </c>
      <c r="R37" t="str">
        <f>IF(Table5[[#This Row],[Residual Risk Score]]&gt;Table5[[#This Row],[Initial Risk Score]],"NO Reduction","Reduced")</f>
        <v>Reduced</v>
      </c>
      <c r="S37" t="s">
        <v>94</v>
      </c>
      <c r="T37" t="s">
        <v>43</v>
      </c>
      <c r="U37" t="s">
        <v>52</v>
      </c>
      <c r="V37" s="2">
        <v>46091</v>
      </c>
    </row>
    <row r="38" spans="1:22" x14ac:dyDescent="0.25">
      <c r="A38" t="s">
        <v>155</v>
      </c>
      <c r="B38" s="2">
        <v>45843</v>
      </c>
      <c r="C38" t="s">
        <v>64</v>
      </c>
      <c r="D38" t="s">
        <v>98</v>
      </c>
      <c r="E38" t="s">
        <v>91</v>
      </c>
      <c r="F38" t="s">
        <v>92</v>
      </c>
      <c r="G38" t="s">
        <v>35</v>
      </c>
      <c r="H38" t="s">
        <v>122</v>
      </c>
      <c r="I38">
        <v>4</v>
      </c>
      <c r="J38">
        <v>5</v>
      </c>
      <c r="K38">
        <v>20</v>
      </c>
      <c r="L38" t="s">
        <v>94</v>
      </c>
      <c r="M38" t="s">
        <v>83</v>
      </c>
      <c r="N38" t="s">
        <v>51</v>
      </c>
      <c r="O38">
        <v>3</v>
      </c>
      <c r="P38">
        <v>4</v>
      </c>
      <c r="Q38">
        <v>12</v>
      </c>
      <c r="R38" t="str">
        <f>IF(Table5[[#This Row],[Residual Risk Score]]&gt;Table5[[#This Row],[Initial Risk Score]],"NO Reduction","Reduced")</f>
        <v>Reduced</v>
      </c>
      <c r="S38" t="s">
        <v>40</v>
      </c>
      <c r="T38" t="s">
        <v>32</v>
      </c>
      <c r="U38" t="s">
        <v>52</v>
      </c>
      <c r="V38" s="2">
        <v>46208</v>
      </c>
    </row>
    <row r="39" spans="1:22" x14ac:dyDescent="0.25">
      <c r="A39" t="s">
        <v>156</v>
      </c>
      <c r="B39" s="2">
        <v>46166</v>
      </c>
      <c r="C39" t="s">
        <v>22</v>
      </c>
      <c r="D39" t="s">
        <v>23</v>
      </c>
      <c r="E39" t="s">
        <v>109</v>
      </c>
      <c r="F39" t="s">
        <v>110</v>
      </c>
      <c r="G39" t="s">
        <v>111</v>
      </c>
      <c r="H39" t="s">
        <v>143</v>
      </c>
      <c r="I39">
        <v>2</v>
      </c>
      <c r="J39">
        <v>5</v>
      </c>
      <c r="K39">
        <v>10</v>
      </c>
      <c r="L39" t="s">
        <v>40</v>
      </c>
      <c r="M39" t="s">
        <v>29</v>
      </c>
      <c r="N39" t="s">
        <v>30</v>
      </c>
      <c r="O39">
        <v>2</v>
      </c>
      <c r="P39">
        <v>4</v>
      </c>
      <c r="Q39">
        <v>8</v>
      </c>
      <c r="R39" t="str">
        <f>IF(Table5[[#This Row],[Residual Risk Score]]&gt;Table5[[#This Row],[Initial Risk Score]],"NO Reduction","Reduced")</f>
        <v>Reduced</v>
      </c>
      <c r="S39" t="s">
        <v>28</v>
      </c>
      <c r="T39" t="s">
        <v>61</v>
      </c>
      <c r="U39" t="s">
        <v>96</v>
      </c>
      <c r="V39" s="2">
        <v>46346</v>
      </c>
    </row>
    <row r="40" spans="1:22" x14ac:dyDescent="0.25">
      <c r="A40" t="s">
        <v>157</v>
      </c>
      <c r="B40" s="2">
        <v>45838</v>
      </c>
      <c r="C40" t="s">
        <v>85</v>
      </c>
      <c r="D40" t="s">
        <v>65</v>
      </c>
      <c r="E40" t="s">
        <v>140</v>
      </c>
      <c r="F40" t="s">
        <v>141</v>
      </c>
      <c r="G40" t="s">
        <v>142</v>
      </c>
      <c r="H40" t="s">
        <v>153</v>
      </c>
      <c r="I40">
        <v>5</v>
      </c>
      <c r="J40">
        <v>5</v>
      </c>
      <c r="K40">
        <v>25</v>
      </c>
      <c r="L40" t="s">
        <v>94</v>
      </c>
      <c r="M40" t="s">
        <v>69</v>
      </c>
      <c r="N40" t="s">
        <v>102</v>
      </c>
      <c r="O40">
        <v>4</v>
      </c>
      <c r="P40">
        <v>4</v>
      </c>
      <c r="Q40">
        <v>16</v>
      </c>
      <c r="R40" t="str">
        <f>IF(Table5[[#This Row],[Residual Risk Score]]&gt;Table5[[#This Row],[Initial Risk Score]],"NO Reduction","Reduced")</f>
        <v>Reduced</v>
      </c>
      <c r="S40" t="s">
        <v>40</v>
      </c>
      <c r="T40" t="s">
        <v>43</v>
      </c>
      <c r="U40" t="s">
        <v>62</v>
      </c>
      <c r="V40" s="2">
        <v>46203</v>
      </c>
    </row>
    <row r="41" spans="1:22" x14ac:dyDescent="0.25">
      <c r="A41" t="s">
        <v>158</v>
      </c>
      <c r="B41" s="2">
        <v>45664</v>
      </c>
      <c r="C41" t="s">
        <v>54</v>
      </c>
      <c r="D41" t="s">
        <v>108</v>
      </c>
      <c r="E41" t="s">
        <v>56</v>
      </c>
      <c r="F41" t="s">
        <v>57</v>
      </c>
      <c r="G41" t="s">
        <v>58</v>
      </c>
      <c r="H41" t="s">
        <v>59</v>
      </c>
      <c r="I41">
        <v>4</v>
      </c>
      <c r="J41">
        <v>4</v>
      </c>
      <c r="K41">
        <v>16</v>
      </c>
      <c r="L41" t="s">
        <v>40</v>
      </c>
      <c r="M41" t="s">
        <v>29</v>
      </c>
      <c r="N41" t="s">
        <v>70</v>
      </c>
      <c r="O41">
        <v>2</v>
      </c>
      <c r="P41">
        <v>3</v>
      </c>
      <c r="Q41">
        <v>6</v>
      </c>
      <c r="R41" t="str">
        <f>IF(Table5[[#This Row],[Residual Risk Score]]&gt;Table5[[#This Row],[Initial Risk Score]],"NO Reduction","Reduced")</f>
        <v>Reduced</v>
      </c>
      <c r="S41" t="s">
        <v>28</v>
      </c>
      <c r="T41" t="s">
        <v>61</v>
      </c>
      <c r="U41" t="s">
        <v>96</v>
      </c>
      <c r="V41" s="2">
        <v>46029</v>
      </c>
    </row>
    <row r="42" spans="1:22" x14ac:dyDescent="0.25">
      <c r="A42" t="s">
        <v>159</v>
      </c>
      <c r="B42" s="2">
        <v>46020</v>
      </c>
      <c r="C42" t="s">
        <v>73</v>
      </c>
      <c r="D42" t="s">
        <v>23</v>
      </c>
      <c r="E42" t="s">
        <v>75</v>
      </c>
      <c r="F42" t="s">
        <v>76</v>
      </c>
      <c r="G42" t="s">
        <v>73</v>
      </c>
      <c r="H42" t="s">
        <v>68</v>
      </c>
      <c r="I42">
        <v>2</v>
      </c>
      <c r="J42">
        <v>5</v>
      </c>
      <c r="K42">
        <v>10</v>
      </c>
      <c r="L42" t="s">
        <v>40</v>
      </c>
      <c r="M42" t="s">
        <v>78</v>
      </c>
      <c r="N42" t="s">
        <v>89</v>
      </c>
      <c r="O42">
        <v>2</v>
      </c>
      <c r="P42">
        <v>4</v>
      </c>
      <c r="Q42">
        <v>8</v>
      </c>
      <c r="R42" t="str">
        <f>IF(Table5[[#This Row],[Residual Risk Score]]&gt;Table5[[#This Row],[Initial Risk Score]],"NO Reduction","Reduced")</f>
        <v>Reduced</v>
      </c>
      <c r="S42" t="s">
        <v>28</v>
      </c>
      <c r="T42" t="s">
        <v>32</v>
      </c>
      <c r="U42" t="s">
        <v>96</v>
      </c>
      <c r="V42" s="2">
        <v>46385</v>
      </c>
    </row>
    <row r="43" spans="1:22" x14ac:dyDescent="0.25">
      <c r="A43" t="s">
        <v>160</v>
      </c>
      <c r="B43" s="2">
        <v>45965</v>
      </c>
      <c r="C43" t="s">
        <v>45</v>
      </c>
      <c r="D43" t="s">
        <v>108</v>
      </c>
      <c r="E43" t="s">
        <v>46</v>
      </c>
      <c r="F43" t="s">
        <v>47</v>
      </c>
      <c r="G43" t="s">
        <v>48</v>
      </c>
      <c r="H43" t="s">
        <v>88</v>
      </c>
      <c r="I43">
        <v>4</v>
      </c>
      <c r="J43">
        <v>4</v>
      </c>
      <c r="K43">
        <v>16</v>
      </c>
      <c r="L43" t="s">
        <v>40</v>
      </c>
      <c r="M43" t="s">
        <v>29</v>
      </c>
      <c r="N43" t="s">
        <v>124</v>
      </c>
      <c r="O43">
        <v>4</v>
      </c>
      <c r="P43">
        <v>3</v>
      </c>
      <c r="Q43">
        <v>12</v>
      </c>
      <c r="R43" t="str">
        <f>IF(Table5[[#This Row],[Residual Risk Score]]&gt;Table5[[#This Row],[Initial Risk Score]],"NO Reduction","Reduced")</f>
        <v>Reduced</v>
      </c>
      <c r="S43" t="s">
        <v>40</v>
      </c>
      <c r="T43" t="s">
        <v>32</v>
      </c>
      <c r="U43" t="s">
        <v>96</v>
      </c>
      <c r="V43" s="2">
        <v>46330</v>
      </c>
    </row>
    <row r="44" spans="1:22" x14ac:dyDescent="0.25">
      <c r="A44" t="s">
        <v>161</v>
      </c>
      <c r="B44" s="2">
        <v>46036</v>
      </c>
      <c r="C44" t="s">
        <v>108</v>
      </c>
      <c r="D44" t="s">
        <v>98</v>
      </c>
      <c r="E44" t="s">
        <v>162</v>
      </c>
      <c r="F44" t="s">
        <v>163</v>
      </c>
      <c r="G44" t="s">
        <v>164</v>
      </c>
      <c r="H44" t="s">
        <v>68</v>
      </c>
      <c r="I44">
        <v>4</v>
      </c>
      <c r="J44">
        <v>2</v>
      </c>
      <c r="K44">
        <v>8</v>
      </c>
      <c r="L44" t="s">
        <v>28</v>
      </c>
      <c r="M44" t="s">
        <v>69</v>
      </c>
      <c r="N44" t="s">
        <v>42</v>
      </c>
      <c r="O44">
        <v>2</v>
      </c>
      <c r="P44">
        <v>2</v>
      </c>
      <c r="Q44">
        <v>4</v>
      </c>
      <c r="R44" t="str">
        <f>IF(Table5[[#This Row],[Residual Risk Score]]&gt;Table5[[#This Row],[Initial Risk Score]],"NO Reduction","Reduced")</f>
        <v>Reduced</v>
      </c>
      <c r="S44" t="s">
        <v>31</v>
      </c>
      <c r="T44" t="s">
        <v>61</v>
      </c>
      <c r="U44" t="s">
        <v>96</v>
      </c>
      <c r="V44" s="2">
        <v>46216</v>
      </c>
    </row>
    <row r="45" spans="1:22" x14ac:dyDescent="0.25">
      <c r="A45" t="s">
        <v>165</v>
      </c>
      <c r="B45" s="2">
        <v>46068</v>
      </c>
      <c r="C45" t="s">
        <v>22</v>
      </c>
      <c r="D45" t="s">
        <v>23</v>
      </c>
      <c r="E45" t="s">
        <v>81</v>
      </c>
      <c r="F45" t="s">
        <v>82</v>
      </c>
      <c r="G45" t="s">
        <v>81</v>
      </c>
      <c r="H45" t="s">
        <v>68</v>
      </c>
      <c r="I45">
        <v>3</v>
      </c>
      <c r="J45">
        <v>2</v>
      </c>
      <c r="K45">
        <v>6</v>
      </c>
      <c r="L45" t="s">
        <v>28</v>
      </c>
      <c r="M45" t="s">
        <v>29</v>
      </c>
      <c r="N45" t="s">
        <v>42</v>
      </c>
      <c r="O45">
        <v>2</v>
      </c>
      <c r="P45">
        <v>1</v>
      </c>
      <c r="Q45">
        <v>2</v>
      </c>
      <c r="R45" s="4" t="str">
        <f>IF(Table5[[#This Row],[Residual Risk Score]]&lt;Table5[[#This Row],[Initial Risk Score]],"Reduced","No Reduction")</f>
        <v>Reduced</v>
      </c>
      <c r="S45" t="s">
        <v>31</v>
      </c>
      <c r="T45" t="s">
        <v>43</v>
      </c>
      <c r="U45" t="s">
        <v>52</v>
      </c>
      <c r="V45" s="2">
        <v>46798</v>
      </c>
    </row>
    <row r="46" spans="1:22" x14ac:dyDescent="0.25">
      <c r="A46" t="s">
        <v>166</v>
      </c>
      <c r="B46" s="2">
        <v>46202</v>
      </c>
      <c r="C46" t="s">
        <v>64</v>
      </c>
      <c r="D46" t="s">
        <v>98</v>
      </c>
      <c r="E46" t="s">
        <v>66</v>
      </c>
      <c r="F46" t="s">
        <v>67</v>
      </c>
      <c r="G46" t="s">
        <v>35</v>
      </c>
      <c r="H46" t="s">
        <v>93</v>
      </c>
      <c r="I46">
        <v>4</v>
      </c>
      <c r="J46">
        <v>3</v>
      </c>
      <c r="K46">
        <v>12</v>
      </c>
      <c r="L46" t="s">
        <v>40</v>
      </c>
      <c r="M46" t="s">
        <v>101</v>
      </c>
      <c r="N46" t="s">
        <v>128</v>
      </c>
      <c r="O46">
        <v>3</v>
      </c>
      <c r="P46">
        <v>2</v>
      </c>
      <c r="Q46">
        <v>6</v>
      </c>
      <c r="R46" s="4" t="str">
        <f>IF(Table5[[#This Row],[Residual Risk Score]]&lt;Table5[[#This Row],[Initial Risk Score]],"Reduced","No Reduction")</f>
        <v>Reduced</v>
      </c>
      <c r="S46" t="s">
        <v>28</v>
      </c>
      <c r="T46" t="s">
        <v>61</v>
      </c>
      <c r="U46" t="s">
        <v>96</v>
      </c>
      <c r="V46" s="2">
        <v>46932</v>
      </c>
    </row>
    <row r="47" spans="1:22" x14ac:dyDescent="0.25">
      <c r="A47" t="s">
        <v>167</v>
      </c>
      <c r="B47" s="2">
        <v>46297</v>
      </c>
      <c r="C47" t="s">
        <v>22</v>
      </c>
      <c r="D47" t="s">
        <v>65</v>
      </c>
      <c r="E47" t="s">
        <v>81</v>
      </c>
      <c r="F47" t="s">
        <v>82</v>
      </c>
      <c r="G47" t="s">
        <v>81</v>
      </c>
      <c r="H47" t="s">
        <v>68</v>
      </c>
      <c r="I47">
        <v>5</v>
      </c>
      <c r="J47">
        <v>2</v>
      </c>
      <c r="K47">
        <v>10</v>
      </c>
      <c r="L47" t="s">
        <v>40</v>
      </c>
      <c r="M47" t="s">
        <v>50</v>
      </c>
      <c r="N47" t="s">
        <v>51</v>
      </c>
      <c r="O47">
        <v>3</v>
      </c>
      <c r="P47">
        <v>2</v>
      </c>
      <c r="Q47">
        <v>6</v>
      </c>
      <c r="R47" s="4" t="str">
        <f>IF(Table5[[#This Row],[Residual Risk Score]]&lt;Table5[[#This Row],[Initial Risk Score]],"Reduced","No Reduction")</f>
        <v>Reduced</v>
      </c>
      <c r="S47" t="s">
        <v>28</v>
      </c>
      <c r="T47" t="s">
        <v>61</v>
      </c>
      <c r="U47" t="s">
        <v>33</v>
      </c>
      <c r="V47" s="2">
        <v>46662</v>
      </c>
    </row>
    <row r="48" spans="1:22" x14ac:dyDescent="0.25">
      <c r="A48" t="s">
        <v>168</v>
      </c>
      <c r="B48" s="2">
        <v>45980</v>
      </c>
      <c r="C48" t="s">
        <v>22</v>
      </c>
      <c r="D48" t="s">
        <v>80</v>
      </c>
      <c r="E48" t="s">
        <v>109</v>
      </c>
      <c r="F48" t="s">
        <v>110</v>
      </c>
      <c r="G48" t="s">
        <v>111</v>
      </c>
      <c r="H48" t="s">
        <v>143</v>
      </c>
      <c r="I48">
        <v>2</v>
      </c>
      <c r="J48">
        <v>2</v>
      </c>
      <c r="K48">
        <v>4</v>
      </c>
      <c r="L48" t="s">
        <v>31</v>
      </c>
      <c r="M48" t="s">
        <v>101</v>
      </c>
      <c r="N48" t="s">
        <v>60</v>
      </c>
      <c r="O48">
        <v>1</v>
      </c>
      <c r="P48">
        <v>2</v>
      </c>
      <c r="Q48">
        <v>2</v>
      </c>
      <c r="R48" t="str">
        <f>IF(Table5[[#This Row],[Residual Risk Score]]&gt;Table5[[#This Row],[Initial Risk Score]],"NO Reduction","Reduced")</f>
        <v>Reduced</v>
      </c>
      <c r="S48" t="s">
        <v>31</v>
      </c>
      <c r="T48" t="s">
        <v>32</v>
      </c>
      <c r="U48" t="s">
        <v>96</v>
      </c>
      <c r="V48" s="2">
        <v>46345</v>
      </c>
    </row>
    <row r="49" spans="1:22" x14ac:dyDescent="0.25">
      <c r="A49" t="s">
        <v>169</v>
      </c>
      <c r="B49" s="2">
        <v>45840</v>
      </c>
      <c r="C49" t="s">
        <v>73</v>
      </c>
      <c r="D49" t="s">
        <v>108</v>
      </c>
      <c r="E49" t="s">
        <v>104</v>
      </c>
      <c r="F49" t="s">
        <v>105</v>
      </c>
      <c r="G49" t="s">
        <v>73</v>
      </c>
      <c r="H49" t="s">
        <v>68</v>
      </c>
      <c r="I49">
        <v>3</v>
      </c>
      <c r="J49">
        <v>5</v>
      </c>
      <c r="K49">
        <v>15</v>
      </c>
      <c r="L49" t="s">
        <v>40</v>
      </c>
      <c r="M49" t="s">
        <v>95</v>
      </c>
      <c r="N49" t="s">
        <v>124</v>
      </c>
      <c r="O49">
        <v>1</v>
      </c>
      <c r="P49">
        <v>4</v>
      </c>
      <c r="Q49">
        <v>4</v>
      </c>
      <c r="R49" s="4" t="str">
        <f>IF(Table5[[#This Row],[Residual Risk Score]]&lt;Table5[[#This Row],[Initial Risk Score]],"Reduced","No Reduction")</f>
        <v>Reduced</v>
      </c>
      <c r="S49" t="s">
        <v>31</v>
      </c>
      <c r="T49" t="s">
        <v>32</v>
      </c>
      <c r="U49" t="s">
        <v>62</v>
      </c>
      <c r="V49" s="2">
        <v>46570</v>
      </c>
    </row>
    <row r="50" spans="1:22" x14ac:dyDescent="0.25">
      <c r="A50" t="s">
        <v>170</v>
      </c>
      <c r="B50" s="2">
        <v>45907</v>
      </c>
      <c r="C50" t="s">
        <v>54</v>
      </c>
      <c r="D50" t="s">
        <v>80</v>
      </c>
      <c r="E50" t="s">
        <v>56</v>
      </c>
      <c r="F50" t="s">
        <v>57</v>
      </c>
      <c r="G50" t="s">
        <v>58</v>
      </c>
      <c r="H50" t="s">
        <v>59</v>
      </c>
      <c r="I50">
        <v>5</v>
      </c>
      <c r="J50">
        <v>2</v>
      </c>
      <c r="K50">
        <v>10</v>
      </c>
      <c r="L50" t="s">
        <v>40</v>
      </c>
      <c r="M50" t="s">
        <v>101</v>
      </c>
      <c r="N50" t="s">
        <v>70</v>
      </c>
      <c r="O50">
        <v>5</v>
      </c>
      <c r="P50">
        <v>1</v>
      </c>
      <c r="Q50">
        <v>5</v>
      </c>
      <c r="R50" t="str">
        <f>IF(Table5[[#This Row],[Residual Risk Score]]&gt;Table5[[#This Row],[Initial Risk Score]],"NO Reduction","Reduced")</f>
        <v>Reduced</v>
      </c>
      <c r="S50" t="s">
        <v>28</v>
      </c>
      <c r="T50" t="s">
        <v>32</v>
      </c>
      <c r="U50" t="s">
        <v>33</v>
      </c>
      <c r="V50" s="2">
        <v>46272</v>
      </c>
    </row>
    <row r="51" spans="1:22" x14ac:dyDescent="0.25">
      <c r="A51" t="s">
        <v>171</v>
      </c>
      <c r="B51" s="2">
        <v>46126</v>
      </c>
      <c r="C51" t="s">
        <v>22</v>
      </c>
      <c r="D51" t="s">
        <v>98</v>
      </c>
      <c r="E51" t="s">
        <v>81</v>
      </c>
      <c r="F51" t="s">
        <v>82</v>
      </c>
      <c r="G51" t="s">
        <v>81</v>
      </c>
      <c r="H51" t="s">
        <v>68</v>
      </c>
      <c r="I51">
        <v>3</v>
      </c>
      <c r="J51">
        <v>5</v>
      </c>
      <c r="K51">
        <v>15</v>
      </c>
      <c r="L51" t="s">
        <v>40</v>
      </c>
      <c r="M51" t="s">
        <v>95</v>
      </c>
      <c r="N51" t="s">
        <v>128</v>
      </c>
      <c r="O51">
        <v>1</v>
      </c>
      <c r="P51">
        <v>4</v>
      </c>
      <c r="Q51">
        <v>4</v>
      </c>
      <c r="R51" s="4" t="str">
        <f>IF(Table5[[#This Row],[Residual Risk Score]]&lt;Table5[[#This Row],[Initial Risk Score]],"Reduced","No Reduction")</f>
        <v>Reduced</v>
      </c>
      <c r="S51" t="s">
        <v>31</v>
      </c>
      <c r="T51" t="s">
        <v>32</v>
      </c>
      <c r="U51" t="s">
        <v>62</v>
      </c>
      <c r="V51" s="2">
        <v>46491</v>
      </c>
    </row>
    <row r="52" spans="1:22" x14ac:dyDescent="0.25">
      <c r="A52" t="s">
        <v>172</v>
      </c>
      <c r="B52" s="2">
        <v>46235</v>
      </c>
      <c r="C52" t="s">
        <v>22</v>
      </c>
      <c r="D52" t="s">
        <v>23</v>
      </c>
      <c r="E52" t="s">
        <v>109</v>
      </c>
      <c r="F52" t="s">
        <v>110</v>
      </c>
      <c r="G52" t="s">
        <v>111</v>
      </c>
      <c r="H52" t="s">
        <v>143</v>
      </c>
      <c r="I52">
        <v>5</v>
      </c>
      <c r="J52">
        <v>4</v>
      </c>
      <c r="K52">
        <v>20</v>
      </c>
      <c r="L52" t="s">
        <v>94</v>
      </c>
      <c r="M52" t="s">
        <v>95</v>
      </c>
      <c r="N52" t="s">
        <v>30</v>
      </c>
      <c r="O52">
        <v>4</v>
      </c>
      <c r="P52">
        <v>3</v>
      </c>
      <c r="Q52">
        <v>12</v>
      </c>
      <c r="R52" s="4" t="str">
        <f>IF(Table5[[#This Row],[Residual Risk Score]]&lt;Table5[[#This Row],[Initial Risk Score]],"Reduced","No Reduction")</f>
        <v>Reduced</v>
      </c>
      <c r="S52" t="s">
        <v>40</v>
      </c>
      <c r="T52" t="s">
        <v>32</v>
      </c>
      <c r="U52" t="s">
        <v>96</v>
      </c>
      <c r="V52" s="2">
        <v>46600</v>
      </c>
    </row>
    <row r="53" spans="1:22" x14ac:dyDescent="0.25">
      <c r="A53" t="s">
        <v>173</v>
      </c>
      <c r="B53" s="2">
        <v>45745</v>
      </c>
      <c r="C53" t="s">
        <v>64</v>
      </c>
      <c r="D53" t="s">
        <v>108</v>
      </c>
      <c r="E53" t="s">
        <v>174</v>
      </c>
      <c r="F53" t="s">
        <v>175</v>
      </c>
      <c r="G53" t="s">
        <v>176</v>
      </c>
      <c r="H53" t="s">
        <v>177</v>
      </c>
      <c r="I53">
        <v>2</v>
      </c>
      <c r="J53">
        <v>3</v>
      </c>
      <c r="K53">
        <v>6</v>
      </c>
      <c r="L53" t="s">
        <v>28</v>
      </c>
      <c r="M53" t="s">
        <v>50</v>
      </c>
      <c r="N53" t="s">
        <v>102</v>
      </c>
      <c r="O53">
        <v>1</v>
      </c>
      <c r="P53">
        <v>3</v>
      </c>
      <c r="Q53">
        <v>3</v>
      </c>
      <c r="R53" s="4" t="str">
        <f>IF(Table5[[#This Row],[Residual Risk Score]]&lt;Table5[[#This Row],[Initial Risk Score]],"Reduced","No Reduction")</f>
        <v>Reduced</v>
      </c>
      <c r="S53" t="s">
        <v>31</v>
      </c>
      <c r="T53" t="s">
        <v>32</v>
      </c>
      <c r="U53" t="s">
        <v>96</v>
      </c>
      <c r="V53" s="2">
        <v>46475</v>
      </c>
    </row>
    <row r="54" spans="1:22" x14ac:dyDescent="0.25">
      <c r="A54" t="s">
        <v>178</v>
      </c>
      <c r="B54" s="2">
        <v>46066</v>
      </c>
      <c r="C54" t="s">
        <v>22</v>
      </c>
      <c r="D54" t="s">
        <v>23</v>
      </c>
      <c r="E54" t="s">
        <v>135</v>
      </c>
      <c r="F54" t="s">
        <v>136</v>
      </c>
      <c r="G54" t="s">
        <v>35</v>
      </c>
      <c r="H54" t="s">
        <v>137</v>
      </c>
      <c r="I54">
        <v>4</v>
      </c>
      <c r="J54">
        <v>3</v>
      </c>
      <c r="K54">
        <v>12</v>
      </c>
      <c r="L54" t="s">
        <v>40</v>
      </c>
      <c r="M54" t="s">
        <v>95</v>
      </c>
      <c r="N54" t="s">
        <v>89</v>
      </c>
      <c r="O54">
        <v>2</v>
      </c>
      <c r="P54">
        <v>2</v>
      </c>
      <c r="Q54">
        <v>4</v>
      </c>
      <c r="R54" s="4" t="str">
        <f>IF(Table5[[#This Row],[Residual Risk Score]]&lt;Table5[[#This Row],[Initial Risk Score]],"Reduced","No Reduction")</f>
        <v>Reduced</v>
      </c>
      <c r="S54" t="s">
        <v>31</v>
      </c>
      <c r="T54" t="s">
        <v>43</v>
      </c>
      <c r="U54" t="s">
        <v>52</v>
      </c>
      <c r="V54" s="2">
        <v>46431</v>
      </c>
    </row>
    <row r="55" spans="1:22" x14ac:dyDescent="0.25">
      <c r="A55" t="s">
        <v>179</v>
      </c>
      <c r="B55" s="2">
        <v>45765</v>
      </c>
      <c r="C55" t="s">
        <v>22</v>
      </c>
      <c r="D55" t="s">
        <v>80</v>
      </c>
      <c r="E55" t="s">
        <v>135</v>
      </c>
      <c r="F55" t="s">
        <v>136</v>
      </c>
      <c r="G55" t="s">
        <v>35</v>
      </c>
      <c r="H55" t="s">
        <v>137</v>
      </c>
      <c r="I55">
        <v>5</v>
      </c>
      <c r="J55">
        <v>4</v>
      </c>
      <c r="K55">
        <v>20</v>
      </c>
      <c r="L55" t="s">
        <v>94</v>
      </c>
      <c r="M55" t="s">
        <v>78</v>
      </c>
      <c r="N55" t="s">
        <v>60</v>
      </c>
      <c r="O55">
        <v>4</v>
      </c>
      <c r="P55">
        <v>4</v>
      </c>
      <c r="Q55">
        <v>16</v>
      </c>
      <c r="R55" t="str">
        <f>IF(Table5[[#This Row],[Residual Risk Score]]&gt;Table5[[#This Row],[Initial Risk Score]],"NO Reduction","Reduced")</f>
        <v>Reduced</v>
      </c>
      <c r="S55" t="s">
        <v>40</v>
      </c>
      <c r="T55" t="s">
        <v>43</v>
      </c>
      <c r="U55" t="s">
        <v>52</v>
      </c>
      <c r="V55" s="2">
        <v>46130</v>
      </c>
    </row>
    <row r="56" spans="1:22" x14ac:dyDescent="0.25">
      <c r="A56" t="s">
        <v>180</v>
      </c>
      <c r="B56" s="2">
        <v>45958</v>
      </c>
      <c r="C56" t="s">
        <v>73</v>
      </c>
      <c r="D56" t="s">
        <v>23</v>
      </c>
      <c r="E56" t="s">
        <v>104</v>
      </c>
      <c r="F56" t="s">
        <v>105</v>
      </c>
      <c r="G56" t="s">
        <v>73</v>
      </c>
      <c r="H56" t="s">
        <v>116</v>
      </c>
      <c r="I56">
        <v>2</v>
      </c>
      <c r="J56">
        <v>2</v>
      </c>
      <c r="K56">
        <v>4</v>
      </c>
      <c r="L56" t="s">
        <v>31</v>
      </c>
      <c r="M56" t="s">
        <v>69</v>
      </c>
      <c r="N56" t="s">
        <v>102</v>
      </c>
      <c r="O56">
        <v>1</v>
      </c>
      <c r="P56">
        <v>1</v>
      </c>
      <c r="Q56">
        <v>1</v>
      </c>
      <c r="R56" t="str">
        <f>IF(Table5[[#This Row],[Residual Risk Score]]&gt;Table5[[#This Row],[Initial Risk Score]],"NO Reduction","Reduced")</f>
        <v>Reduced</v>
      </c>
      <c r="S56" t="s">
        <v>31</v>
      </c>
      <c r="T56" t="s">
        <v>32</v>
      </c>
      <c r="U56" t="s">
        <v>33</v>
      </c>
      <c r="V56" s="2">
        <v>46138</v>
      </c>
    </row>
    <row r="57" spans="1:22" x14ac:dyDescent="0.25">
      <c r="A57" t="s">
        <v>181</v>
      </c>
      <c r="B57" s="2">
        <v>46079</v>
      </c>
      <c r="C57" t="s">
        <v>22</v>
      </c>
      <c r="D57" t="s">
        <v>80</v>
      </c>
      <c r="E57" t="s">
        <v>99</v>
      </c>
      <c r="F57" t="s">
        <v>100</v>
      </c>
      <c r="G57" t="s">
        <v>35</v>
      </c>
      <c r="H57" t="s">
        <v>122</v>
      </c>
      <c r="I57">
        <v>2</v>
      </c>
      <c r="J57">
        <v>3</v>
      </c>
      <c r="K57">
        <v>6</v>
      </c>
      <c r="L57" t="s">
        <v>28</v>
      </c>
      <c r="M57" t="s">
        <v>95</v>
      </c>
      <c r="N57" t="s">
        <v>102</v>
      </c>
      <c r="O57">
        <v>1</v>
      </c>
      <c r="P57">
        <v>2</v>
      </c>
      <c r="Q57">
        <v>2</v>
      </c>
      <c r="R57" s="4" t="str">
        <f>IF(Table5[[#This Row],[Residual Risk Score]]&lt;Table5[[#This Row],[Initial Risk Score]],"Reduced","No Reduction")</f>
        <v>Reduced</v>
      </c>
      <c r="S57" t="s">
        <v>31</v>
      </c>
      <c r="T57" t="s">
        <v>61</v>
      </c>
      <c r="U57" t="s">
        <v>96</v>
      </c>
      <c r="V57" s="2">
        <v>46809</v>
      </c>
    </row>
    <row r="58" spans="1:22" x14ac:dyDescent="0.25">
      <c r="A58" t="s">
        <v>182</v>
      </c>
      <c r="B58" s="2">
        <v>46039</v>
      </c>
      <c r="C58" t="s">
        <v>22</v>
      </c>
      <c r="D58" t="s">
        <v>98</v>
      </c>
      <c r="E58" t="s">
        <v>99</v>
      </c>
      <c r="F58" t="s">
        <v>100</v>
      </c>
      <c r="G58" t="s">
        <v>35</v>
      </c>
      <c r="H58" t="s">
        <v>93</v>
      </c>
      <c r="I58">
        <v>3</v>
      </c>
      <c r="J58">
        <v>4</v>
      </c>
      <c r="K58">
        <v>12</v>
      </c>
      <c r="L58" t="s">
        <v>40</v>
      </c>
      <c r="M58" t="s">
        <v>78</v>
      </c>
      <c r="N58" t="s">
        <v>128</v>
      </c>
      <c r="O58">
        <v>2</v>
      </c>
      <c r="P58">
        <v>3</v>
      </c>
      <c r="Q58">
        <v>6</v>
      </c>
      <c r="R58" s="4" t="str">
        <f>IF(Table5[[#This Row],[Residual Risk Score]]&lt;Table5[[#This Row],[Initial Risk Score]],"Reduced","No Reduction")</f>
        <v>Reduced</v>
      </c>
      <c r="S58" t="s">
        <v>28</v>
      </c>
      <c r="T58" t="s">
        <v>43</v>
      </c>
      <c r="U58" t="s">
        <v>62</v>
      </c>
      <c r="V58" s="2">
        <v>46404</v>
      </c>
    </row>
    <row r="59" spans="1:22" x14ac:dyDescent="0.25">
      <c r="A59" t="s">
        <v>183</v>
      </c>
      <c r="B59" s="2">
        <v>46301</v>
      </c>
      <c r="C59" t="s">
        <v>22</v>
      </c>
      <c r="D59" t="s">
        <v>108</v>
      </c>
      <c r="E59" t="s">
        <v>81</v>
      </c>
      <c r="F59" t="s">
        <v>82</v>
      </c>
      <c r="G59" t="s">
        <v>81</v>
      </c>
      <c r="H59" t="s">
        <v>68</v>
      </c>
      <c r="I59">
        <v>3</v>
      </c>
      <c r="J59">
        <v>2</v>
      </c>
      <c r="K59">
        <v>6</v>
      </c>
      <c r="L59" t="s">
        <v>28</v>
      </c>
      <c r="M59" t="s">
        <v>69</v>
      </c>
      <c r="N59" t="s">
        <v>42</v>
      </c>
      <c r="O59">
        <v>2</v>
      </c>
      <c r="P59">
        <v>1</v>
      </c>
      <c r="Q59">
        <v>2</v>
      </c>
      <c r="R59" s="4" t="str">
        <f>IF(Table5[[#This Row],[Residual Risk Score]]&lt;Table5[[#This Row],[Initial Risk Score]],"Reduced","No Reduction")</f>
        <v>Reduced</v>
      </c>
      <c r="S59" t="s">
        <v>31</v>
      </c>
      <c r="T59" t="s">
        <v>61</v>
      </c>
      <c r="U59" t="s">
        <v>52</v>
      </c>
      <c r="V59" s="2">
        <v>46666</v>
      </c>
    </row>
    <row r="60" spans="1:22" x14ac:dyDescent="0.25">
      <c r="A60" t="s">
        <v>184</v>
      </c>
      <c r="B60" s="2">
        <v>45838</v>
      </c>
      <c r="C60" t="s">
        <v>22</v>
      </c>
      <c r="D60" t="s">
        <v>98</v>
      </c>
      <c r="E60" t="s">
        <v>99</v>
      </c>
      <c r="F60" t="s">
        <v>100</v>
      </c>
      <c r="G60" t="s">
        <v>35</v>
      </c>
      <c r="H60" t="s">
        <v>68</v>
      </c>
      <c r="I60">
        <v>5</v>
      </c>
      <c r="J60">
        <v>3</v>
      </c>
      <c r="K60">
        <v>15</v>
      </c>
      <c r="L60" t="s">
        <v>40</v>
      </c>
      <c r="M60" t="s">
        <v>29</v>
      </c>
      <c r="N60" t="s">
        <v>106</v>
      </c>
      <c r="O60">
        <v>3</v>
      </c>
      <c r="P60">
        <v>2</v>
      </c>
      <c r="Q60">
        <v>6</v>
      </c>
      <c r="R60" t="str">
        <f>IF(Table5[[#This Row],[Residual Risk Score]]&gt;Table5[[#This Row],[Initial Risk Score]],"NO Reduction","Reduced")</f>
        <v>Reduced</v>
      </c>
      <c r="S60" t="s">
        <v>28</v>
      </c>
      <c r="T60" t="s">
        <v>32</v>
      </c>
      <c r="U60" t="s">
        <v>62</v>
      </c>
      <c r="V60" s="2">
        <v>46018</v>
      </c>
    </row>
    <row r="61" spans="1:22" x14ac:dyDescent="0.25">
      <c r="A61" t="s">
        <v>185</v>
      </c>
      <c r="B61" s="2">
        <v>45999</v>
      </c>
      <c r="C61" t="s">
        <v>64</v>
      </c>
      <c r="D61" t="s">
        <v>65</v>
      </c>
      <c r="E61" t="s">
        <v>91</v>
      </c>
      <c r="F61" t="s">
        <v>92</v>
      </c>
      <c r="G61" t="s">
        <v>35</v>
      </c>
      <c r="H61" t="s">
        <v>93</v>
      </c>
      <c r="I61">
        <v>3</v>
      </c>
      <c r="J61">
        <v>3</v>
      </c>
      <c r="K61">
        <v>9</v>
      </c>
      <c r="L61" t="s">
        <v>28</v>
      </c>
      <c r="M61" t="s">
        <v>78</v>
      </c>
      <c r="N61" t="s">
        <v>89</v>
      </c>
      <c r="O61">
        <v>2</v>
      </c>
      <c r="P61">
        <v>2</v>
      </c>
      <c r="Q61">
        <v>4</v>
      </c>
      <c r="R61" s="4" t="str">
        <f>IF(Table5[[#This Row],[Residual Risk Score]]&lt;Table5[[#This Row],[Initial Risk Score]],"Reduced","No Reduction")</f>
        <v>Reduced</v>
      </c>
      <c r="S61" t="s">
        <v>31</v>
      </c>
      <c r="T61" t="s">
        <v>61</v>
      </c>
      <c r="U61" t="s">
        <v>52</v>
      </c>
      <c r="V61" s="2">
        <v>46729</v>
      </c>
    </row>
    <row r="62" spans="1:22" x14ac:dyDescent="0.25">
      <c r="A62" t="s">
        <v>186</v>
      </c>
      <c r="B62" s="2">
        <v>45837</v>
      </c>
      <c r="C62" t="s">
        <v>35</v>
      </c>
      <c r="D62" t="s">
        <v>65</v>
      </c>
      <c r="E62" t="s">
        <v>120</v>
      </c>
      <c r="F62" t="s">
        <v>121</v>
      </c>
      <c r="G62" t="s">
        <v>35</v>
      </c>
      <c r="H62" t="s">
        <v>93</v>
      </c>
      <c r="I62">
        <v>5</v>
      </c>
      <c r="J62">
        <v>3</v>
      </c>
      <c r="K62">
        <v>15</v>
      </c>
      <c r="L62" t="s">
        <v>40</v>
      </c>
      <c r="M62" t="s">
        <v>101</v>
      </c>
      <c r="N62" t="s">
        <v>70</v>
      </c>
      <c r="O62">
        <v>4</v>
      </c>
      <c r="P62">
        <v>2</v>
      </c>
      <c r="Q62">
        <v>8</v>
      </c>
      <c r="R62" t="str">
        <f>IF(Table5[[#This Row],[Residual Risk Score]]&gt;Table5[[#This Row],[Initial Risk Score]],"NO Reduction","Reduced")</f>
        <v>Reduced</v>
      </c>
      <c r="S62" t="s">
        <v>28</v>
      </c>
      <c r="T62" t="s">
        <v>32</v>
      </c>
      <c r="U62" t="s">
        <v>71</v>
      </c>
      <c r="V62" s="2">
        <v>46202</v>
      </c>
    </row>
    <row r="63" spans="1:22" x14ac:dyDescent="0.25">
      <c r="A63" t="s">
        <v>187</v>
      </c>
      <c r="B63" s="2">
        <v>45985</v>
      </c>
      <c r="C63" t="s">
        <v>85</v>
      </c>
      <c r="D63" t="s">
        <v>55</v>
      </c>
      <c r="E63" t="s">
        <v>86</v>
      </c>
      <c r="F63" t="s">
        <v>87</v>
      </c>
      <c r="G63" t="s">
        <v>48</v>
      </c>
      <c r="H63" t="s">
        <v>88</v>
      </c>
      <c r="I63">
        <v>2</v>
      </c>
      <c r="J63">
        <v>4</v>
      </c>
      <c r="K63">
        <v>8</v>
      </c>
      <c r="L63" t="s">
        <v>28</v>
      </c>
      <c r="M63" t="s">
        <v>41</v>
      </c>
      <c r="N63" t="s">
        <v>42</v>
      </c>
      <c r="O63">
        <v>1</v>
      </c>
      <c r="P63">
        <v>3</v>
      </c>
      <c r="Q63">
        <v>3</v>
      </c>
      <c r="R63" t="str">
        <f>IF(Table5[[#This Row],[Residual Risk Score]]&gt;Table5[[#This Row],[Initial Risk Score]],"NO Reduction","Reduced")</f>
        <v>Reduced</v>
      </c>
      <c r="S63" t="s">
        <v>31</v>
      </c>
      <c r="T63" t="s">
        <v>61</v>
      </c>
      <c r="U63" t="s">
        <v>96</v>
      </c>
      <c r="V63" s="2">
        <v>46350</v>
      </c>
    </row>
    <row r="64" spans="1:22" x14ac:dyDescent="0.25">
      <c r="A64" t="s">
        <v>188</v>
      </c>
      <c r="B64" s="2">
        <v>45690</v>
      </c>
      <c r="C64" t="s">
        <v>35</v>
      </c>
      <c r="D64" t="s">
        <v>80</v>
      </c>
      <c r="E64" t="s">
        <v>120</v>
      </c>
      <c r="F64" t="s">
        <v>121</v>
      </c>
      <c r="G64" t="s">
        <v>35</v>
      </c>
      <c r="H64" t="s">
        <v>68</v>
      </c>
      <c r="I64">
        <v>5</v>
      </c>
      <c r="J64">
        <v>3</v>
      </c>
      <c r="K64">
        <v>15</v>
      </c>
      <c r="L64" t="s">
        <v>40</v>
      </c>
      <c r="M64" t="s">
        <v>101</v>
      </c>
      <c r="N64" t="s">
        <v>106</v>
      </c>
      <c r="O64">
        <v>3</v>
      </c>
      <c r="P64">
        <v>2</v>
      </c>
      <c r="Q64">
        <v>6</v>
      </c>
      <c r="R64" t="str">
        <f>IF(Table5[[#This Row],[Residual Risk Score]]&gt;Table5[[#This Row],[Initial Risk Score]],"NO Reduction","Reduced")</f>
        <v>Reduced</v>
      </c>
      <c r="S64" t="s">
        <v>28</v>
      </c>
      <c r="T64" t="s">
        <v>61</v>
      </c>
      <c r="U64" t="s">
        <v>71</v>
      </c>
      <c r="V64" s="2">
        <v>45870</v>
      </c>
    </row>
    <row r="65" spans="1:22" x14ac:dyDescent="0.25">
      <c r="A65" t="s">
        <v>189</v>
      </c>
      <c r="B65" s="2">
        <v>45794</v>
      </c>
      <c r="C65" t="s">
        <v>85</v>
      </c>
      <c r="D65" t="s">
        <v>74</v>
      </c>
      <c r="E65" t="s">
        <v>140</v>
      </c>
      <c r="F65" t="s">
        <v>141</v>
      </c>
      <c r="G65" t="s">
        <v>142</v>
      </c>
      <c r="H65" t="s">
        <v>68</v>
      </c>
      <c r="I65">
        <v>4</v>
      </c>
      <c r="J65">
        <v>3</v>
      </c>
      <c r="K65">
        <v>12</v>
      </c>
      <c r="L65" t="s">
        <v>40</v>
      </c>
      <c r="M65" t="s">
        <v>69</v>
      </c>
      <c r="N65" t="s">
        <v>128</v>
      </c>
      <c r="O65">
        <v>3</v>
      </c>
      <c r="P65">
        <v>3</v>
      </c>
      <c r="Q65">
        <v>9</v>
      </c>
      <c r="R65" t="str">
        <f>IF(Table5[[#This Row],[Residual Risk Score]]&gt;Table5[[#This Row],[Initial Risk Score]],"NO Reduction","Reduced")</f>
        <v>Reduced</v>
      </c>
      <c r="S65" t="s">
        <v>28</v>
      </c>
      <c r="T65" t="s">
        <v>61</v>
      </c>
      <c r="U65" t="s">
        <v>52</v>
      </c>
      <c r="V65" s="2">
        <v>46159</v>
      </c>
    </row>
    <row r="66" spans="1:22" x14ac:dyDescent="0.25">
      <c r="A66" t="s">
        <v>190</v>
      </c>
      <c r="B66" s="2">
        <v>46056</v>
      </c>
      <c r="C66" t="s">
        <v>64</v>
      </c>
      <c r="D66" t="s">
        <v>98</v>
      </c>
      <c r="E66" t="s">
        <v>91</v>
      </c>
      <c r="F66" t="s">
        <v>92</v>
      </c>
      <c r="G66" t="s">
        <v>35</v>
      </c>
      <c r="H66" t="s">
        <v>122</v>
      </c>
      <c r="I66">
        <v>5</v>
      </c>
      <c r="J66">
        <v>4</v>
      </c>
      <c r="K66">
        <v>20</v>
      </c>
      <c r="L66" t="s">
        <v>94</v>
      </c>
      <c r="M66" t="s">
        <v>83</v>
      </c>
      <c r="N66" t="s">
        <v>89</v>
      </c>
      <c r="O66">
        <v>3</v>
      </c>
      <c r="P66">
        <v>4</v>
      </c>
      <c r="Q66">
        <v>12</v>
      </c>
      <c r="R66" s="4" t="str">
        <f>IF(Table5[[#This Row],[Residual Risk Score]]&lt;Table5[[#This Row],[Initial Risk Score]],"Reduced","No Reduction")</f>
        <v>Reduced</v>
      </c>
      <c r="S66" t="s">
        <v>40</v>
      </c>
      <c r="T66" t="s">
        <v>61</v>
      </c>
      <c r="U66" t="s">
        <v>71</v>
      </c>
      <c r="V66" s="2">
        <v>46786</v>
      </c>
    </row>
    <row r="67" spans="1:22" x14ac:dyDescent="0.25">
      <c r="A67" t="s">
        <v>191</v>
      </c>
      <c r="B67" s="2">
        <v>45719</v>
      </c>
      <c r="C67" t="s">
        <v>35</v>
      </c>
      <c r="D67" t="s">
        <v>23</v>
      </c>
      <c r="E67" t="s">
        <v>36</v>
      </c>
      <c r="F67" t="s">
        <v>37</v>
      </c>
      <c r="G67" t="s">
        <v>38</v>
      </c>
      <c r="H67" t="s">
        <v>113</v>
      </c>
      <c r="I67">
        <v>2</v>
      </c>
      <c r="J67">
        <v>2</v>
      </c>
      <c r="K67">
        <v>4</v>
      </c>
      <c r="L67" t="s">
        <v>31</v>
      </c>
      <c r="M67" t="s">
        <v>101</v>
      </c>
      <c r="N67" t="s">
        <v>51</v>
      </c>
      <c r="O67">
        <v>2</v>
      </c>
      <c r="P67">
        <v>2</v>
      </c>
      <c r="Q67">
        <v>4</v>
      </c>
      <c r="R67" s="4" t="str">
        <f>IF(Table5[[#This Row],[Residual Risk Score]]&lt;Table5[[#This Row],[Initial Risk Score]],"Reduced","No Reduction")</f>
        <v>No Reduction</v>
      </c>
      <c r="S67" t="s">
        <v>31</v>
      </c>
      <c r="T67" t="s">
        <v>61</v>
      </c>
      <c r="U67" t="s">
        <v>96</v>
      </c>
      <c r="V67" s="2">
        <v>46449</v>
      </c>
    </row>
    <row r="68" spans="1:22" x14ac:dyDescent="0.25">
      <c r="A68" t="s">
        <v>192</v>
      </c>
      <c r="B68" s="2">
        <v>46282</v>
      </c>
      <c r="C68" t="s">
        <v>73</v>
      </c>
      <c r="D68" t="s">
        <v>98</v>
      </c>
      <c r="E68" t="s">
        <v>104</v>
      </c>
      <c r="F68" t="s">
        <v>105</v>
      </c>
      <c r="G68" t="s">
        <v>73</v>
      </c>
      <c r="H68" t="s">
        <v>116</v>
      </c>
      <c r="I68">
        <v>3</v>
      </c>
      <c r="J68">
        <v>3</v>
      </c>
      <c r="K68">
        <v>9</v>
      </c>
      <c r="L68" t="s">
        <v>28</v>
      </c>
      <c r="M68" t="s">
        <v>95</v>
      </c>
      <c r="N68" t="s">
        <v>128</v>
      </c>
      <c r="O68">
        <v>2</v>
      </c>
      <c r="P68">
        <v>2</v>
      </c>
      <c r="Q68">
        <v>4</v>
      </c>
      <c r="R68" s="4" t="str">
        <f>IF(Table5[[#This Row],[Residual Risk Score]]&lt;Table5[[#This Row],[Initial Risk Score]],"Reduced","No Reduction")</f>
        <v>Reduced</v>
      </c>
      <c r="S68" t="s">
        <v>31</v>
      </c>
      <c r="T68" t="s">
        <v>61</v>
      </c>
      <c r="U68" t="s">
        <v>33</v>
      </c>
      <c r="V68" s="2">
        <v>46462</v>
      </c>
    </row>
    <row r="69" spans="1:22" x14ac:dyDescent="0.25">
      <c r="A69" t="s">
        <v>193</v>
      </c>
      <c r="B69" s="2">
        <v>46116</v>
      </c>
      <c r="C69" t="s">
        <v>22</v>
      </c>
      <c r="D69" t="s">
        <v>108</v>
      </c>
      <c r="E69" t="s">
        <v>99</v>
      </c>
      <c r="F69" t="s">
        <v>100</v>
      </c>
      <c r="G69" t="s">
        <v>35</v>
      </c>
      <c r="H69" t="s">
        <v>68</v>
      </c>
      <c r="I69">
        <v>5</v>
      </c>
      <c r="J69">
        <v>3</v>
      </c>
      <c r="K69">
        <v>15</v>
      </c>
      <c r="L69" t="s">
        <v>40</v>
      </c>
      <c r="M69" t="s">
        <v>29</v>
      </c>
      <c r="N69" t="s">
        <v>30</v>
      </c>
      <c r="O69">
        <v>4</v>
      </c>
      <c r="P69">
        <v>3</v>
      </c>
      <c r="Q69">
        <v>12</v>
      </c>
      <c r="R69" s="4" t="str">
        <f>IF(Table5[[#This Row],[Residual Risk Score]]&lt;Table5[[#This Row],[Initial Risk Score]],"Reduced","No Reduction")</f>
        <v>Reduced</v>
      </c>
      <c r="S69" t="s">
        <v>40</v>
      </c>
      <c r="T69" t="s">
        <v>32</v>
      </c>
      <c r="U69" t="s">
        <v>71</v>
      </c>
      <c r="V69" s="2">
        <v>46481</v>
      </c>
    </row>
    <row r="70" spans="1:22" x14ac:dyDescent="0.25">
      <c r="A70" t="s">
        <v>194</v>
      </c>
      <c r="B70" s="2">
        <v>45847</v>
      </c>
      <c r="C70" t="s">
        <v>85</v>
      </c>
      <c r="D70" t="s">
        <v>55</v>
      </c>
      <c r="E70" t="s">
        <v>140</v>
      </c>
      <c r="F70" t="s">
        <v>141</v>
      </c>
      <c r="G70" t="s">
        <v>142</v>
      </c>
      <c r="H70" t="s">
        <v>143</v>
      </c>
      <c r="I70">
        <v>3</v>
      </c>
      <c r="J70">
        <v>5</v>
      </c>
      <c r="K70">
        <v>15</v>
      </c>
      <c r="L70" t="s">
        <v>40</v>
      </c>
      <c r="M70" t="s">
        <v>78</v>
      </c>
      <c r="N70" t="s">
        <v>124</v>
      </c>
      <c r="O70">
        <v>2</v>
      </c>
      <c r="P70">
        <v>5</v>
      </c>
      <c r="Q70">
        <v>10</v>
      </c>
      <c r="R70" t="str">
        <f>IF(Table5[[#This Row],[Residual Risk Score]]&gt;Table5[[#This Row],[Initial Risk Score]],"NO Reduction","Reduced")</f>
        <v>Reduced</v>
      </c>
      <c r="S70" t="s">
        <v>40</v>
      </c>
      <c r="T70" t="s">
        <v>43</v>
      </c>
      <c r="U70" t="s">
        <v>52</v>
      </c>
      <c r="V70" s="2">
        <v>46212</v>
      </c>
    </row>
    <row r="71" spans="1:22" x14ac:dyDescent="0.25">
      <c r="A71" t="s">
        <v>195</v>
      </c>
      <c r="B71" s="2">
        <v>46340</v>
      </c>
      <c r="C71" t="s">
        <v>22</v>
      </c>
      <c r="D71" t="s">
        <v>98</v>
      </c>
      <c r="E71" t="s">
        <v>109</v>
      </c>
      <c r="F71" t="s">
        <v>110</v>
      </c>
      <c r="G71" t="s">
        <v>111</v>
      </c>
      <c r="H71" t="s">
        <v>143</v>
      </c>
      <c r="I71">
        <v>3</v>
      </c>
      <c r="J71">
        <v>5</v>
      </c>
      <c r="K71">
        <v>15</v>
      </c>
      <c r="L71" t="s">
        <v>40</v>
      </c>
      <c r="M71" t="s">
        <v>50</v>
      </c>
      <c r="N71" t="s">
        <v>106</v>
      </c>
      <c r="O71">
        <v>2</v>
      </c>
      <c r="P71">
        <v>5</v>
      </c>
      <c r="Q71">
        <v>10</v>
      </c>
      <c r="R71" s="4" t="str">
        <f>IF(Table5[[#This Row],[Residual Risk Score]]&lt;Table5[[#This Row],[Initial Risk Score]],"Reduced","No Reduction")</f>
        <v>Reduced</v>
      </c>
      <c r="S71" t="s">
        <v>40</v>
      </c>
      <c r="T71" t="s">
        <v>32</v>
      </c>
      <c r="U71" t="s">
        <v>62</v>
      </c>
      <c r="V71" s="2">
        <v>46705</v>
      </c>
    </row>
    <row r="72" spans="1:22" x14ac:dyDescent="0.25">
      <c r="A72" t="s">
        <v>196</v>
      </c>
      <c r="B72" s="2">
        <v>45843</v>
      </c>
      <c r="C72" t="s">
        <v>22</v>
      </c>
      <c r="D72" t="s">
        <v>80</v>
      </c>
      <c r="E72" t="s">
        <v>109</v>
      </c>
      <c r="F72" t="s">
        <v>110</v>
      </c>
      <c r="G72" t="s">
        <v>111</v>
      </c>
      <c r="H72" t="s">
        <v>197</v>
      </c>
      <c r="I72">
        <v>5</v>
      </c>
      <c r="J72">
        <v>3</v>
      </c>
      <c r="K72">
        <v>15</v>
      </c>
      <c r="L72" t="s">
        <v>40</v>
      </c>
      <c r="M72" t="s">
        <v>29</v>
      </c>
      <c r="N72" t="s">
        <v>60</v>
      </c>
      <c r="O72">
        <v>4</v>
      </c>
      <c r="P72">
        <v>2</v>
      </c>
      <c r="Q72">
        <v>8</v>
      </c>
      <c r="R72" t="str">
        <f>IF(Table5[[#This Row],[Residual Risk Score]]&gt;Table5[[#This Row],[Initial Risk Score]],"NO Reduction","Reduced")</f>
        <v>Reduced</v>
      </c>
      <c r="S72" t="s">
        <v>28</v>
      </c>
      <c r="T72" t="s">
        <v>43</v>
      </c>
      <c r="U72" t="s">
        <v>52</v>
      </c>
      <c r="V72" s="2">
        <v>46208</v>
      </c>
    </row>
    <row r="73" spans="1:22" x14ac:dyDescent="0.25">
      <c r="A73" t="s">
        <v>198</v>
      </c>
      <c r="B73" s="2">
        <v>46199</v>
      </c>
      <c r="C73" t="s">
        <v>64</v>
      </c>
      <c r="D73" t="s">
        <v>108</v>
      </c>
      <c r="E73" t="s">
        <v>91</v>
      </c>
      <c r="F73" t="s">
        <v>92</v>
      </c>
      <c r="G73" t="s">
        <v>35</v>
      </c>
      <c r="H73" t="s">
        <v>122</v>
      </c>
      <c r="I73">
        <v>3</v>
      </c>
      <c r="J73">
        <v>4</v>
      </c>
      <c r="K73">
        <v>12</v>
      </c>
      <c r="L73" t="s">
        <v>40</v>
      </c>
      <c r="M73" t="s">
        <v>69</v>
      </c>
      <c r="N73" t="s">
        <v>60</v>
      </c>
      <c r="O73">
        <v>2</v>
      </c>
      <c r="P73">
        <v>4</v>
      </c>
      <c r="Q73">
        <v>8</v>
      </c>
      <c r="R73" s="4" t="str">
        <f>IF(Table5[[#This Row],[Residual Risk Score]]&lt;Table5[[#This Row],[Initial Risk Score]],"Reduced","No Reduction")</f>
        <v>Reduced</v>
      </c>
      <c r="S73" t="s">
        <v>28</v>
      </c>
      <c r="T73" t="s">
        <v>43</v>
      </c>
      <c r="U73" t="s">
        <v>71</v>
      </c>
      <c r="V73" s="2">
        <v>46564</v>
      </c>
    </row>
    <row r="74" spans="1:22" x14ac:dyDescent="0.25">
      <c r="A74" t="s">
        <v>199</v>
      </c>
      <c r="B74" s="2">
        <v>46211</v>
      </c>
      <c r="C74" t="s">
        <v>35</v>
      </c>
      <c r="D74" t="s">
        <v>80</v>
      </c>
      <c r="E74" t="s">
        <v>36</v>
      </c>
      <c r="F74" t="s">
        <v>37</v>
      </c>
      <c r="G74" t="s">
        <v>38</v>
      </c>
      <c r="H74" t="s">
        <v>116</v>
      </c>
      <c r="I74">
        <v>2</v>
      </c>
      <c r="J74">
        <v>5</v>
      </c>
      <c r="K74">
        <v>10</v>
      </c>
      <c r="L74" t="s">
        <v>40</v>
      </c>
      <c r="M74" t="s">
        <v>50</v>
      </c>
      <c r="N74" t="s">
        <v>102</v>
      </c>
      <c r="O74">
        <v>1</v>
      </c>
      <c r="P74">
        <v>5</v>
      </c>
      <c r="Q74">
        <v>5</v>
      </c>
      <c r="R74" s="4" t="str">
        <f>IF(Table5[[#This Row],[Residual Risk Score]]&lt;Table5[[#This Row],[Initial Risk Score]],"Reduced","No Reduction")</f>
        <v>Reduced</v>
      </c>
      <c r="S74" t="s">
        <v>28</v>
      </c>
      <c r="T74" t="s">
        <v>43</v>
      </c>
      <c r="U74" t="s">
        <v>33</v>
      </c>
      <c r="V74" s="2">
        <v>46576</v>
      </c>
    </row>
    <row r="75" spans="1:22" x14ac:dyDescent="0.25">
      <c r="A75" t="s">
        <v>200</v>
      </c>
      <c r="B75" s="2">
        <v>45793</v>
      </c>
      <c r="C75" t="s">
        <v>64</v>
      </c>
      <c r="D75" t="s">
        <v>80</v>
      </c>
      <c r="E75" t="s">
        <v>174</v>
      </c>
      <c r="F75" t="s">
        <v>175</v>
      </c>
      <c r="G75" t="s">
        <v>176</v>
      </c>
      <c r="H75" t="s">
        <v>201</v>
      </c>
      <c r="I75">
        <v>4</v>
      </c>
      <c r="J75">
        <v>5</v>
      </c>
      <c r="K75">
        <v>20</v>
      </c>
      <c r="L75" t="s">
        <v>94</v>
      </c>
      <c r="M75" t="s">
        <v>50</v>
      </c>
      <c r="N75" t="s">
        <v>42</v>
      </c>
      <c r="O75">
        <v>3</v>
      </c>
      <c r="P75">
        <v>5</v>
      </c>
      <c r="Q75">
        <v>15</v>
      </c>
      <c r="R75" t="str">
        <f>IF(Table5[[#This Row],[Residual Risk Score]]&gt;Table5[[#This Row],[Initial Risk Score]],"NO Reduction","Reduced")</f>
        <v>Reduced</v>
      </c>
      <c r="S75" t="s">
        <v>40</v>
      </c>
      <c r="T75" t="s">
        <v>43</v>
      </c>
      <c r="U75" t="s">
        <v>62</v>
      </c>
      <c r="V75" s="2">
        <v>46158</v>
      </c>
    </row>
    <row r="76" spans="1:22" x14ac:dyDescent="0.25">
      <c r="A76" t="s">
        <v>202</v>
      </c>
      <c r="B76" s="2">
        <v>45949</v>
      </c>
      <c r="C76" t="s">
        <v>85</v>
      </c>
      <c r="D76" t="s">
        <v>98</v>
      </c>
      <c r="E76" t="s">
        <v>86</v>
      </c>
      <c r="F76" t="s">
        <v>87</v>
      </c>
      <c r="G76" t="s">
        <v>48</v>
      </c>
      <c r="H76" t="s">
        <v>49</v>
      </c>
      <c r="I76">
        <v>4</v>
      </c>
      <c r="J76">
        <v>2</v>
      </c>
      <c r="K76">
        <v>8</v>
      </c>
      <c r="L76" t="s">
        <v>28</v>
      </c>
      <c r="M76" t="s">
        <v>41</v>
      </c>
      <c r="N76" t="s">
        <v>70</v>
      </c>
      <c r="O76">
        <v>4</v>
      </c>
      <c r="P76">
        <v>1</v>
      </c>
      <c r="Q76">
        <v>4</v>
      </c>
      <c r="R76" t="str">
        <f>IF(Table5[[#This Row],[Residual Risk Score]]&gt;Table5[[#This Row],[Initial Risk Score]],"NO Reduction","Reduced")</f>
        <v>Reduced</v>
      </c>
      <c r="S76" t="s">
        <v>31</v>
      </c>
      <c r="T76" t="s">
        <v>32</v>
      </c>
      <c r="U76" t="s">
        <v>62</v>
      </c>
      <c r="V76" s="2">
        <v>46314</v>
      </c>
    </row>
    <row r="77" spans="1:22" x14ac:dyDescent="0.25">
      <c r="A77" t="s">
        <v>203</v>
      </c>
      <c r="B77" s="2">
        <v>46333</v>
      </c>
      <c r="C77" t="s">
        <v>85</v>
      </c>
      <c r="D77" t="s">
        <v>23</v>
      </c>
      <c r="E77" t="s">
        <v>86</v>
      </c>
      <c r="F77" t="s">
        <v>87</v>
      </c>
      <c r="G77" t="s">
        <v>48</v>
      </c>
      <c r="H77" t="s">
        <v>49</v>
      </c>
      <c r="I77">
        <v>2</v>
      </c>
      <c r="J77">
        <v>5</v>
      </c>
      <c r="K77">
        <v>10</v>
      </c>
      <c r="L77" t="s">
        <v>40</v>
      </c>
      <c r="M77" t="s">
        <v>41</v>
      </c>
      <c r="N77" t="s">
        <v>106</v>
      </c>
      <c r="O77">
        <v>1</v>
      </c>
      <c r="P77">
        <v>5</v>
      </c>
      <c r="Q77">
        <v>5</v>
      </c>
      <c r="R77" s="4" t="str">
        <f>IF(Table5[[#This Row],[Residual Risk Score]]&lt;Table5[[#This Row],[Initial Risk Score]],"Reduced","No Reduction")</f>
        <v>Reduced</v>
      </c>
      <c r="S77" t="s">
        <v>28</v>
      </c>
      <c r="T77" t="s">
        <v>32</v>
      </c>
      <c r="U77" t="s">
        <v>96</v>
      </c>
      <c r="V77" s="2">
        <v>46513</v>
      </c>
    </row>
    <row r="78" spans="1:22" x14ac:dyDescent="0.25">
      <c r="A78" t="s">
        <v>204</v>
      </c>
      <c r="B78" s="2">
        <v>46045</v>
      </c>
      <c r="C78" t="s">
        <v>85</v>
      </c>
      <c r="D78" t="s">
        <v>74</v>
      </c>
      <c r="E78" t="s">
        <v>86</v>
      </c>
      <c r="F78" t="s">
        <v>87</v>
      </c>
      <c r="G78" t="s">
        <v>48</v>
      </c>
      <c r="H78" t="s">
        <v>88</v>
      </c>
      <c r="I78">
        <v>2</v>
      </c>
      <c r="J78">
        <v>5</v>
      </c>
      <c r="K78">
        <v>10</v>
      </c>
      <c r="L78" t="s">
        <v>40</v>
      </c>
      <c r="M78" t="s">
        <v>78</v>
      </c>
      <c r="N78" t="s">
        <v>30</v>
      </c>
      <c r="O78">
        <v>1</v>
      </c>
      <c r="P78">
        <v>4</v>
      </c>
      <c r="Q78">
        <v>4</v>
      </c>
      <c r="R78" t="str">
        <f>IF(Table5[[#This Row],[Residual Risk Score]]&gt;Table5[[#This Row],[Initial Risk Score]],"NO Reduction","Reduced")</f>
        <v>Reduced</v>
      </c>
      <c r="S78" t="s">
        <v>31</v>
      </c>
      <c r="T78" t="s">
        <v>43</v>
      </c>
      <c r="U78" t="s">
        <v>62</v>
      </c>
      <c r="V78" s="2">
        <v>46225</v>
      </c>
    </row>
    <row r="79" spans="1:22" x14ac:dyDescent="0.25">
      <c r="A79" t="s">
        <v>205</v>
      </c>
      <c r="B79" s="2">
        <v>45906</v>
      </c>
      <c r="C79" t="s">
        <v>22</v>
      </c>
      <c r="D79" t="s">
        <v>55</v>
      </c>
      <c r="E79" t="s">
        <v>135</v>
      </c>
      <c r="F79" t="s">
        <v>136</v>
      </c>
      <c r="G79" t="s">
        <v>35</v>
      </c>
      <c r="H79" t="s">
        <v>68</v>
      </c>
      <c r="I79">
        <v>2</v>
      </c>
      <c r="J79">
        <v>4</v>
      </c>
      <c r="K79">
        <v>8</v>
      </c>
      <c r="L79" t="s">
        <v>28</v>
      </c>
      <c r="M79" t="s">
        <v>69</v>
      </c>
      <c r="N79" t="s">
        <v>128</v>
      </c>
      <c r="O79">
        <v>1</v>
      </c>
      <c r="P79">
        <v>3</v>
      </c>
      <c r="Q79">
        <v>3</v>
      </c>
      <c r="R79" t="str">
        <f>IF(Table5[[#This Row],[Residual Risk Score]]&gt;Table5[[#This Row],[Initial Risk Score]],"NO Reduction","Reduced")</f>
        <v>Reduced</v>
      </c>
      <c r="S79" t="s">
        <v>31</v>
      </c>
      <c r="T79" t="s">
        <v>43</v>
      </c>
      <c r="U79" t="s">
        <v>33</v>
      </c>
      <c r="V79" s="2">
        <v>46271</v>
      </c>
    </row>
    <row r="80" spans="1:22" x14ac:dyDescent="0.25">
      <c r="A80" t="s">
        <v>206</v>
      </c>
      <c r="B80" s="2">
        <v>46311</v>
      </c>
      <c r="C80" t="s">
        <v>35</v>
      </c>
      <c r="D80" t="s">
        <v>65</v>
      </c>
      <c r="E80" t="s">
        <v>36</v>
      </c>
      <c r="F80" t="s">
        <v>37</v>
      </c>
      <c r="G80" t="s">
        <v>38</v>
      </c>
      <c r="H80" t="s">
        <v>113</v>
      </c>
      <c r="I80">
        <v>3</v>
      </c>
      <c r="J80">
        <v>4</v>
      </c>
      <c r="K80">
        <v>12</v>
      </c>
      <c r="L80" t="s">
        <v>40</v>
      </c>
      <c r="M80" t="s">
        <v>69</v>
      </c>
      <c r="N80" t="s">
        <v>89</v>
      </c>
      <c r="O80">
        <v>2</v>
      </c>
      <c r="P80">
        <v>4</v>
      </c>
      <c r="Q80">
        <v>8</v>
      </c>
      <c r="R80" s="4" t="str">
        <f>IF(Table5[[#This Row],[Residual Risk Score]]&lt;Table5[[#This Row],[Initial Risk Score]],"Reduced","No Reduction")</f>
        <v>Reduced</v>
      </c>
      <c r="S80" t="s">
        <v>28</v>
      </c>
      <c r="T80" t="s">
        <v>61</v>
      </c>
      <c r="U80" t="s">
        <v>52</v>
      </c>
      <c r="V80" s="2">
        <v>47041</v>
      </c>
    </row>
    <row r="81" spans="1:22" x14ac:dyDescent="0.25">
      <c r="A81" t="s">
        <v>207</v>
      </c>
      <c r="B81" s="2">
        <v>46222</v>
      </c>
      <c r="C81" t="s">
        <v>85</v>
      </c>
      <c r="D81" t="s">
        <v>80</v>
      </c>
      <c r="E81" t="s">
        <v>86</v>
      </c>
      <c r="F81" t="s">
        <v>87</v>
      </c>
      <c r="G81" t="s">
        <v>48</v>
      </c>
      <c r="H81" t="s">
        <v>39</v>
      </c>
      <c r="I81">
        <v>3</v>
      </c>
      <c r="J81">
        <v>3</v>
      </c>
      <c r="K81">
        <v>9</v>
      </c>
      <c r="L81" t="s">
        <v>28</v>
      </c>
      <c r="M81" t="s">
        <v>50</v>
      </c>
      <c r="N81" t="s">
        <v>42</v>
      </c>
      <c r="O81">
        <v>2</v>
      </c>
      <c r="P81">
        <v>2</v>
      </c>
      <c r="Q81">
        <v>4</v>
      </c>
      <c r="R81" s="4" t="str">
        <f>IF(Table5[[#This Row],[Residual Risk Score]]&lt;Table5[[#This Row],[Initial Risk Score]],"Reduced","No Reduction")</f>
        <v>Reduced</v>
      </c>
      <c r="S81" t="s">
        <v>31</v>
      </c>
      <c r="T81" t="s">
        <v>61</v>
      </c>
      <c r="U81" t="s">
        <v>52</v>
      </c>
      <c r="V81" s="2">
        <v>46587</v>
      </c>
    </row>
    <row r="82" spans="1:22" x14ac:dyDescent="0.25">
      <c r="A82" t="s">
        <v>208</v>
      </c>
      <c r="B82" s="2">
        <v>45790</v>
      </c>
      <c r="C82" t="s">
        <v>54</v>
      </c>
      <c r="D82" t="s">
        <v>74</v>
      </c>
      <c r="E82" t="s">
        <v>56</v>
      </c>
      <c r="F82" t="s">
        <v>57</v>
      </c>
      <c r="G82" t="s">
        <v>58</v>
      </c>
      <c r="H82" t="s">
        <v>209</v>
      </c>
      <c r="I82">
        <v>5</v>
      </c>
      <c r="J82">
        <v>5</v>
      </c>
      <c r="K82">
        <v>25</v>
      </c>
      <c r="L82" t="s">
        <v>94</v>
      </c>
      <c r="M82" t="s">
        <v>50</v>
      </c>
      <c r="N82" t="s">
        <v>42</v>
      </c>
      <c r="O82">
        <v>4</v>
      </c>
      <c r="P82">
        <v>5</v>
      </c>
      <c r="Q82">
        <v>20</v>
      </c>
      <c r="R82" s="4" t="str">
        <f>IF(Table5[[#This Row],[Residual Risk Score]]&lt;Table5[[#This Row],[Initial Risk Score]],"Reduced","No Reduction")</f>
        <v>Reduced</v>
      </c>
      <c r="S82" t="s">
        <v>94</v>
      </c>
      <c r="T82" t="s">
        <v>61</v>
      </c>
      <c r="U82" t="s">
        <v>33</v>
      </c>
      <c r="V82" s="2">
        <v>46520</v>
      </c>
    </row>
    <row r="83" spans="1:22" x14ac:dyDescent="0.25">
      <c r="A83" t="s">
        <v>210</v>
      </c>
      <c r="B83" s="2">
        <v>45953</v>
      </c>
      <c r="C83" t="s">
        <v>22</v>
      </c>
      <c r="D83" t="s">
        <v>74</v>
      </c>
      <c r="E83" t="s">
        <v>109</v>
      </c>
      <c r="F83" t="s">
        <v>110</v>
      </c>
      <c r="G83" t="s">
        <v>111</v>
      </c>
      <c r="H83" t="s">
        <v>68</v>
      </c>
      <c r="I83">
        <v>2</v>
      </c>
      <c r="J83">
        <v>4</v>
      </c>
      <c r="K83">
        <v>8</v>
      </c>
      <c r="L83" t="s">
        <v>28</v>
      </c>
      <c r="M83" t="s">
        <v>78</v>
      </c>
      <c r="N83" t="s">
        <v>70</v>
      </c>
      <c r="O83">
        <v>1</v>
      </c>
      <c r="P83">
        <v>4</v>
      </c>
      <c r="Q83">
        <v>4</v>
      </c>
      <c r="R83" t="str">
        <f>IF(Table5[[#This Row],[Residual Risk Score]]&gt;Table5[[#This Row],[Initial Risk Score]],"NO Reduction","Reduced")</f>
        <v>Reduced</v>
      </c>
      <c r="S83" t="s">
        <v>31</v>
      </c>
      <c r="T83" t="s">
        <v>32</v>
      </c>
      <c r="U83" t="s">
        <v>62</v>
      </c>
      <c r="V83" s="2">
        <v>46133</v>
      </c>
    </row>
    <row r="84" spans="1:22" x14ac:dyDescent="0.25">
      <c r="A84" t="s">
        <v>211</v>
      </c>
      <c r="B84" s="2">
        <v>46340</v>
      </c>
      <c r="C84" t="s">
        <v>85</v>
      </c>
      <c r="D84" t="s">
        <v>98</v>
      </c>
      <c r="E84" t="s">
        <v>140</v>
      </c>
      <c r="F84" t="s">
        <v>141</v>
      </c>
      <c r="G84" t="s">
        <v>142</v>
      </c>
      <c r="H84" t="s">
        <v>153</v>
      </c>
      <c r="I84">
        <v>4</v>
      </c>
      <c r="J84">
        <v>5</v>
      </c>
      <c r="K84">
        <v>20</v>
      </c>
      <c r="L84" t="s">
        <v>94</v>
      </c>
      <c r="M84" t="s">
        <v>101</v>
      </c>
      <c r="N84" t="s">
        <v>60</v>
      </c>
      <c r="O84">
        <v>3</v>
      </c>
      <c r="P84">
        <v>4</v>
      </c>
      <c r="Q84">
        <v>12</v>
      </c>
      <c r="R84" s="4" t="str">
        <f>IF(Table5[[#This Row],[Residual Risk Score]]&lt;Table5[[#This Row],[Initial Risk Score]],"Reduced","No Reduction")</f>
        <v>Reduced</v>
      </c>
      <c r="S84" t="s">
        <v>40</v>
      </c>
      <c r="T84" t="s">
        <v>61</v>
      </c>
      <c r="U84" t="s">
        <v>62</v>
      </c>
      <c r="V84" s="2">
        <v>46705</v>
      </c>
    </row>
    <row r="85" spans="1:22" x14ac:dyDescent="0.25">
      <c r="A85" t="s">
        <v>212</v>
      </c>
      <c r="B85" s="2">
        <v>46182</v>
      </c>
      <c r="C85" t="s">
        <v>64</v>
      </c>
      <c r="D85" t="s">
        <v>108</v>
      </c>
      <c r="E85" t="s">
        <v>66</v>
      </c>
      <c r="F85" t="s">
        <v>67</v>
      </c>
      <c r="G85" t="s">
        <v>35</v>
      </c>
      <c r="H85" t="s">
        <v>122</v>
      </c>
      <c r="I85">
        <v>4</v>
      </c>
      <c r="J85">
        <v>3</v>
      </c>
      <c r="K85">
        <v>12</v>
      </c>
      <c r="L85" t="s">
        <v>40</v>
      </c>
      <c r="M85" t="s">
        <v>69</v>
      </c>
      <c r="N85" t="s">
        <v>102</v>
      </c>
      <c r="O85">
        <v>4</v>
      </c>
      <c r="P85">
        <v>2</v>
      </c>
      <c r="Q85">
        <v>8</v>
      </c>
      <c r="R85" t="str">
        <f>IF(Table5[[#This Row],[Residual Risk Score]]&gt;Table5[[#This Row],[Initial Risk Score]],"NO Reduction","Reduced")</f>
        <v>Reduced</v>
      </c>
      <c r="S85" t="s">
        <v>28</v>
      </c>
      <c r="T85" t="s">
        <v>32</v>
      </c>
      <c r="U85" t="s">
        <v>33</v>
      </c>
      <c r="V85" s="2">
        <v>46362</v>
      </c>
    </row>
    <row r="86" spans="1:22" x14ac:dyDescent="0.25">
      <c r="A86" t="s">
        <v>213</v>
      </c>
      <c r="B86" s="2">
        <v>46267</v>
      </c>
      <c r="C86" t="s">
        <v>85</v>
      </c>
      <c r="D86" t="s">
        <v>98</v>
      </c>
      <c r="E86" t="s">
        <v>86</v>
      </c>
      <c r="F86" t="s">
        <v>87</v>
      </c>
      <c r="G86" t="s">
        <v>48</v>
      </c>
      <c r="H86" t="s">
        <v>49</v>
      </c>
      <c r="I86">
        <v>4</v>
      </c>
      <c r="J86">
        <v>3</v>
      </c>
      <c r="K86">
        <v>12</v>
      </c>
      <c r="L86" t="s">
        <v>40</v>
      </c>
      <c r="M86" t="s">
        <v>101</v>
      </c>
      <c r="N86" t="s">
        <v>30</v>
      </c>
      <c r="O86">
        <v>3</v>
      </c>
      <c r="P86">
        <v>2</v>
      </c>
      <c r="Q86">
        <v>6</v>
      </c>
      <c r="R86" s="4" t="str">
        <f>IF(Table5[[#This Row],[Residual Risk Score]]&lt;Table5[[#This Row],[Initial Risk Score]],"Reduced","No Reduction")</f>
        <v>Reduced</v>
      </c>
      <c r="S86" t="s">
        <v>28</v>
      </c>
      <c r="T86" t="s">
        <v>43</v>
      </c>
      <c r="U86" t="s">
        <v>33</v>
      </c>
      <c r="V86" s="2">
        <v>46632</v>
      </c>
    </row>
    <row r="87" spans="1:22" x14ac:dyDescent="0.25">
      <c r="A87" t="s">
        <v>214</v>
      </c>
      <c r="B87" s="2">
        <v>46134</v>
      </c>
      <c r="C87" t="s">
        <v>45</v>
      </c>
      <c r="D87" t="s">
        <v>65</v>
      </c>
      <c r="E87" t="s">
        <v>46</v>
      </c>
      <c r="F87" t="s">
        <v>47</v>
      </c>
      <c r="G87" t="s">
        <v>48</v>
      </c>
      <c r="H87" t="s">
        <v>39</v>
      </c>
      <c r="I87">
        <v>2</v>
      </c>
      <c r="J87">
        <v>5</v>
      </c>
      <c r="K87">
        <v>10</v>
      </c>
      <c r="L87" t="s">
        <v>40</v>
      </c>
      <c r="M87" t="s">
        <v>83</v>
      </c>
      <c r="N87" t="s">
        <v>70</v>
      </c>
      <c r="O87">
        <v>1</v>
      </c>
      <c r="P87">
        <v>5</v>
      </c>
      <c r="Q87">
        <v>5</v>
      </c>
      <c r="R87" t="str">
        <f>IF(Table5[[#This Row],[Residual Risk Score]]&gt;Table5[[#This Row],[Initial Risk Score]],"NO Reduction","Reduced")</f>
        <v>Reduced</v>
      </c>
      <c r="S87" t="s">
        <v>28</v>
      </c>
      <c r="T87" t="s">
        <v>61</v>
      </c>
      <c r="U87" t="s">
        <v>33</v>
      </c>
      <c r="V87" s="2">
        <v>46314</v>
      </c>
    </row>
    <row r="88" spans="1:22" x14ac:dyDescent="0.25">
      <c r="A88" t="s">
        <v>215</v>
      </c>
      <c r="B88" s="2">
        <v>45781</v>
      </c>
      <c r="C88" t="s">
        <v>85</v>
      </c>
      <c r="D88" t="s">
        <v>23</v>
      </c>
      <c r="E88" t="s">
        <v>140</v>
      </c>
      <c r="F88" t="s">
        <v>141</v>
      </c>
      <c r="G88" t="s">
        <v>142</v>
      </c>
      <c r="H88" t="s">
        <v>153</v>
      </c>
      <c r="I88">
        <v>5</v>
      </c>
      <c r="J88">
        <v>3</v>
      </c>
      <c r="K88">
        <v>15</v>
      </c>
      <c r="L88" t="s">
        <v>40</v>
      </c>
      <c r="M88" t="s">
        <v>29</v>
      </c>
      <c r="N88" t="s">
        <v>89</v>
      </c>
      <c r="O88">
        <v>3</v>
      </c>
      <c r="P88">
        <v>2</v>
      </c>
      <c r="Q88">
        <v>6</v>
      </c>
      <c r="R88" t="str">
        <f>IF(Table5[[#This Row],[Residual Risk Score]]&gt;Table5[[#This Row],[Initial Risk Score]],"NO Reduction","Reduced")</f>
        <v>Reduced</v>
      </c>
      <c r="S88" t="s">
        <v>28</v>
      </c>
      <c r="T88" t="s">
        <v>32</v>
      </c>
      <c r="U88" t="s">
        <v>96</v>
      </c>
      <c r="V88" s="2">
        <v>46146</v>
      </c>
    </row>
    <row r="89" spans="1:22" x14ac:dyDescent="0.25">
      <c r="A89" t="s">
        <v>216</v>
      </c>
      <c r="B89" s="2">
        <v>46131</v>
      </c>
      <c r="C89" t="s">
        <v>73</v>
      </c>
      <c r="D89" t="s">
        <v>55</v>
      </c>
      <c r="E89" t="s">
        <v>104</v>
      </c>
      <c r="F89" t="s">
        <v>105</v>
      </c>
      <c r="G89" t="s">
        <v>73</v>
      </c>
      <c r="H89" t="s">
        <v>77</v>
      </c>
      <c r="I89">
        <v>3</v>
      </c>
      <c r="J89">
        <v>5</v>
      </c>
      <c r="K89">
        <v>15</v>
      </c>
      <c r="L89" t="s">
        <v>40</v>
      </c>
      <c r="M89" t="s">
        <v>50</v>
      </c>
      <c r="N89" t="s">
        <v>106</v>
      </c>
      <c r="O89">
        <v>3</v>
      </c>
      <c r="P89">
        <v>4</v>
      </c>
      <c r="Q89">
        <v>12</v>
      </c>
      <c r="R89" s="4" t="str">
        <f>IF(Table5[[#This Row],[Residual Risk Score]]&lt;Table5[[#This Row],[Initial Risk Score]],"Reduced","No Reduction")</f>
        <v>Reduced</v>
      </c>
      <c r="S89" t="s">
        <v>40</v>
      </c>
      <c r="T89" t="s">
        <v>43</v>
      </c>
      <c r="U89" t="s">
        <v>71</v>
      </c>
      <c r="V89" s="2">
        <v>46496</v>
      </c>
    </row>
    <row r="90" spans="1:22" x14ac:dyDescent="0.25">
      <c r="A90" t="s">
        <v>217</v>
      </c>
      <c r="B90" s="2">
        <v>45885</v>
      </c>
      <c r="C90" t="s">
        <v>64</v>
      </c>
      <c r="D90" t="s">
        <v>98</v>
      </c>
      <c r="E90" t="s">
        <v>174</v>
      </c>
      <c r="F90" t="s">
        <v>175</v>
      </c>
      <c r="G90" t="s">
        <v>176</v>
      </c>
      <c r="H90" t="s">
        <v>177</v>
      </c>
      <c r="I90">
        <v>4</v>
      </c>
      <c r="J90">
        <v>5</v>
      </c>
      <c r="K90">
        <v>20</v>
      </c>
      <c r="L90" t="s">
        <v>94</v>
      </c>
      <c r="M90" t="s">
        <v>29</v>
      </c>
      <c r="N90" t="s">
        <v>60</v>
      </c>
      <c r="O90">
        <v>3</v>
      </c>
      <c r="P90">
        <v>5</v>
      </c>
      <c r="Q90">
        <v>15</v>
      </c>
      <c r="R90" t="str">
        <f>IF(Table5[[#This Row],[Residual Risk Score]]&gt;Table5[[#This Row],[Initial Risk Score]],"NO Reduction","Reduced")</f>
        <v>Reduced</v>
      </c>
      <c r="S90" t="s">
        <v>40</v>
      </c>
      <c r="T90" t="s">
        <v>61</v>
      </c>
      <c r="U90" t="s">
        <v>62</v>
      </c>
      <c r="V90" s="2">
        <v>46250</v>
      </c>
    </row>
    <row r="91" spans="1:22" x14ac:dyDescent="0.25">
      <c r="A91" t="s">
        <v>218</v>
      </c>
      <c r="B91" s="2">
        <v>46196</v>
      </c>
      <c r="C91" t="s">
        <v>108</v>
      </c>
      <c r="D91" t="s">
        <v>98</v>
      </c>
      <c r="E91" t="s">
        <v>162</v>
      </c>
      <c r="F91" t="s">
        <v>163</v>
      </c>
      <c r="G91" t="s">
        <v>164</v>
      </c>
      <c r="H91" t="s">
        <v>219</v>
      </c>
      <c r="I91">
        <v>3</v>
      </c>
      <c r="J91">
        <v>3</v>
      </c>
      <c r="K91">
        <v>9</v>
      </c>
      <c r="L91" t="s">
        <v>28</v>
      </c>
      <c r="M91" t="s">
        <v>50</v>
      </c>
      <c r="N91" t="s">
        <v>70</v>
      </c>
      <c r="O91">
        <v>2</v>
      </c>
      <c r="P91">
        <v>2</v>
      </c>
      <c r="Q91">
        <v>4</v>
      </c>
      <c r="R91" s="4" t="str">
        <f>IF(Table5[[#This Row],[Residual Risk Score]]&lt;Table5[[#This Row],[Initial Risk Score]],"Reduced","No Reduction")</f>
        <v>Reduced</v>
      </c>
      <c r="S91" t="s">
        <v>31</v>
      </c>
      <c r="T91" t="s">
        <v>61</v>
      </c>
      <c r="U91" t="s">
        <v>71</v>
      </c>
      <c r="V91" s="2">
        <v>46926</v>
      </c>
    </row>
    <row r="92" spans="1:22" x14ac:dyDescent="0.25">
      <c r="A92" t="s">
        <v>220</v>
      </c>
      <c r="B92" s="2">
        <v>45684</v>
      </c>
      <c r="C92" t="s">
        <v>35</v>
      </c>
      <c r="D92" t="s">
        <v>74</v>
      </c>
      <c r="E92" t="s">
        <v>120</v>
      </c>
      <c r="F92" t="s">
        <v>121</v>
      </c>
      <c r="G92" t="s">
        <v>35</v>
      </c>
      <c r="H92" t="s">
        <v>68</v>
      </c>
      <c r="I92">
        <v>4</v>
      </c>
      <c r="J92">
        <v>5</v>
      </c>
      <c r="K92">
        <v>20</v>
      </c>
      <c r="L92" t="s">
        <v>94</v>
      </c>
      <c r="M92" t="s">
        <v>95</v>
      </c>
      <c r="N92" t="s">
        <v>42</v>
      </c>
      <c r="O92">
        <v>2</v>
      </c>
      <c r="P92">
        <v>4</v>
      </c>
      <c r="Q92">
        <v>8</v>
      </c>
      <c r="R92" s="4" t="str">
        <f>IF(Table5[[#This Row],[Residual Risk Score]]&lt;Table5[[#This Row],[Initial Risk Score]],"Reduced","No Reduction")</f>
        <v>Reduced</v>
      </c>
      <c r="S92" t="s">
        <v>28</v>
      </c>
      <c r="T92" t="s">
        <v>43</v>
      </c>
      <c r="U92" t="s">
        <v>52</v>
      </c>
      <c r="V92" s="2">
        <v>46414</v>
      </c>
    </row>
    <row r="93" spans="1:22" x14ac:dyDescent="0.25">
      <c r="A93" t="s">
        <v>221</v>
      </c>
      <c r="B93" s="2">
        <v>46139</v>
      </c>
      <c r="C93" t="s">
        <v>64</v>
      </c>
      <c r="D93" t="s">
        <v>80</v>
      </c>
      <c r="E93" t="s">
        <v>91</v>
      </c>
      <c r="F93" t="s">
        <v>92</v>
      </c>
      <c r="G93" t="s">
        <v>35</v>
      </c>
      <c r="H93" t="s">
        <v>137</v>
      </c>
      <c r="I93">
        <v>5</v>
      </c>
      <c r="J93">
        <v>4</v>
      </c>
      <c r="K93">
        <v>20</v>
      </c>
      <c r="L93" t="s">
        <v>94</v>
      </c>
      <c r="M93" t="s">
        <v>29</v>
      </c>
      <c r="N93" t="s">
        <v>51</v>
      </c>
      <c r="O93">
        <v>5</v>
      </c>
      <c r="P93">
        <v>4</v>
      </c>
      <c r="Q93">
        <v>20</v>
      </c>
      <c r="R93" s="4" t="str">
        <f>IF(Table5[[#This Row],[Residual Risk Score]]&lt;Table5[[#This Row],[Initial Risk Score]],"Reduced","No Reduction")</f>
        <v>No Reduction</v>
      </c>
      <c r="S93" t="s">
        <v>94</v>
      </c>
      <c r="T93" t="s">
        <v>61</v>
      </c>
      <c r="U93" t="s">
        <v>71</v>
      </c>
      <c r="V93" s="2">
        <v>46869</v>
      </c>
    </row>
    <row r="94" spans="1:22" x14ac:dyDescent="0.25">
      <c r="A94" t="s">
        <v>222</v>
      </c>
      <c r="B94" s="2">
        <v>46245</v>
      </c>
      <c r="C94" t="s">
        <v>22</v>
      </c>
      <c r="D94" t="s">
        <v>65</v>
      </c>
      <c r="E94" t="s">
        <v>24</v>
      </c>
      <c r="F94" t="s">
        <v>25</v>
      </c>
      <c r="G94" t="s">
        <v>26</v>
      </c>
      <c r="H94" t="s">
        <v>223</v>
      </c>
      <c r="I94">
        <v>3</v>
      </c>
      <c r="J94">
        <v>4</v>
      </c>
      <c r="K94">
        <v>12</v>
      </c>
      <c r="L94" t="s">
        <v>40</v>
      </c>
      <c r="M94" t="s">
        <v>78</v>
      </c>
      <c r="N94" t="s">
        <v>102</v>
      </c>
      <c r="O94">
        <v>2</v>
      </c>
      <c r="P94">
        <v>3</v>
      </c>
      <c r="Q94">
        <v>6</v>
      </c>
      <c r="R94" s="4" t="str">
        <f>IF(Table5[[#This Row],[Residual Risk Score]]&lt;Table5[[#This Row],[Initial Risk Score]],"Reduced","No Reduction")</f>
        <v>Reduced</v>
      </c>
      <c r="S94" t="s">
        <v>28</v>
      </c>
      <c r="T94" t="s">
        <v>32</v>
      </c>
      <c r="U94" t="s">
        <v>96</v>
      </c>
      <c r="V94" s="2">
        <v>46610</v>
      </c>
    </row>
    <row r="95" spans="1:22" x14ac:dyDescent="0.25">
      <c r="A95" t="s">
        <v>224</v>
      </c>
      <c r="B95" s="2">
        <v>46298</v>
      </c>
      <c r="C95" t="s">
        <v>108</v>
      </c>
      <c r="D95" t="s">
        <v>55</v>
      </c>
      <c r="E95" t="s">
        <v>149</v>
      </c>
      <c r="F95" t="s">
        <v>150</v>
      </c>
      <c r="G95" t="s">
        <v>151</v>
      </c>
      <c r="H95" t="s">
        <v>225</v>
      </c>
      <c r="I95">
        <v>4</v>
      </c>
      <c r="J95">
        <v>4</v>
      </c>
      <c r="K95">
        <v>16</v>
      </c>
      <c r="L95" t="s">
        <v>40</v>
      </c>
      <c r="M95" t="s">
        <v>78</v>
      </c>
      <c r="N95" t="s">
        <v>51</v>
      </c>
      <c r="O95">
        <v>4</v>
      </c>
      <c r="P95">
        <v>3</v>
      </c>
      <c r="Q95">
        <v>12</v>
      </c>
      <c r="R95" s="4" t="str">
        <f>IF(Table5[[#This Row],[Residual Risk Score]]&lt;Table5[[#This Row],[Initial Risk Score]],"Reduced","No Reduction")</f>
        <v>Reduced</v>
      </c>
      <c r="S95" t="s">
        <v>40</v>
      </c>
      <c r="T95" t="s">
        <v>32</v>
      </c>
      <c r="U95" t="s">
        <v>52</v>
      </c>
      <c r="V95" s="2">
        <v>47028</v>
      </c>
    </row>
    <row r="96" spans="1:22" x14ac:dyDescent="0.25">
      <c r="A96" t="s">
        <v>226</v>
      </c>
      <c r="B96" s="2">
        <v>45875</v>
      </c>
      <c r="C96" t="s">
        <v>85</v>
      </c>
      <c r="D96" t="s">
        <v>98</v>
      </c>
      <c r="E96" t="s">
        <v>86</v>
      </c>
      <c r="F96" t="s">
        <v>87</v>
      </c>
      <c r="G96" t="s">
        <v>48</v>
      </c>
      <c r="H96" t="s">
        <v>49</v>
      </c>
      <c r="I96">
        <v>3</v>
      </c>
      <c r="J96">
        <v>2</v>
      </c>
      <c r="K96">
        <v>6</v>
      </c>
      <c r="L96" t="s">
        <v>28</v>
      </c>
      <c r="M96" t="s">
        <v>95</v>
      </c>
      <c r="N96" t="s">
        <v>124</v>
      </c>
      <c r="O96">
        <v>3</v>
      </c>
      <c r="P96">
        <v>2</v>
      </c>
      <c r="Q96">
        <v>6</v>
      </c>
      <c r="R96" t="str">
        <f>IF(Table5[[#This Row],[Residual Risk Score]]&gt;Table5[[#This Row],[Initial Risk Score]],"NO Reduction","Reduced")</f>
        <v>Reduced</v>
      </c>
      <c r="S96" t="s">
        <v>28</v>
      </c>
      <c r="T96" t="s">
        <v>43</v>
      </c>
      <c r="U96" t="s">
        <v>62</v>
      </c>
      <c r="V96" s="2">
        <v>46240</v>
      </c>
    </row>
    <row r="97" spans="1:22" x14ac:dyDescent="0.25">
      <c r="A97" t="s">
        <v>227</v>
      </c>
      <c r="B97" s="2">
        <v>45798</v>
      </c>
      <c r="C97" t="s">
        <v>73</v>
      </c>
      <c r="D97" t="s">
        <v>80</v>
      </c>
      <c r="E97" t="s">
        <v>104</v>
      </c>
      <c r="F97" t="s">
        <v>105</v>
      </c>
      <c r="G97" t="s">
        <v>73</v>
      </c>
      <c r="H97" t="s">
        <v>68</v>
      </c>
      <c r="I97">
        <v>3</v>
      </c>
      <c r="J97">
        <v>2</v>
      </c>
      <c r="K97">
        <v>6</v>
      </c>
      <c r="L97" t="s">
        <v>28</v>
      </c>
      <c r="M97" t="s">
        <v>101</v>
      </c>
      <c r="N97" t="s">
        <v>51</v>
      </c>
      <c r="O97">
        <v>2</v>
      </c>
      <c r="P97">
        <v>1</v>
      </c>
      <c r="Q97">
        <v>2</v>
      </c>
      <c r="R97" t="str">
        <f>IF(Table5[[#This Row],[Residual Risk Score]]&gt;Table5[[#This Row],[Initial Risk Score]],"NO Reduction","Reduced")</f>
        <v>Reduced</v>
      </c>
      <c r="S97" t="s">
        <v>31</v>
      </c>
      <c r="T97" t="s">
        <v>43</v>
      </c>
      <c r="U97" t="s">
        <v>33</v>
      </c>
      <c r="V97" s="2">
        <v>46163</v>
      </c>
    </row>
    <row r="98" spans="1:22" x14ac:dyDescent="0.25">
      <c r="A98" t="s">
        <v>228</v>
      </c>
      <c r="B98" s="2">
        <v>46064</v>
      </c>
      <c r="C98" t="s">
        <v>64</v>
      </c>
      <c r="D98" t="s">
        <v>98</v>
      </c>
      <c r="E98" t="s">
        <v>66</v>
      </c>
      <c r="F98" t="s">
        <v>67</v>
      </c>
      <c r="G98" t="s">
        <v>35</v>
      </c>
      <c r="H98" t="s">
        <v>68</v>
      </c>
      <c r="I98">
        <v>4</v>
      </c>
      <c r="J98">
        <v>4</v>
      </c>
      <c r="K98">
        <v>16</v>
      </c>
      <c r="L98" t="s">
        <v>40</v>
      </c>
      <c r="M98" t="s">
        <v>50</v>
      </c>
      <c r="N98" t="s">
        <v>30</v>
      </c>
      <c r="O98">
        <v>3</v>
      </c>
      <c r="P98">
        <v>3</v>
      </c>
      <c r="Q98">
        <v>9</v>
      </c>
      <c r="R98" s="4" t="str">
        <f>IF(Table5[[#This Row],[Residual Risk Score]]&lt;Table5[[#This Row],[Initial Risk Score]],"Reduced","No Reduction")</f>
        <v>Reduced</v>
      </c>
      <c r="S98" t="s">
        <v>28</v>
      </c>
      <c r="T98" t="s">
        <v>61</v>
      </c>
      <c r="U98" t="s">
        <v>96</v>
      </c>
      <c r="V98" s="2">
        <v>46794</v>
      </c>
    </row>
    <row r="99" spans="1:22" x14ac:dyDescent="0.25">
      <c r="A99" t="s">
        <v>229</v>
      </c>
      <c r="B99" s="2">
        <v>45777</v>
      </c>
      <c r="C99" t="s">
        <v>85</v>
      </c>
      <c r="D99" t="s">
        <v>65</v>
      </c>
      <c r="E99" t="s">
        <v>230</v>
      </c>
      <c r="F99" t="s">
        <v>231</v>
      </c>
      <c r="G99" t="s">
        <v>232</v>
      </c>
      <c r="H99" t="s">
        <v>233</v>
      </c>
      <c r="I99">
        <v>2</v>
      </c>
      <c r="J99">
        <v>5</v>
      </c>
      <c r="K99">
        <v>10</v>
      </c>
      <c r="L99" t="s">
        <v>40</v>
      </c>
      <c r="M99" t="s">
        <v>83</v>
      </c>
      <c r="N99" t="s">
        <v>51</v>
      </c>
      <c r="O99">
        <v>1</v>
      </c>
      <c r="P99">
        <v>4</v>
      </c>
      <c r="Q99">
        <v>4</v>
      </c>
      <c r="R99" s="4" t="str">
        <f>IF(Table5[[#This Row],[Residual Risk Score]]&lt;Table5[[#This Row],[Initial Risk Score]],"Reduced","No Reduction")</f>
        <v>Reduced</v>
      </c>
      <c r="S99" t="s">
        <v>31</v>
      </c>
      <c r="T99" t="s">
        <v>32</v>
      </c>
      <c r="U99" t="s">
        <v>62</v>
      </c>
      <c r="V99" s="2">
        <v>46507</v>
      </c>
    </row>
    <row r="100" spans="1:22" x14ac:dyDescent="0.25">
      <c r="A100" t="s">
        <v>234</v>
      </c>
      <c r="B100" s="2">
        <v>46007</v>
      </c>
      <c r="C100" t="s">
        <v>73</v>
      </c>
      <c r="D100" t="s">
        <v>23</v>
      </c>
      <c r="E100" t="s">
        <v>104</v>
      </c>
      <c r="F100" t="s">
        <v>105</v>
      </c>
      <c r="G100" t="s">
        <v>73</v>
      </c>
      <c r="H100" t="s">
        <v>68</v>
      </c>
      <c r="I100">
        <v>2</v>
      </c>
      <c r="J100">
        <v>4</v>
      </c>
      <c r="K100">
        <v>8</v>
      </c>
      <c r="L100" t="s">
        <v>28</v>
      </c>
      <c r="M100" t="s">
        <v>69</v>
      </c>
      <c r="N100" t="s">
        <v>89</v>
      </c>
      <c r="O100">
        <v>1</v>
      </c>
      <c r="P100">
        <v>4</v>
      </c>
      <c r="Q100">
        <v>4</v>
      </c>
      <c r="R100" t="str">
        <f>IF(Table5[[#This Row],[Residual Risk Score]]&gt;Table5[[#This Row],[Initial Risk Score]],"NO Reduction","Reduced")</f>
        <v>Reduced</v>
      </c>
      <c r="S100" t="s">
        <v>31</v>
      </c>
      <c r="T100" t="s">
        <v>43</v>
      </c>
      <c r="U100" t="s">
        <v>96</v>
      </c>
      <c r="V100" s="2">
        <v>46187</v>
      </c>
    </row>
    <row r="101" spans="1:22" x14ac:dyDescent="0.25">
      <c r="A101" t="s">
        <v>235</v>
      </c>
      <c r="B101" s="2">
        <v>45845</v>
      </c>
      <c r="C101" t="s">
        <v>35</v>
      </c>
      <c r="D101" t="s">
        <v>65</v>
      </c>
      <c r="E101" t="s">
        <v>120</v>
      </c>
      <c r="F101" t="s">
        <v>121</v>
      </c>
      <c r="G101" t="s">
        <v>35</v>
      </c>
      <c r="H101" t="s">
        <v>137</v>
      </c>
      <c r="I101">
        <v>5</v>
      </c>
      <c r="J101">
        <v>2</v>
      </c>
      <c r="K101">
        <v>10</v>
      </c>
      <c r="L101" t="s">
        <v>40</v>
      </c>
      <c r="M101" t="s">
        <v>83</v>
      </c>
      <c r="N101" t="s">
        <v>89</v>
      </c>
      <c r="O101">
        <v>4</v>
      </c>
      <c r="P101">
        <v>1</v>
      </c>
      <c r="Q101">
        <v>4</v>
      </c>
      <c r="R101" t="str">
        <f>IF(Table5[[#This Row],[Residual Risk Score]]&gt;Table5[[#This Row],[Initial Risk Score]],"NO Reduction","Reduced")</f>
        <v>Reduced</v>
      </c>
      <c r="S101" t="s">
        <v>31</v>
      </c>
      <c r="T101" t="s">
        <v>61</v>
      </c>
      <c r="U101" t="s">
        <v>62</v>
      </c>
      <c r="V101" s="2">
        <v>46210</v>
      </c>
    </row>
    <row r="102" spans="1:22" x14ac:dyDescent="0.25">
      <c r="A102" t="s">
        <v>236</v>
      </c>
      <c r="B102" s="2">
        <v>46247</v>
      </c>
      <c r="C102" t="s">
        <v>108</v>
      </c>
      <c r="D102" t="s">
        <v>23</v>
      </c>
      <c r="E102" t="s">
        <v>149</v>
      </c>
      <c r="F102" t="s">
        <v>150</v>
      </c>
      <c r="G102" t="s">
        <v>151</v>
      </c>
      <c r="H102" t="s">
        <v>143</v>
      </c>
      <c r="I102">
        <v>3</v>
      </c>
      <c r="J102">
        <v>3</v>
      </c>
      <c r="K102">
        <v>9</v>
      </c>
      <c r="L102" t="s">
        <v>28</v>
      </c>
      <c r="M102" t="s">
        <v>50</v>
      </c>
      <c r="N102" t="s">
        <v>51</v>
      </c>
      <c r="O102">
        <v>2</v>
      </c>
      <c r="P102">
        <v>2</v>
      </c>
      <c r="Q102">
        <v>4</v>
      </c>
      <c r="R102" s="4" t="str">
        <f>IF(Table5[[#This Row],[Residual Risk Score]]&lt;Table5[[#This Row],[Initial Risk Score]],"Reduced","No Reduction")</f>
        <v>Reduced</v>
      </c>
      <c r="S102" t="s">
        <v>31</v>
      </c>
      <c r="T102" t="s">
        <v>43</v>
      </c>
      <c r="U102" t="s">
        <v>33</v>
      </c>
      <c r="V102" s="2">
        <v>46977</v>
      </c>
    </row>
    <row r="103" spans="1:22" x14ac:dyDescent="0.25">
      <c r="A103" t="s">
        <v>237</v>
      </c>
      <c r="B103" s="2">
        <v>45772</v>
      </c>
      <c r="C103" t="s">
        <v>22</v>
      </c>
      <c r="D103" t="s">
        <v>80</v>
      </c>
      <c r="E103" t="s">
        <v>99</v>
      </c>
      <c r="F103" t="s">
        <v>100</v>
      </c>
      <c r="G103" t="s">
        <v>35</v>
      </c>
      <c r="H103" t="s">
        <v>122</v>
      </c>
      <c r="I103">
        <v>5</v>
      </c>
      <c r="J103">
        <v>3</v>
      </c>
      <c r="K103">
        <v>15</v>
      </c>
      <c r="L103" t="s">
        <v>40</v>
      </c>
      <c r="M103" t="s">
        <v>41</v>
      </c>
      <c r="N103" t="s">
        <v>60</v>
      </c>
      <c r="O103">
        <v>4</v>
      </c>
      <c r="P103">
        <v>3</v>
      </c>
      <c r="Q103">
        <v>12</v>
      </c>
      <c r="R103" s="4" t="str">
        <f>IF(Table5[[#This Row],[Residual Risk Score]]&lt;Table5[[#This Row],[Initial Risk Score]],"Reduced","No Reduction")</f>
        <v>Reduced</v>
      </c>
      <c r="S103" t="s">
        <v>40</v>
      </c>
      <c r="T103" t="s">
        <v>32</v>
      </c>
      <c r="U103" t="s">
        <v>33</v>
      </c>
      <c r="V103" s="2">
        <v>46502</v>
      </c>
    </row>
    <row r="104" spans="1:22" x14ac:dyDescent="0.25">
      <c r="A104" t="s">
        <v>238</v>
      </c>
      <c r="B104" s="2">
        <v>46044</v>
      </c>
      <c r="C104" t="s">
        <v>22</v>
      </c>
      <c r="D104" t="s">
        <v>23</v>
      </c>
      <c r="E104" t="s">
        <v>135</v>
      </c>
      <c r="F104" t="s">
        <v>136</v>
      </c>
      <c r="G104" t="s">
        <v>35</v>
      </c>
      <c r="H104" t="s">
        <v>68</v>
      </c>
      <c r="I104">
        <v>5</v>
      </c>
      <c r="J104">
        <v>3</v>
      </c>
      <c r="K104">
        <v>15</v>
      </c>
      <c r="L104" t="s">
        <v>40</v>
      </c>
      <c r="M104" t="s">
        <v>83</v>
      </c>
      <c r="N104" t="s">
        <v>30</v>
      </c>
      <c r="O104">
        <v>3</v>
      </c>
      <c r="P104">
        <v>3</v>
      </c>
      <c r="Q104">
        <v>9</v>
      </c>
      <c r="R104" s="4" t="str">
        <f>IF(Table5[[#This Row],[Residual Risk Score]]&lt;Table5[[#This Row],[Initial Risk Score]],"Reduced","No Reduction")</f>
        <v>Reduced</v>
      </c>
      <c r="S104" t="s">
        <v>28</v>
      </c>
      <c r="T104" t="s">
        <v>32</v>
      </c>
      <c r="U104" t="s">
        <v>96</v>
      </c>
      <c r="V104" s="2">
        <v>46409</v>
      </c>
    </row>
    <row r="105" spans="1:22" x14ac:dyDescent="0.25">
      <c r="A105" t="s">
        <v>239</v>
      </c>
      <c r="B105" s="2">
        <v>46118</v>
      </c>
      <c r="C105" t="s">
        <v>22</v>
      </c>
      <c r="D105" t="s">
        <v>55</v>
      </c>
      <c r="E105" t="s">
        <v>24</v>
      </c>
      <c r="F105" t="s">
        <v>25</v>
      </c>
      <c r="G105" t="s">
        <v>26</v>
      </c>
      <c r="H105" t="s">
        <v>223</v>
      </c>
      <c r="I105">
        <v>4</v>
      </c>
      <c r="J105">
        <v>3</v>
      </c>
      <c r="K105">
        <v>12</v>
      </c>
      <c r="L105" t="s">
        <v>40</v>
      </c>
      <c r="M105" t="s">
        <v>41</v>
      </c>
      <c r="N105" t="s">
        <v>89</v>
      </c>
      <c r="O105">
        <v>3</v>
      </c>
      <c r="P105">
        <v>2</v>
      </c>
      <c r="Q105">
        <v>6</v>
      </c>
      <c r="R105" s="4" t="str">
        <f>IF(Table5[[#This Row],[Residual Risk Score]]&lt;Table5[[#This Row],[Initial Risk Score]],"Reduced","No Reduction")</f>
        <v>Reduced</v>
      </c>
      <c r="S105" t="s">
        <v>28</v>
      </c>
      <c r="T105" t="s">
        <v>32</v>
      </c>
      <c r="U105" t="s">
        <v>62</v>
      </c>
      <c r="V105" s="2">
        <v>46848</v>
      </c>
    </row>
    <row r="106" spans="1:22" x14ac:dyDescent="0.25">
      <c r="A106" t="s">
        <v>240</v>
      </c>
      <c r="B106" s="2">
        <v>45747</v>
      </c>
      <c r="C106" t="s">
        <v>85</v>
      </c>
      <c r="D106" t="s">
        <v>55</v>
      </c>
      <c r="E106" t="s">
        <v>86</v>
      </c>
      <c r="F106" t="s">
        <v>87</v>
      </c>
      <c r="G106" t="s">
        <v>48</v>
      </c>
      <c r="H106" t="s">
        <v>39</v>
      </c>
      <c r="I106">
        <v>4</v>
      </c>
      <c r="J106">
        <v>3</v>
      </c>
      <c r="K106">
        <v>12</v>
      </c>
      <c r="L106" t="s">
        <v>40</v>
      </c>
      <c r="M106" t="s">
        <v>83</v>
      </c>
      <c r="N106" t="s">
        <v>30</v>
      </c>
      <c r="O106">
        <v>3</v>
      </c>
      <c r="P106">
        <v>3</v>
      </c>
      <c r="Q106">
        <v>9</v>
      </c>
      <c r="R106" t="str">
        <f>IF(Table5[[#This Row],[Residual Risk Score]]&gt;Table5[[#This Row],[Initial Risk Score]],"NO Reduction","Reduced")</f>
        <v>Reduced</v>
      </c>
      <c r="S106" t="s">
        <v>28</v>
      </c>
      <c r="T106" t="s">
        <v>61</v>
      </c>
      <c r="U106" t="s">
        <v>71</v>
      </c>
      <c r="V106" s="2">
        <v>45927</v>
      </c>
    </row>
    <row r="107" spans="1:22" x14ac:dyDescent="0.25">
      <c r="A107" t="s">
        <v>241</v>
      </c>
      <c r="B107" s="2">
        <v>46125</v>
      </c>
      <c r="C107" t="s">
        <v>108</v>
      </c>
      <c r="D107" t="s">
        <v>98</v>
      </c>
      <c r="E107" t="s">
        <v>162</v>
      </c>
      <c r="F107" t="s">
        <v>163</v>
      </c>
      <c r="G107" t="s">
        <v>164</v>
      </c>
      <c r="H107" t="s">
        <v>68</v>
      </c>
      <c r="I107">
        <v>5</v>
      </c>
      <c r="J107">
        <v>4</v>
      </c>
      <c r="K107">
        <v>20</v>
      </c>
      <c r="L107" t="s">
        <v>94</v>
      </c>
      <c r="M107" t="s">
        <v>50</v>
      </c>
      <c r="N107" t="s">
        <v>30</v>
      </c>
      <c r="O107">
        <v>4</v>
      </c>
      <c r="P107">
        <v>4</v>
      </c>
      <c r="Q107">
        <v>16</v>
      </c>
      <c r="R107" s="4" t="str">
        <f>IF(Table5[[#This Row],[Residual Risk Score]]&lt;Table5[[#This Row],[Initial Risk Score]],"Reduced","No Reduction")</f>
        <v>Reduced</v>
      </c>
      <c r="S107" t="s">
        <v>40</v>
      </c>
      <c r="T107" t="s">
        <v>61</v>
      </c>
      <c r="U107" t="s">
        <v>96</v>
      </c>
      <c r="V107" s="2">
        <v>46490</v>
      </c>
    </row>
    <row r="108" spans="1:22" x14ac:dyDescent="0.25">
      <c r="A108" t="s">
        <v>242</v>
      </c>
      <c r="B108" s="2">
        <v>45674</v>
      </c>
      <c r="C108" t="s">
        <v>73</v>
      </c>
      <c r="D108" t="s">
        <v>98</v>
      </c>
      <c r="E108" t="s">
        <v>104</v>
      </c>
      <c r="F108" t="s">
        <v>105</v>
      </c>
      <c r="G108" t="s">
        <v>73</v>
      </c>
      <c r="H108" t="s">
        <v>77</v>
      </c>
      <c r="I108">
        <v>2</v>
      </c>
      <c r="J108">
        <v>3</v>
      </c>
      <c r="K108">
        <v>6</v>
      </c>
      <c r="L108" t="s">
        <v>28</v>
      </c>
      <c r="M108" t="s">
        <v>41</v>
      </c>
      <c r="N108" t="s">
        <v>70</v>
      </c>
      <c r="O108">
        <v>1</v>
      </c>
      <c r="P108">
        <v>2</v>
      </c>
      <c r="Q108">
        <v>2</v>
      </c>
      <c r="R108" t="str">
        <f>IF(Table5[[#This Row],[Residual Risk Score]]&gt;Table5[[#This Row],[Initial Risk Score]],"NO Reduction","Reduced")</f>
        <v>Reduced</v>
      </c>
      <c r="S108" t="s">
        <v>31</v>
      </c>
      <c r="T108" t="s">
        <v>43</v>
      </c>
      <c r="U108" t="s">
        <v>52</v>
      </c>
      <c r="V108" s="2">
        <v>45854</v>
      </c>
    </row>
    <row r="109" spans="1:22" x14ac:dyDescent="0.25">
      <c r="A109" t="s">
        <v>243</v>
      </c>
      <c r="B109" s="2">
        <v>46350</v>
      </c>
      <c r="C109" t="s">
        <v>54</v>
      </c>
      <c r="D109" t="s">
        <v>98</v>
      </c>
      <c r="E109" t="s">
        <v>56</v>
      </c>
      <c r="F109" t="s">
        <v>57</v>
      </c>
      <c r="G109" t="s">
        <v>58</v>
      </c>
      <c r="H109" t="s">
        <v>59</v>
      </c>
      <c r="I109">
        <v>3</v>
      </c>
      <c r="J109">
        <v>5</v>
      </c>
      <c r="K109">
        <v>15</v>
      </c>
      <c r="L109" t="s">
        <v>40</v>
      </c>
      <c r="M109" t="s">
        <v>83</v>
      </c>
      <c r="N109" t="s">
        <v>70</v>
      </c>
      <c r="O109">
        <v>2</v>
      </c>
      <c r="P109">
        <v>5</v>
      </c>
      <c r="Q109">
        <v>10</v>
      </c>
      <c r="R109" s="4" t="str">
        <f>IF(Table5[[#This Row],[Residual Risk Score]]&lt;Table5[[#This Row],[Initial Risk Score]],"Reduced","No Reduction")</f>
        <v>Reduced</v>
      </c>
      <c r="S109" t="s">
        <v>40</v>
      </c>
      <c r="T109" t="s">
        <v>61</v>
      </c>
      <c r="U109" t="s">
        <v>52</v>
      </c>
      <c r="V109" s="2">
        <v>46715</v>
      </c>
    </row>
    <row r="110" spans="1:22" x14ac:dyDescent="0.25">
      <c r="A110" t="s">
        <v>244</v>
      </c>
      <c r="B110" s="2">
        <v>46245</v>
      </c>
      <c r="C110" t="s">
        <v>108</v>
      </c>
      <c r="D110" t="s">
        <v>65</v>
      </c>
      <c r="E110" t="s">
        <v>149</v>
      </c>
      <c r="F110" t="s">
        <v>150</v>
      </c>
      <c r="G110" t="s">
        <v>151</v>
      </c>
      <c r="H110" t="s">
        <v>225</v>
      </c>
      <c r="I110">
        <v>3</v>
      </c>
      <c r="J110">
        <v>5</v>
      </c>
      <c r="K110">
        <v>15</v>
      </c>
      <c r="L110" t="s">
        <v>40</v>
      </c>
      <c r="M110" t="s">
        <v>83</v>
      </c>
      <c r="N110" t="s">
        <v>89</v>
      </c>
      <c r="O110">
        <v>2</v>
      </c>
      <c r="P110">
        <v>5</v>
      </c>
      <c r="Q110">
        <v>10</v>
      </c>
      <c r="R110" s="4" t="str">
        <f>IF(Table5[[#This Row],[Residual Risk Score]]&lt;Table5[[#This Row],[Initial Risk Score]],"Reduced","No Reduction")</f>
        <v>Reduced</v>
      </c>
      <c r="S110" t="s">
        <v>40</v>
      </c>
      <c r="T110" t="s">
        <v>43</v>
      </c>
      <c r="U110" t="s">
        <v>62</v>
      </c>
      <c r="V110" s="2">
        <v>46425</v>
      </c>
    </row>
    <row r="111" spans="1:22" x14ac:dyDescent="0.25">
      <c r="A111" t="s">
        <v>245</v>
      </c>
      <c r="B111" s="2">
        <v>45939</v>
      </c>
      <c r="C111" t="s">
        <v>85</v>
      </c>
      <c r="D111" t="s">
        <v>65</v>
      </c>
      <c r="E111" t="s">
        <v>230</v>
      </c>
      <c r="F111" t="s">
        <v>231</v>
      </c>
      <c r="G111" t="s">
        <v>232</v>
      </c>
      <c r="H111" t="s">
        <v>233</v>
      </c>
      <c r="I111">
        <v>4</v>
      </c>
      <c r="J111">
        <v>3</v>
      </c>
      <c r="K111">
        <v>12</v>
      </c>
      <c r="L111" t="s">
        <v>40</v>
      </c>
      <c r="M111" t="s">
        <v>83</v>
      </c>
      <c r="N111" t="s">
        <v>70</v>
      </c>
      <c r="O111">
        <v>2</v>
      </c>
      <c r="P111">
        <v>3</v>
      </c>
      <c r="Q111">
        <v>6</v>
      </c>
      <c r="R111" s="4" t="str">
        <f>IF(Table5[[#This Row],[Residual Risk Score]]&lt;Table5[[#This Row],[Initial Risk Score]],"Reduced","No Reduction")</f>
        <v>Reduced</v>
      </c>
      <c r="S111" t="s">
        <v>28</v>
      </c>
      <c r="T111" t="s">
        <v>32</v>
      </c>
      <c r="U111" t="s">
        <v>71</v>
      </c>
      <c r="V111" s="2">
        <v>46669</v>
      </c>
    </row>
    <row r="112" spans="1:22" x14ac:dyDescent="0.25">
      <c r="A112" t="s">
        <v>246</v>
      </c>
      <c r="B112" s="2">
        <v>45670</v>
      </c>
      <c r="C112" t="s">
        <v>54</v>
      </c>
      <c r="D112" t="s">
        <v>65</v>
      </c>
      <c r="E112" t="s">
        <v>56</v>
      </c>
      <c r="F112" t="s">
        <v>57</v>
      </c>
      <c r="G112" t="s">
        <v>58</v>
      </c>
      <c r="H112" t="s">
        <v>59</v>
      </c>
      <c r="I112">
        <v>4</v>
      </c>
      <c r="J112">
        <v>3</v>
      </c>
      <c r="K112">
        <v>12</v>
      </c>
      <c r="L112" t="s">
        <v>40</v>
      </c>
      <c r="M112" t="s">
        <v>29</v>
      </c>
      <c r="N112" t="s">
        <v>106</v>
      </c>
      <c r="O112">
        <v>3</v>
      </c>
      <c r="P112">
        <v>2</v>
      </c>
      <c r="Q112">
        <v>6</v>
      </c>
      <c r="R112" t="str">
        <f>IF(Table5[[#This Row],[Residual Risk Score]]&gt;Table5[[#This Row],[Initial Risk Score]],"NO Reduction","Reduced")</f>
        <v>Reduced</v>
      </c>
      <c r="S112" t="s">
        <v>28</v>
      </c>
      <c r="T112" t="s">
        <v>61</v>
      </c>
      <c r="U112" t="s">
        <v>71</v>
      </c>
      <c r="V112" s="2">
        <v>46035</v>
      </c>
    </row>
    <row r="113" spans="1:22" x14ac:dyDescent="0.25">
      <c r="A113" t="s">
        <v>247</v>
      </c>
      <c r="B113" s="2">
        <v>46337</v>
      </c>
      <c r="C113" t="s">
        <v>54</v>
      </c>
      <c r="D113" t="s">
        <v>108</v>
      </c>
      <c r="E113" t="s">
        <v>56</v>
      </c>
      <c r="F113" t="s">
        <v>57</v>
      </c>
      <c r="G113" t="s">
        <v>58</v>
      </c>
      <c r="H113" t="s">
        <v>59</v>
      </c>
      <c r="I113">
        <v>2</v>
      </c>
      <c r="J113">
        <v>5</v>
      </c>
      <c r="K113">
        <v>10</v>
      </c>
      <c r="L113" t="s">
        <v>40</v>
      </c>
      <c r="M113" t="s">
        <v>50</v>
      </c>
      <c r="N113" t="s">
        <v>128</v>
      </c>
      <c r="O113">
        <v>1</v>
      </c>
      <c r="P113">
        <v>4</v>
      </c>
      <c r="Q113">
        <v>4</v>
      </c>
      <c r="R113" s="4" t="str">
        <f>IF(Table5[[#This Row],[Residual Risk Score]]&lt;Table5[[#This Row],[Initial Risk Score]],"Reduced","No Reduction")</f>
        <v>Reduced</v>
      </c>
      <c r="S113" t="s">
        <v>31</v>
      </c>
      <c r="T113" t="s">
        <v>32</v>
      </c>
      <c r="U113" t="s">
        <v>62</v>
      </c>
      <c r="V113" s="2">
        <v>46702</v>
      </c>
    </row>
    <row r="114" spans="1:22" x14ac:dyDescent="0.25">
      <c r="A114" t="s">
        <v>248</v>
      </c>
      <c r="B114" s="2">
        <v>46077</v>
      </c>
      <c r="C114" t="s">
        <v>64</v>
      </c>
      <c r="D114" t="s">
        <v>80</v>
      </c>
      <c r="E114" t="s">
        <v>174</v>
      </c>
      <c r="F114" t="s">
        <v>175</v>
      </c>
      <c r="G114" t="s">
        <v>176</v>
      </c>
      <c r="H114" t="s">
        <v>177</v>
      </c>
      <c r="I114">
        <v>5</v>
      </c>
      <c r="J114">
        <v>5</v>
      </c>
      <c r="K114">
        <v>25</v>
      </c>
      <c r="L114" t="s">
        <v>94</v>
      </c>
      <c r="M114" t="s">
        <v>69</v>
      </c>
      <c r="N114" t="s">
        <v>124</v>
      </c>
      <c r="O114">
        <v>4</v>
      </c>
      <c r="P114">
        <v>4</v>
      </c>
      <c r="Q114">
        <v>16</v>
      </c>
      <c r="R114" t="str">
        <f>IF(Table5[[#This Row],[Residual Risk Score]]&gt;Table5[[#This Row],[Initial Risk Score]],"NO Reduction","Reduced")</f>
        <v>Reduced</v>
      </c>
      <c r="S114" t="s">
        <v>40</v>
      </c>
      <c r="T114" t="s">
        <v>61</v>
      </c>
      <c r="U114" t="s">
        <v>52</v>
      </c>
      <c r="V114" s="2">
        <v>46257</v>
      </c>
    </row>
    <row r="115" spans="1:22" x14ac:dyDescent="0.25">
      <c r="A115" t="s">
        <v>249</v>
      </c>
      <c r="B115" s="2">
        <v>46381</v>
      </c>
      <c r="C115" t="s">
        <v>35</v>
      </c>
      <c r="D115" t="s">
        <v>55</v>
      </c>
      <c r="E115" t="s">
        <v>120</v>
      </c>
      <c r="F115" t="s">
        <v>121</v>
      </c>
      <c r="G115" t="s">
        <v>35</v>
      </c>
      <c r="H115" t="s">
        <v>137</v>
      </c>
      <c r="I115">
        <v>4</v>
      </c>
      <c r="J115">
        <v>2</v>
      </c>
      <c r="K115">
        <v>8</v>
      </c>
      <c r="L115" t="s">
        <v>28</v>
      </c>
      <c r="M115" t="s">
        <v>83</v>
      </c>
      <c r="N115" t="s">
        <v>70</v>
      </c>
      <c r="O115">
        <v>3</v>
      </c>
      <c r="P115">
        <v>2</v>
      </c>
      <c r="Q115">
        <v>6</v>
      </c>
      <c r="R115" s="4" t="str">
        <f>IF(Table5[[#This Row],[Residual Risk Score]]&lt;Table5[[#This Row],[Initial Risk Score]],"Reduced","No Reduction")</f>
        <v>Reduced</v>
      </c>
      <c r="S115" t="s">
        <v>28</v>
      </c>
      <c r="T115" t="s">
        <v>43</v>
      </c>
      <c r="U115" t="s">
        <v>52</v>
      </c>
      <c r="V115" s="2">
        <v>46746</v>
      </c>
    </row>
    <row r="116" spans="1:22" x14ac:dyDescent="0.25">
      <c r="A116" t="s">
        <v>250</v>
      </c>
      <c r="B116" s="2">
        <v>46113</v>
      </c>
      <c r="C116" t="s">
        <v>85</v>
      </c>
      <c r="D116" t="s">
        <v>98</v>
      </c>
      <c r="E116" t="s">
        <v>140</v>
      </c>
      <c r="F116" t="s">
        <v>141</v>
      </c>
      <c r="G116" t="s">
        <v>142</v>
      </c>
      <c r="H116" t="s">
        <v>68</v>
      </c>
      <c r="I116">
        <v>2</v>
      </c>
      <c r="J116">
        <v>4</v>
      </c>
      <c r="K116">
        <v>8</v>
      </c>
      <c r="L116" t="s">
        <v>28</v>
      </c>
      <c r="M116" t="s">
        <v>50</v>
      </c>
      <c r="N116" t="s">
        <v>51</v>
      </c>
      <c r="O116">
        <v>1</v>
      </c>
      <c r="P116">
        <v>3</v>
      </c>
      <c r="Q116">
        <v>3</v>
      </c>
      <c r="R116" s="4" t="str">
        <f>IF(Table5[[#This Row],[Residual Risk Score]]&lt;Table5[[#This Row],[Initial Risk Score]],"Reduced","No Reduction")</f>
        <v>Reduced</v>
      </c>
      <c r="S116" t="s">
        <v>31</v>
      </c>
      <c r="T116" t="s">
        <v>43</v>
      </c>
      <c r="U116" t="s">
        <v>96</v>
      </c>
      <c r="V116" s="2">
        <v>46478</v>
      </c>
    </row>
    <row r="117" spans="1:22" x14ac:dyDescent="0.25">
      <c r="A117" t="s">
        <v>251</v>
      </c>
      <c r="B117" s="2">
        <v>45856</v>
      </c>
      <c r="C117" t="s">
        <v>22</v>
      </c>
      <c r="D117" t="s">
        <v>55</v>
      </c>
      <c r="E117" t="s">
        <v>109</v>
      </c>
      <c r="F117" t="s">
        <v>110</v>
      </c>
      <c r="G117" t="s">
        <v>111</v>
      </c>
      <c r="H117" t="s">
        <v>68</v>
      </c>
      <c r="I117">
        <v>3</v>
      </c>
      <c r="J117">
        <v>2</v>
      </c>
      <c r="K117">
        <v>6</v>
      </c>
      <c r="L117" t="s">
        <v>28</v>
      </c>
      <c r="M117" t="s">
        <v>83</v>
      </c>
      <c r="N117" t="s">
        <v>89</v>
      </c>
      <c r="O117">
        <v>3</v>
      </c>
      <c r="P117">
        <v>2</v>
      </c>
      <c r="Q117">
        <v>6</v>
      </c>
      <c r="R117" t="str">
        <f>IF(Table5[[#This Row],[Residual Risk Score]]&gt;Table5[[#This Row],[Initial Risk Score]],"NO Reduction","Reduced")</f>
        <v>Reduced</v>
      </c>
      <c r="S117" t="s">
        <v>28</v>
      </c>
      <c r="T117" t="s">
        <v>61</v>
      </c>
      <c r="U117" t="s">
        <v>62</v>
      </c>
      <c r="V117" s="2">
        <v>46221</v>
      </c>
    </row>
    <row r="118" spans="1:22" x14ac:dyDescent="0.25">
      <c r="A118" t="s">
        <v>252</v>
      </c>
      <c r="B118" s="2">
        <v>46178</v>
      </c>
      <c r="C118" t="s">
        <v>22</v>
      </c>
      <c r="D118" t="s">
        <v>80</v>
      </c>
      <c r="E118" t="s">
        <v>135</v>
      </c>
      <c r="F118" t="s">
        <v>136</v>
      </c>
      <c r="G118" t="s">
        <v>35</v>
      </c>
      <c r="H118" t="s">
        <v>137</v>
      </c>
      <c r="I118">
        <v>5</v>
      </c>
      <c r="J118">
        <v>2</v>
      </c>
      <c r="K118">
        <v>10</v>
      </c>
      <c r="L118" t="s">
        <v>40</v>
      </c>
      <c r="M118" t="s">
        <v>50</v>
      </c>
      <c r="N118" t="s">
        <v>102</v>
      </c>
      <c r="O118">
        <v>4</v>
      </c>
      <c r="P118">
        <v>2</v>
      </c>
      <c r="Q118">
        <v>8</v>
      </c>
      <c r="R118" s="4" t="str">
        <f>IF(Table5[[#This Row],[Residual Risk Score]]&lt;Table5[[#This Row],[Initial Risk Score]],"Reduced","No Reduction")</f>
        <v>Reduced</v>
      </c>
      <c r="S118" t="s">
        <v>28</v>
      </c>
      <c r="T118" t="s">
        <v>32</v>
      </c>
      <c r="U118" t="s">
        <v>33</v>
      </c>
      <c r="V118" s="2">
        <v>46543</v>
      </c>
    </row>
    <row r="119" spans="1:22" x14ac:dyDescent="0.25">
      <c r="A119" t="s">
        <v>253</v>
      </c>
      <c r="B119" s="2">
        <v>46128</v>
      </c>
      <c r="C119" t="s">
        <v>108</v>
      </c>
      <c r="D119" t="s">
        <v>65</v>
      </c>
      <c r="E119" t="s">
        <v>162</v>
      </c>
      <c r="F119" t="s">
        <v>163</v>
      </c>
      <c r="G119" t="s">
        <v>164</v>
      </c>
      <c r="H119" t="s">
        <v>68</v>
      </c>
      <c r="I119">
        <v>5</v>
      </c>
      <c r="J119">
        <v>5</v>
      </c>
      <c r="K119">
        <v>25</v>
      </c>
      <c r="L119" t="s">
        <v>94</v>
      </c>
      <c r="M119" t="s">
        <v>29</v>
      </c>
      <c r="N119" t="s">
        <v>60</v>
      </c>
      <c r="O119">
        <v>5</v>
      </c>
      <c r="P119">
        <v>5</v>
      </c>
      <c r="Q119">
        <v>25</v>
      </c>
      <c r="R119" s="4" t="str">
        <f>IF(Table5[[#This Row],[Residual Risk Score]]&lt;Table5[[#This Row],[Initial Risk Score]],"Reduced","No Reduction")</f>
        <v>No Reduction</v>
      </c>
      <c r="S119" t="s">
        <v>94</v>
      </c>
      <c r="T119" t="s">
        <v>61</v>
      </c>
      <c r="U119" t="s">
        <v>33</v>
      </c>
      <c r="V119" s="2">
        <v>46858</v>
      </c>
    </row>
    <row r="120" spans="1:22" x14ac:dyDescent="0.25">
      <c r="A120" t="s">
        <v>254</v>
      </c>
      <c r="B120" s="2">
        <v>46169</v>
      </c>
      <c r="C120" t="s">
        <v>108</v>
      </c>
      <c r="D120" t="s">
        <v>65</v>
      </c>
      <c r="E120" t="s">
        <v>149</v>
      </c>
      <c r="F120" t="s">
        <v>150</v>
      </c>
      <c r="G120" t="s">
        <v>151</v>
      </c>
      <c r="H120" t="s">
        <v>143</v>
      </c>
      <c r="I120">
        <v>5</v>
      </c>
      <c r="J120">
        <v>2</v>
      </c>
      <c r="K120">
        <v>10</v>
      </c>
      <c r="L120" t="s">
        <v>40</v>
      </c>
      <c r="M120" t="s">
        <v>69</v>
      </c>
      <c r="N120" t="s">
        <v>124</v>
      </c>
      <c r="O120">
        <v>4</v>
      </c>
      <c r="P120">
        <v>2</v>
      </c>
      <c r="Q120">
        <v>8</v>
      </c>
      <c r="R120" s="4" t="str">
        <f>IF(Table5[[#This Row],[Residual Risk Score]]&lt;Table5[[#This Row],[Initial Risk Score]],"Reduced","No Reduction")</f>
        <v>Reduced</v>
      </c>
      <c r="S120" t="s">
        <v>28</v>
      </c>
      <c r="T120" t="s">
        <v>32</v>
      </c>
      <c r="U120" t="s">
        <v>33</v>
      </c>
      <c r="V120" s="2">
        <v>46899</v>
      </c>
    </row>
    <row r="121" spans="1:22" x14ac:dyDescent="0.25">
      <c r="A121" t="s">
        <v>255</v>
      </c>
      <c r="B121" s="2">
        <v>46162</v>
      </c>
      <c r="C121" t="s">
        <v>73</v>
      </c>
      <c r="D121" t="s">
        <v>55</v>
      </c>
      <c r="E121" t="s">
        <v>104</v>
      </c>
      <c r="F121" t="s">
        <v>105</v>
      </c>
      <c r="G121" t="s">
        <v>73</v>
      </c>
      <c r="H121" t="s">
        <v>77</v>
      </c>
      <c r="I121">
        <v>4</v>
      </c>
      <c r="J121">
        <v>3</v>
      </c>
      <c r="K121">
        <v>12</v>
      </c>
      <c r="L121" t="s">
        <v>40</v>
      </c>
      <c r="M121" t="s">
        <v>29</v>
      </c>
      <c r="N121" t="s">
        <v>124</v>
      </c>
      <c r="O121">
        <v>2</v>
      </c>
      <c r="P121">
        <v>3</v>
      </c>
      <c r="Q121">
        <v>6</v>
      </c>
      <c r="R121" t="str">
        <f>IF(Table5[[#This Row],[Residual Risk Score]]&gt;Table5[[#This Row],[Initial Risk Score]],"NO Reduction","Reduced")</f>
        <v>Reduced</v>
      </c>
      <c r="S121" t="s">
        <v>28</v>
      </c>
      <c r="T121" t="s">
        <v>61</v>
      </c>
      <c r="U121" t="s">
        <v>96</v>
      </c>
      <c r="V121" s="2">
        <v>46342</v>
      </c>
    </row>
    <row r="122" spans="1:22" x14ac:dyDescent="0.25">
      <c r="A122" t="s">
        <v>256</v>
      </c>
      <c r="B122" s="2">
        <v>46214</v>
      </c>
      <c r="C122" t="s">
        <v>108</v>
      </c>
      <c r="D122" t="s">
        <v>65</v>
      </c>
      <c r="E122" t="s">
        <v>149</v>
      </c>
      <c r="F122" t="s">
        <v>150</v>
      </c>
      <c r="G122" t="s">
        <v>151</v>
      </c>
      <c r="H122" t="s">
        <v>225</v>
      </c>
      <c r="I122">
        <v>3</v>
      </c>
      <c r="J122">
        <v>2</v>
      </c>
      <c r="K122">
        <v>6</v>
      </c>
      <c r="L122" t="s">
        <v>28</v>
      </c>
      <c r="M122" t="s">
        <v>78</v>
      </c>
      <c r="N122" t="s">
        <v>42</v>
      </c>
      <c r="O122">
        <v>2</v>
      </c>
      <c r="P122">
        <v>1</v>
      </c>
      <c r="Q122">
        <v>2</v>
      </c>
      <c r="R122" s="4" t="str">
        <f>IF(Table5[[#This Row],[Residual Risk Score]]&lt;Table5[[#This Row],[Initial Risk Score]],"Reduced","No Reduction")</f>
        <v>Reduced</v>
      </c>
      <c r="S122" t="s">
        <v>31</v>
      </c>
      <c r="T122" t="s">
        <v>61</v>
      </c>
      <c r="U122" t="s">
        <v>52</v>
      </c>
      <c r="V122" s="2">
        <v>46394</v>
      </c>
    </row>
    <row r="123" spans="1:22" x14ac:dyDescent="0.25">
      <c r="A123" t="s">
        <v>257</v>
      </c>
      <c r="B123" s="2">
        <v>45810</v>
      </c>
      <c r="C123" t="s">
        <v>35</v>
      </c>
      <c r="D123" t="s">
        <v>65</v>
      </c>
      <c r="E123" t="s">
        <v>120</v>
      </c>
      <c r="F123" t="s">
        <v>121</v>
      </c>
      <c r="G123" t="s">
        <v>35</v>
      </c>
      <c r="H123" t="s">
        <v>122</v>
      </c>
      <c r="I123">
        <v>3</v>
      </c>
      <c r="J123">
        <v>2</v>
      </c>
      <c r="K123">
        <v>6</v>
      </c>
      <c r="L123" t="s">
        <v>28</v>
      </c>
      <c r="M123" t="s">
        <v>95</v>
      </c>
      <c r="N123" t="s">
        <v>128</v>
      </c>
      <c r="O123">
        <v>2</v>
      </c>
      <c r="P123">
        <v>1</v>
      </c>
      <c r="Q123">
        <v>2</v>
      </c>
      <c r="R123" s="4" t="str">
        <f>IF(Table5[[#This Row],[Residual Risk Score]]&lt;Table5[[#This Row],[Initial Risk Score]],"Reduced","No Reduction")</f>
        <v>Reduced</v>
      </c>
      <c r="S123" t="s">
        <v>31</v>
      </c>
      <c r="T123" t="s">
        <v>43</v>
      </c>
      <c r="U123" t="s">
        <v>62</v>
      </c>
      <c r="V123" s="2">
        <v>46540</v>
      </c>
    </row>
    <row r="124" spans="1:22" x14ac:dyDescent="0.25">
      <c r="A124" t="s">
        <v>258</v>
      </c>
      <c r="B124" s="2">
        <v>45778</v>
      </c>
      <c r="C124" t="s">
        <v>73</v>
      </c>
      <c r="D124" t="s">
        <v>55</v>
      </c>
      <c r="E124" t="s">
        <v>104</v>
      </c>
      <c r="F124" t="s">
        <v>105</v>
      </c>
      <c r="G124" t="s">
        <v>73</v>
      </c>
      <c r="H124" t="s">
        <v>116</v>
      </c>
      <c r="I124">
        <v>5</v>
      </c>
      <c r="J124">
        <v>4</v>
      </c>
      <c r="K124">
        <v>20</v>
      </c>
      <c r="L124" t="s">
        <v>94</v>
      </c>
      <c r="M124" t="s">
        <v>69</v>
      </c>
      <c r="N124" t="s">
        <v>51</v>
      </c>
      <c r="O124">
        <v>5</v>
      </c>
      <c r="P124">
        <v>4</v>
      </c>
      <c r="Q124">
        <v>20</v>
      </c>
      <c r="R124" t="str">
        <f>IF(Table5[[#This Row],[Residual Risk Score]]&gt;Table5[[#This Row],[Initial Risk Score]],"NO Reduction","Reduced")</f>
        <v>Reduced</v>
      </c>
      <c r="S124" t="s">
        <v>94</v>
      </c>
      <c r="T124" t="s">
        <v>32</v>
      </c>
      <c r="U124" t="s">
        <v>71</v>
      </c>
      <c r="V124" s="2">
        <v>46143</v>
      </c>
    </row>
    <row r="125" spans="1:22" x14ac:dyDescent="0.25">
      <c r="A125" t="s">
        <v>259</v>
      </c>
      <c r="B125" s="2">
        <v>45671</v>
      </c>
      <c r="C125" t="s">
        <v>22</v>
      </c>
      <c r="D125" t="s">
        <v>23</v>
      </c>
      <c r="E125" t="s">
        <v>99</v>
      </c>
      <c r="F125" t="s">
        <v>100</v>
      </c>
      <c r="G125" t="s">
        <v>35</v>
      </c>
      <c r="H125" t="s">
        <v>93</v>
      </c>
      <c r="I125">
        <v>5</v>
      </c>
      <c r="J125">
        <v>5</v>
      </c>
      <c r="K125">
        <v>25</v>
      </c>
      <c r="L125" t="s">
        <v>94</v>
      </c>
      <c r="M125" t="s">
        <v>29</v>
      </c>
      <c r="N125" t="s">
        <v>42</v>
      </c>
      <c r="O125">
        <v>5</v>
      </c>
      <c r="P125">
        <v>4</v>
      </c>
      <c r="Q125">
        <v>20</v>
      </c>
      <c r="R125" t="str">
        <f>IF(Table5[[#This Row],[Residual Risk Score]]&gt;Table5[[#This Row],[Initial Risk Score]],"NO Reduction","Reduced")</f>
        <v>Reduced</v>
      </c>
      <c r="S125" t="s">
        <v>94</v>
      </c>
      <c r="T125" t="s">
        <v>61</v>
      </c>
      <c r="U125" t="s">
        <v>62</v>
      </c>
      <c r="V125" s="2">
        <v>45851</v>
      </c>
    </row>
    <row r="126" spans="1:22" x14ac:dyDescent="0.25">
      <c r="A126" t="s">
        <v>260</v>
      </c>
      <c r="B126" s="2">
        <v>46224</v>
      </c>
      <c r="C126" t="s">
        <v>64</v>
      </c>
      <c r="D126" t="s">
        <v>80</v>
      </c>
      <c r="E126" t="s">
        <v>66</v>
      </c>
      <c r="F126" t="s">
        <v>67</v>
      </c>
      <c r="G126" t="s">
        <v>35</v>
      </c>
      <c r="H126" t="s">
        <v>93</v>
      </c>
      <c r="I126">
        <v>2</v>
      </c>
      <c r="J126">
        <v>5</v>
      </c>
      <c r="K126">
        <v>10</v>
      </c>
      <c r="L126" t="s">
        <v>40</v>
      </c>
      <c r="M126" t="s">
        <v>29</v>
      </c>
      <c r="N126" t="s">
        <v>128</v>
      </c>
      <c r="O126">
        <v>1</v>
      </c>
      <c r="P126">
        <v>5</v>
      </c>
      <c r="Q126">
        <v>5</v>
      </c>
      <c r="R126" s="4" t="str">
        <f>IF(Table5[[#This Row],[Residual Risk Score]]&lt;Table5[[#This Row],[Initial Risk Score]],"Reduced","No Reduction")</f>
        <v>Reduced</v>
      </c>
      <c r="S126" t="s">
        <v>28</v>
      </c>
      <c r="T126" t="s">
        <v>43</v>
      </c>
      <c r="U126" t="s">
        <v>33</v>
      </c>
      <c r="V126" s="2">
        <v>46404</v>
      </c>
    </row>
    <row r="127" spans="1:22" x14ac:dyDescent="0.25">
      <c r="A127" t="s">
        <v>261</v>
      </c>
      <c r="B127" s="2">
        <v>46081</v>
      </c>
      <c r="C127" t="s">
        <v>22</v>
      </c>
      <c r="D127" t="s">
        <v>55</v>
      </c>
      <c r="E127" t="s">
        <v>135</v>
      </c>
      <c r="F127" t="s">
        <v>136</v>
      </c>
      <c r="G127" t="s">
        <v>35</v>
      </c>
      <c r="H127" t="s">
        <v>137</v>
      </c>
      <c r="I127">
        <v>2</v>
      </c>
      <c r="J127">
        <v>2</v>
      </c>
      <c r="K127">
        <v>4</v>
      </c>
      <c r="L127" t="s">
        <v>31</v>
      </c>
      <c r="M127" t="s">
        <v>29</v>
      </c>
      <c r="N127" t="s">
        <v>89</v>
      </c>
      <c r="O127">
        <v>1</v>
      </c>
      <c r="P127">
        <v>1</v>
      </c>
      <c r="Q127">
        <v>1</v>
      </c>
      <c r="R127" s="4" t="str">
        <f>IF(Table5[[#This Row],[Residual Risk Score]]&lt;Table5[[#This Row],[Initial Risk Score]],"Reduced","No Reduction")</f>
        <v>Reduced</v>
      </c>
      <c r="S127" t="s">
        <v>31</v>
      </c>
      <c r="T127" t="s">
        <v>61</v>
      </c>
      <c r="U127" t="s">
        <v>62</v>
      </c>
      <c r="V127" s="2">
        <v>46446</v>
      </c>
    </row>
    <row r="128" spans="1:22" x14ac:dyDescent="0.25">
      <c r="A128" t="s">
        <v>262</v>
      </c>
      <c r="B128" s="2">
        <v>45823</v>
      </c>
      <c r="C128" t="s">
        <v>85</v>
      </c>
      <c r="D128" t="s">
        <v>55</v>
      </c>
      <c r="E128" t="s">
        <v>140</v>
      </c>
      <c r="F128" t="s">
        <v>141</v>
      </c>
      <c r="G128" t="s">
        <v>142</v>
      </c>
      <c r="H128" t="s">
        <v>153</v>
      </c>
      <c r="I128">
        <v>2</v>
      </c>
      <c r="J128">
        <v>3</v>
      </c>
      <c r="K128">
        <v>6</v>
      </c>
      <c r="L128" t="s">
        <v>28</v>
      </c>
      <c r="M128" t="s">
        <v>41</v>
      </c>
      <c r="N128" t="s">
        <v>60</v>
      </c>
      <c r="O128">
        <v>1</v>
      </c>
      <c r="P128">
        <v>3</v>
      </c>
      <c r="Q128">
        <v>3</v>
      </c>
      <c r="R128" t="str">
        <f>IF(Table5[[#This Row],[Residual Risk Score]]&gt;Table5[[#This Row],[Initial Risk Score]],"NO Reduction","Reduced")</f>
        <v>Reduced</v>
      </c>
      <c r="S128" t="s">
        <v>31</v>
      </c>
      <c r="T128" t="s">
        <v>32</v>
      </c>
      <c r="U128" t="s">
        <v>33</v>
      </c>
      <c r="V128" s="2">
        <v>46003</v>
      </c>
    </row>
    <row r="129" spans="1:22" x14ac:dyDescent="0.25">
      <c r="A129" t="s">
        <v>263</v>
      </c>
      <c r="B129" s="2">
        <v>46163</v>
      </c>
      <c r="C129" t="s">
        <v>85</v>
      </c>
      <c r="D129" t="s">
        <v>80</v>
      </c>
      <c r="E129" t="s">
        <v>230</v>
      </c>
      <c r="F129" t="s">
        <v>231</v>
      </c>
      <c r="G129" t="s">
        <v>232</v>
      </c>
      <c r="H129" t="s">
        <v>233</v>
      </c>
      <c r="I129">
        <v>3</v>
      </c>
      <c r="J129">
        <v>4</v>
      </c>
      <c r="K129">
        <v>12</v>
      </c>
      <c r="L129" t="s">
        <v>40</v>
      </c>
      <c r="M129" t="s">
        <v>69</v>
      </c>
      <c r="N129" t="s">
        <v>102</v>
      </c>
      <c r="O129">
        <v>1</v>
      </c>
      <c r="P129">
        <v>3</v>
      </c>
      <c r="Q129">
        <v>3</v>
      </c>
      <c r="R129" s="4" t="str">
        <f>IF(Table5[[#This Row],[Residual Risk Score]]&lt;Table5[[#This Row],[Initial Risk Score]],"Reduced","No Reduction")</f>
        <v>Reduced</v>
      </c>
      <c r="S129" t="s">
        <v>31</v>
      </c>
      <c r="T129" t="s">
        <v>61</v>
      </c>
      <c r="U129" t="s">
        <v>71</v>
      </c>
      <c r="V129" s="2">
        <v>46528</v>
      </c>
    </row>
    <row r="130" spans="1:22" x14ac:dyDescent="0.25">
      <c r="A130" t="s">
        <v>264</v>
      </c>
      <c r="B130" s="2">
        <v>46288</v>
      </c>
      <c r="C130" t="s">
        <v>22</v>
      </c>
      <c r="D130" t="s">
        <v>80</v>
      </c>
      <c r="E130" t="s">
        <v>109</v>
      </c>
      <c r="F130" t="s">
        <v>110</v>
      </c>
      <c r="G130" t="s">
        <v>111</v>
      </c>
      <c r="H130" t="s">
        <v>197</v>
      </c>
      <c r="I130">
        <v>3</v>
      </c>
      <c r="J130">
        <v>4</v>
      </c>
      <c r="K130">
        <v>12</v>
      </c>
      <c r="L130" t="s">
        <v>40</v>
      </c>
      <c r="M130" t="s">
        <v>41</v>
      </c>
      <c r="N130" t="s">
        <v>42</v>
      </c>
      <c r="O130">
        <v>2</v>
      </c>
      <c r="P130">
        <v>3</v>
      </c>
      <c r="Q130">
        <v>6</v>
      </c>
      <c r="R130" s="4" t="str">
        <f>IF(Table5[[#This Row],[Residual Risk Score]]&lt;Table5[[#This Row],[Initial Risk Score]],"Reduced","No Reduction")</f>
        <v>Reduced</v>
      </c>
      <c r="S130" t="s">
        <v>28</v>
      </c>
      <c r="T130" t="s">
        <v>32</v>
      </c>
      <c r="U130" t="s">
        <v>71</v>
      </c>
      <c r="V130" s="2">
        <v>46468</v>
      </c>
    </row>
    <row r="131" spans="1:22" x14ac:dyDescent="0.25">
      <c r="A131" t="s">
        <v>265</v>
      </c>
      <c r="B131" s="2">
        <v>45922</v>
      </c>
      <c r="C131" t="s">
        <v>64</v>
      </c>
      <c r="D131" t="s">
        <v>65</v>
      </c>
      <c r="E131" t="s">
        <v>174</v>
      </c>
      <c r="F131" t="s">
        <v>175</v>
      </c>
      <c r="G131" t="s">
        <v>176</v>
      </c>
      <c r="H131" t="s">
        <v>68</v>
      </c>
      <c r="I131">
        <v>3</v>
      </c>
      <c r="J131">
        <v>2</v>
      </c>
      <c r="K131">
        <v>6</v>
      </c>
      <c r="L131" t="s">
        <v>28</v>
      </c>
      <c r="M131" t="s">
        <v>29</v>
      </c>
      <c r="N131" t="s">
        <v>60</v>
      </c>
      <c r="O131">
        <v>2</v>
      </c>
      <c r="P131">
        <v>1</v>
      </c>
      <c r="Q131">
        <v>2</v>
      </c>
      <c r="R131" s="4" t="str">
        <f>IF(Table5[[#This Row],[Residual Risk Score]]&lt;Table5[[#This Row],[Initial Risk Score]],"Reduced","No Reduction")</f>
        <v>Reduced</v>
      </c>
      <c r="S131" t="s">
        <v>31</v>
      </c>
      <c r="T131" t="s">
        <v>32</v>
      </c>
      <c r="U131" t="s">
        <v>71</v>
      </c>
      <c r="V131" s="2">
        <v>46652</v>
      </c>
    </row>
    <row r="132" spans="1:22" x14ac:dyDescent="0.25">
      <c r="A132" t="s">
        <v>266</v>
      </c>
      <c r="B132" s="2">
        <v>45829</v>
      </c>
      <c r="C132" t="s">
        <v>64</v>
      </c>
      <c r="D132" t="s">
        <v>74</v>
      </c>
      <c r="E132" t="s">
        <v>91</v>
      </c>
      <c r="F132" t="s">
        <v>92</v>
      </c>
      <c r="G132" t="s">
        <v>35</v>
      </c>
      <c r="H132" t="s">
        <v>137</v>
      </c>
      <c r="I132">
        <v>3</v>
      </c>
      <c r="J132">
        <v>2</v>
      </c>
      <c r="K132">
        <v>6</v>
      </c>
      <c r="L132" t="s">
        <v>28</v>
      </c>
      <c r="M132" t="s">
        <v>78</v>
      </c>
      <c r="N132" t="s">
        <v>102</v>
      </c>
      <c r="O132">
        <v>2</v>
      </c>
      <c r="P132">
        <v>2</v>
      </c>
      <c r="Q132">
        <v>4</v>
      </c>
      <c r="R132" s="4" t="str">
        <f>IF(Table5[[#This Row],[Residual Risk Score]]&lt;Table5[[#This Row],[Initial Risk Score]],"Reduced","No Reduction")</f>
        <v>Reduced</v>
      </c>
      <c r="S132" t="s">
        <v>31</v>
      </c>
      <c r="T132" t="s">
        <v>61</v>
      </c>
      <c r="U132" t="s">
        <v>71</v>
      </c>
      <c r="V132" s="2">
        <v>46559</v>
      </c>
    </row>
    <row r="133" spans="1:22" x14ac:dyDescent="0.25">
      <c r="A133" t="s">
        <v>267</v>
      </c>
      <c r="B133" s="2">
        <v>46152</v>
      </c>
      <c r="C133" t="s">
        <v>108</v>
      </c>
      <c r="D133" t="s">
        <v>23</v>
      </c>
      <c r="E133" t="s">
        <v>149</v>
      </c>
      <c r="F133" t="s">
        <v>150</v>
      </c>
      <c r="G133" t="s">
        <v>151</v>
      </c>
      <c r="H133" t="s">
        <v>68</v>
      </c>
      <c r="I133">
        <v>3</v>
      </c>
      <c r="J133">
        <v>2</v>
      </c>
      <c r="K133">
        <v>6</v>
      </c>
      <c r="L133" t="s">
        <v>28</v>
      </c>
      <c r="M133" t="s">
        <v>95</v>
      </c>
      <c r="N133" t="s">
        <v>42</v>
      </c>
      <c r="O133">
        <v>2</v>
      </c>
      <c r="P133">
        <v>1</v>
      </c>
      <c r="Q133">
        <v>2</v>
      </c>
      <c r="R133" s="4" t="str">
        <f>IF(Table5[[#This Row],[Residual Risk Score]]&lt;Table5[[#This Row],[Initial Risk Score]],"Reduced","No Reduction")</f>
        <v>Reduced</v>
      </c>
      <c r="S133" t="s">
        <v>31</v>
      </c>
      <c r="T133" t="s">
        <v>61</v>
      </c>
      <c r="U133" t="s">
        <v>52</v>
      </c>
      <c r="V133" s="2">
        <v>46517</v>
      </c>
    </row>
    <row r="134" spans="1:22" x14ac:dyDescent="0.25">
      <c r="A134" t="s">
        <v>268</v>
      </c>
      <c r="B134" s="2">
        <v>45743</v>
      </c>
      <c r="C134" t="s">
        <v>85</v>
      </c>
      <c r="D134" t="s">
        <v>80</v>
      </c>
      <c r="E134" t="s">
        <v>140</v>
      </c>
      <c r="F134" t="s">
        <v>141</v>
      </c>
      <c r="G134" t="s">
        <v>142</v>
      </c>
      <c r="H134" t="s">
        <v>68</v>
      </c>
      <c r="I134">
        <v>2</v>
      </c>
      <c r="J134">
        <v>3</v>
      </c>
      <c r="K134">
        <v>6</v>
      </c>
      <c r="L134" t="s">
        <v>28</v>
      </c>
      <c r="M134" t="s">
        <v>29</v>
      </c>
      <c r="N134" t="s">
        <v>128</v>
      </c>
      <c r="O134">
        <v>2</v>
      </c>
      <c r="P134">
        <v>2</v>
      </c>
      <c r="Q134">
        <v>4</v>
      </c>
      <c r="R134" t="str">
        <f>IF(Table5[[#This Row],[Residual Risk Score]]&gt;Table5[[#This Row],[Initial Risk Score]],"NO Reduction","Reduced")</f>
        <v>Reduced</v>
      </c>
      <c r="S134" t="s">
        <v>31</v>
      </c>
      <c r="T134" t="s">
        <v>32</v>
      </c>
      <c r="U134" t="s">
        <v>52</v>
      </c>
      <c r="V134" s="2">
        <v>46108</v>
      </c>
    </row>
    <row r="135" spans="1:22" x14ac:dyDescent="0.25">
      <c r="A135" t="s">
        <v>269</v>
      </c>
      <c r="B135" s="2">
        <v>45964</v>
      </c>
      <c r="C135" t="s">
        <v>64</v>
      </c>
      <c r="D135" t="s">
        <v>55</v>
      </c>
      <c r="E135" t="s">
        <v>66</v>
      </c>
      <c r="F135" t="s">
        <v>67</v>
      </c>
      <c r="G135" t="s">
        <v>35</v>
      </c>
      <c r="H135" t="s">
        <v>122</v>
      </c>
      <c r="I135">
        <v>3</v>
      </c>
      <c r="J135">
        <v>5</v>
      </c>
      <c r="K135">
        <v>15</v>
      </c>
      <c r="L135" t="s">
        <v>40</v>
      </c>
      <c r="M135" t="s">
        <v>101</v>
      </c>
      <c r="N135" t="s">
        <v>51</v>
      </c>
      <c r="O135">
        <v>2</v>
      </c>
      <c r="P135">
        <v>5</v>
      </c>
      <c r="Q135">
        <v>10</v>
      </c>
      <c r="R135" t="str">
        <f>IF(Table5[[#This Row],[Residual Risk Score]]&gt;Table5[[#This Row],[Initial Risk Score]],"NO Reduction","Reduced")</f>
        <v>Reduced</v>
      </c>
      <c r="S135" t="s">
        <v>40</v>
      </c>
      <c r="T135" t="s">
        <v>43</v>
      </c>
      <c r="U135" t="s">
        <v>33</v>
      </c>
      <c r="V135" s="2">
        <v>46144</v>
      </c>
    </row>
    <row r="136" spans="1:22" x14ac:dyDescent="0.25">
      <c r="A136" t="s">
        <v>270</v>
      </c>
      <c r="B136" s="2">
        <v>45731</v>
      </c>
      <c r="C136" t="s">
        <v>73</v>
      </c>
      <c r="D136" t="s">
        <v>108</v>
      </c>
      <c r="E136" t="s">
        <v>104</v>
      </c>
      <c r="F136" t="s">
        <v>105</v>
      </c>
      <c r="G136" t="s">
        <v>73</v>
      </c>
      <c r="H136" t="s">
        <v>116</v>
      </c>
      <c r="I136">
        <v>5</v>
      </c>
      <c r="J136">
        <v>5</v>
      </c>
      <c r="K136">
        <v>25</v>
      </c>
      <c r="L136" t="s">
        <v>94</v>
      </c>
      <c r="M136" t="s">
        <v>78</v>
      </c>
      <c r="N136" t="s">
        <v>30</v>
      </c>
      <c r="O136">
        <v>4</v>
      </c>
      <c r="P136">
        <v>4</v>
      </c>
      <c r="Q136">
        <v>16</v>
      </c>
      <c r="R136" s="4" t="str">
        <f>IF(Table5[[#This Row],[Residual Risk Score]]&lt;Table5[[#This Row],[Initial Risk Score]],"Reduced","No Reduction")</f>
        <v>Reduced</v>
      </c>
      <c r="S136" t="s">
        <v>40</v>
      </c>
      <c r="T136" t="s">
        <v>61</v>
      </c>
      <c r="U136" t="s">
        <v>52</v>
      </c>
      <c r="V136" s="2">
        <v>46461</v>
      </c>
    </row>
    <row r="137" spans="1:22" x14ac:dyDescent="0.25">
      <c r="A137" t="s">
        <v>271</v>
      </c>
      <c r="B137" s="2">
        <v>45731</v>
      </c>
      <c r="C137" t="s">
        <v>73</v>
      </c>
      <c r="D137" t="s">
        <v>23</v>
      </c>
      <c r="E137" t="s">
        <v>75</v>
      </c>
      <c r="F137" t="s">
        <v>76</v>
      </c>
      <c r="G137" t="s">
        <v>73</v>
      </c>
      <c r="H137" t="s">
        <v>77</v>
      </c>
      <c r="I137">
        <v>3</v>
      </c>
      <c r="J137">
        <v>5</v>
      </c>
      <c r="K137">
        <v>15</v>
      </c>
      <c r="L137" t="s">
        <v>40</v>
      </c>
      <c r="M137" t="s">
        <v>41</v>
      </c>
      <c r="N137" t="s">
        <v>106</v>
      </c>
      <c r="O137">
        <v>3</v>
      </c>
      <c r="P137">
        <v>4</v>
      </c>
      <c r="Q137">
        <v>12</v>
      </c>
      <c r="R137" t="str">
        <f>IF(Table5[[#This Row],[Residual Risk Score]]&gt;Table5[[#This Row],[Initial Risk Score]],"NO Reduction","Reduced")</f>
        <v>Reduced</v>
      </c>
      <c r="S137" t="s">
        <v>40</v>
      </c>
      <c r="T137" t="s">
        <v>32</v>
      </c>
      <c r="U137" t="s">
        <v>52</v>
      </c>
      <c r="V137" s="2">
        <v>45911</v>
      </c>
    </row>
    <row r="138" spans="1:22" x14ac:dyDescent="0.25">
      <c r="A138" t="s">
        <v>272</v>
      </c>
      <c r="B138" s="2">
        <v>46334</v>
      </c>
      <c r="C138" t="s">
        <v>64</v>
      </c>
      <c r="D138" t="s">
        <v>65</v>
      </c>
      <c r="E138" t="s">
        <v>91</v>
      </c>
      <c r="F138" t="s">
        <v>92</v>
      </c>
      <c r="G138" t="s">
        <v>35</v>
      </c>
      <c r="H138" t="s">
        <v>122</v>
      </c>
      <c r="I138">
        <v>2</v>
      </c>
      <c r="J138">
        <v>5</v>
      </c>
      <c r="K138">
        <v>10</v>
      </c>
      <c r="L138" t="s">
        <v>40</v>
      </c>
      <c r="M138" t="s">
        <v>29</v>
      </c>
      <c r="N138" t="s">
        <v>51</v>
      </c>
      <c r="O138">
        <v>1</v>
      </c>
      <c r="P138">
        <v>5</v>
      </c>
      <c r="Q138">
        <v>5</v>
      </c>
      <c r="R138" s="4" t="str">
        <f>IF(Table5[[#This Row],[Residual Risk Score]]&lt;Table5[[#This Row],[Initial Risk Score]],"Reduced","No Reduction")</f>
        <v>Reduced</v>
      </c>
      <c r="S138" t="s">
        <v>28</v>
      </c>
      <c r="T138" t="s">
        <v>43</v>
      </c>
      <c r="U138" t="s">
        <v>96</v>
      </c>
      <c r="V138" s="2">
        <v>46699</v>
      </c>
    </row>
    <row r="139" spans="1:22" x14ac:dyDescent="0.25">
      <c r="A139" t="s">
        <v>273</v>
      </c>
      <c r="B139" s="2">
        <v>46099</v>
      </c>
      <c r="C139" t="s">
        <v>54</v>
      </c>
      <c r="D139" t="s">
        <v>80</v>
      </c>
      <c r="E139" t="s">
        <v>56</v>
      </c>
      <c r="F139" t="s">
        <v>57</v>
      </c>
      <c r="G139" t="s">
        <v>58</v>
      </c>
      <c r="H139" t="s">
        <v>59</v>
      </c>
      <c r="I139">
        <v>5</v>
      </c>
      <c r="J139">
        <v>4</v>
      </c>
      <c r="K139">
        <v>20</v>
      </c>
      <c r="L139" t="s">
        <v>94</v>
      </c>
      <c r="M139" t="s">
        <v>69</v>
      </c>
      <c r="N139" t="s">
        <v>60</v>
      </c>
      <c r="O139">
        <v>4</v>
      </c>
      <c r="P139">
        <v>4</v>
      </c>
      <c r="Q139">
        <v>16</v>
      </c>
      <c r="R139" s="4" t="str">
        <f>IF(Table5[[#This Row],[Residual Risk Score]]&lt;Table5[[#This Row],[Initial Risk Score]],"Reduced","No Reduction")</f>
        <v>Reduced</v>
      </c>
      <c r="S139" t="s">
        <v>40</v>
      </c>
      <c r="T139" t="s">
        <v>32</v>
      </c>
      <c r="U139" t="s">
        <v>71</v>
      </c>
      <c r="V139" s="2">
        <v>46829</v>
      </c>
    </row>
    <row r="140" spans="1:22" x14ac:dyDescent="0.25">
      <c r="A140" t="s">
        <v>274</v>
      </c>
      <c r="B140" s="2">
        <v>45988</v>
      </c>
      <c r="C140" t="s">
        <v>64</v>
      </c>
      <c r="D140" t="s">
        <v>80</v>
      </c>
      <c r="E140" t="s">
        <v>91</v>
      </c>
      <c r="F140" t="s">
        <v>92</v>
      </c>
      <c r="G140" t="s">
        <v>35</v>
      </c>
      <c r="H140" t="s">
        <v>93</v>
      </c>
      <c r="I140">
        <v>2</v>
      </c>
      <c r="J140">
        <v>5</v>
      </c>
      <c r="K140">
        <v>10</v>
      </c>
      <c r="L140" t="s">
        <v>40</v>
      </c>
      <c r="M140" t="s">
        <v>101</v>
      </c>
      <c r="N140" t="s">
        <v>42</v>
      </c>
      <c r="O140">
        <v>1</v>
      </c>
      <c r="P140">
        <v>5</v>
      </c>
      <c r="Q140">
        <v>5</v>
      </c>
      <c r="R140" t="str">
        <f>IF(Table5[[#This Row],[Residual Risk Score]]&gt;Table5[[#This Row],[Initial Risk Score]],"NO Reduction","Reduced")</f>
        <v>Reduced</v>
      </c>
      <c r="S140" t="s">
        <v>28</v>
      </c>
      <c r="T140" t="s">
        <v>32</v>
      </c>
      <c r="U140" t="s">
        <v>96</v>
      </c>
      <c r="V140" s="2">
        <v>46353</v>
      </c>
    </row>
    <row r="141" spans="1:22" x14ac:dyDescent="0.25">
      <c r="A141" t="s">
        <v>275</v>
      </c>
      <c r="B141" s="2">
        <v>46088</v>
      </c>
      <c r="C141" t="s">
        <v>64</v>
      </c>
      <c r="D141" t="s">
        <v>98</v>
      </c>
      <c r="E141" t="s">
        <v>91</v>
      </c>
      <c r="F141" t="s">
        <v>92</v>
      </c>
      <c r="G141" t="s">
        <v>35</v>
      </c>
      <c r="H141" t="s">
        <v>122</v>
      </c>
      <c r="I141">
        <v>2</v>
      </c>
      <c r="J141">
        <v>4</v>
      </c>
      <c r="K141">
        <v>8</v>
      </c>
      <c r="L141" t="s">
        <v>28</v>
      </c>
      <c r="M141" t="s">
        <v>101</v>
      </c>
      <c r="N141" t="s">
        <v>128</v>
      </c>
      <c r="O141">
        <v>1</v>
      </c>
      <c r="P141">
        <v>3</v>
      </c>
      <c r="Q141">
        <v>3</v>
      </c>
      <c r="R141" s="4" t="str">
        <f>IF(Table5[[#This Row],[Residual Risk Score]]&lt;Table5[[#This Row],[Initial Risk Score]],"Reduced","No Reduction")</f>
        <v>Reduced</v>
      </c>
      <c r="S141" t="s">
        <v>31</v>
      </c>
      <c r="T141" t="s">
        <v>61</v>
      </c>
      <c r="U141" t="s">
        <v>52</v>
      </c>
      <c r="V141" s="2">
        <v>46453</v>
      </c>
    </row>
    <row r="142" spans="1:22" x14ac:dyDescent="0.25">
      <c r="A142" t="s">
        <v>276</v>
      </c>
      <c r="B142" s="2">
        <v>45813</v>
      </c>
      <c r="C142" t="s">
        <v>73</v>
      </c>
      <c r="D142" t="s">
        <v>23</v>
      </c>
      <c r="E142" t="s">
        <v>104</v>
      </c>
      <c r="F142" t="s">
        <v>105</v>
      </c>
      <c r="G142" t="s">
        <v>73</v>
      </c>
      <c r="H142" t="s">
        <v>68</v>
      </c>
      <c r="I142">
        <v>3</v>
      </c>
      <c r="J142">
        <v>5</v>
      </c>
      <c r="K142">
        <v>15</v>
      </c>
      <c r="L142" t="s">
        <v>40</v>
      </c>
      <c r="M142" t="s">
        <v>78</v>
      </c>
      <c r="N142" t="s">
        <v>128</v>
      </c>
      <c r="O142">
        <v>1</v>
      </c>
      <c r="P142">
        <v>4</v>
      </c>
      <c r="Q142">
        <v>4</v>
      </c>
      <c r="R142" s="4" t="str">
        <f>IF(Table5[[#This Row],[Residual Risk Score]]&lt;Table5[[#This Row],[Initial Risk Score]],"Reduced","No Reduction")</f>
        <v>Reduced</v>
      </c>
      <c r="S142" t="s">
        <v>31</v>
      </c>
      <c r="T142" t="s">
        <v>32</v>
      </c>
      <c r="U142" t="s">
        <v>33</v>
      </c>
      <c r="V142" s="2">
        <v>46543</v>
      </c>
    </row>
    <row r="143" spans="1:22" x14ac:dyDescent="0.25">
      <c r="A143" t="s">
        <v>277</v>
      </c>
      <c r="B143" s="2">
        <v>46300</v>
      </c>
      <c r="C143" t="s">
        <v>64</v>
      </c>
      <c r="D143" t="s">
        <v>74</v>
      </c>
      <c r="E143" t="s">
        <v>66</v>
      </c>
      <c r="F143" t="s">
        <v>67</v>
      </c>
      <c r="G143" t="s">
        <v>35</v>
      </c>
      <c r="H143" t="s">
        <v>93</v>
      </c>
      <c r="I143">
        <v>5</v>
      </c>
      <c r="J143">
        <v>5</v>
      </c>
      <c r="K143">
        <v>25</v>
      </c>
      <c r="L143" t="s">
        <v>94</v>
      </c>
      <c r="M143" t="s">
        <v>50</v>
      </c>
      <c r="N143" t="s">
        <v>128</v>
      </c>
      <c r="O143">
        <v>4</v>
      </c>
      <c r="P143">
        <v>4</v>
      </c>
      <c r="Q143">
        <v>16</v>
      </c>
      <c r="R143" s="4" t="str">
        <f>IF(Table5[[#This Row],[Residual Risk Score]]&lt;Table5[[#This Row],[Initial Risk Score]],"Reduced","No Reduction")</f>
        <v>Reduced</v>
      </c>
      <c r="S143" t="s">
        <v>40</v>
      </c>
      <c r="T143" t="s">
        <v>43</v>
      </c>
      <c r="U143" t="s">
        <v>33</v>
      </c>
      <c r="V143" s="2">
        <v>46665</v>
      </c>
    </row>
    <row r="144" spans="1:22" x14ac:dyDescent="0.25">
      <c r="A144" t="s">
        <v>278</v>
      </c>
      <c r="B144" s="2">
        <v>46095</v>
      </c>
      <c r="C144" t="s">
        <v>22</v>
      </c>
      <c r="D144" t="s">
        <v>23</v>
      </c>
      <c r="E144" t="s">
        <v>99</v>
      </c>
      <c r="F144" t="s">
        <v>100</v>
      </c>
      <c r="G144" t="s">
        <v>35</v>
      </c>
      <c r="H144" t="s">
        <v>68</v>
      </c>
      <c r="I144">
        <v>2</v>
      </c>
      <c r="J144">
        <v>2</v>
      </c>
      <c r="K144">
        <v>4</v>
      </c>
      <c r="L144" t="s">
        <v>31</v>
      </c>
      <c r="M144" t="s">
        <v>50</v>
      </c>
      <c r="N144" t="s">
        <v>70</v>
      </c>
      <c r="O144">
        <v>1</v>
      </c>
      <c r="P144">
        <v>2</v>
      </c>
      <c r="Q144">
        <v>2</v>
      </c>
      <c r="R144" s="4" t="str">
        <f>IF(Table5[[#This Row],[Residual Risk Score]]&lt;Table5[[#This Row],[Initial Risk Score]],"Reduced","No Reduction")</f>
        <v>Reduced</v>
      </c>
      <c r="S144" t="s">
        <v>31</v>
      </c>
      <c r="T144" t="s">
        <v>43</v>
      </c>
      <c r="U144" t="s">
        <v>52</v>
      </c>
      <c r="V144" s="2">
        <v>46460</v>
      </c>
    </row>
    <row r="145" spans="1:22" x14ac:dyDescent="0.25">
      <c r="A145" t="s">
        <v>279</v>
      </c>
      <c r="B145" s="2">
        <v>45917</v>
      </c>
      <c r="C145" t="s">
        <v>22</v>
      </c>
      <c r="D145" t="s">
        <v>55</v>
      </c>
      <c r="E145" t="s">
        <v>81</v>
      </c>
      <c r="F145" t="s">
        <v>82</v>
      </c>
      <c r="G145" t="s">
        <v>81</v>
      </c>
      <c r="H145" t="s">
        <v>143</v>
      </c>
      <c r="I145">
        <v>4</v>
      </c>
      <c r="J145">
        <v>3</v>
      </c>
      <c r="K145">
        <v>12</v>
      </c>
      <c r="L145" t="s">
        <v>40</v>
      </c>
      <c r="M145" t="s">
        <v>78</v>
      </c>
      <c r="N145" t="s">
        <v>89</v>
      </c>
      <c r="O145">
        <v>2</v>
      </c>
      <c r="P145">
        <v>2</v>
      </c>
      <c r="Q145">
        <v>4</v>
      </c>
      <c r="R145" t="str">
        <f>IF(Table5[[#This Row],[Residual Risk Score]]&gt;Table5[[#This Row],[Initial Risk Score]],"NO Reduction","Reduced")</f>
        <v>Reduced</v>
      </c>
      <c r="S145" t="s">
        <v>31</v>
      </c>
      <c r="T145" t="s">
        <v>43</v>
      </c>
      <c r="U145" t="s">
        <v>96</v>
      </c>
      <c r="V145" s="2">
        <v>46282</v>
      </c>
    </row>
    <row r="146" spans="1:22" x14ac:dyDescent="0.25">
      <c r="A146" t="s">
        <v>280</v>
      </c>
      <c r="B146" s="2">
        <v>45752</v>
      </c>
      <c r="C146" t="s">
        <v>73</v>
      </c>
      <c r="D146" t="s">
        <v>98</v>
      </c>
      <c r="E146" t="s">
        <v>104</v>
      </c>
      <c r="F146" t="s">
        <v>105</v>
      </c>
      <c r="G146" t="s">
        <v>73</v>
      </c>
      <c r="H146" t="s">
        <v>116</v>
      </c>
      <c r="I146">
        <v>4</v>
      </c>
      <c r="J146">
        <v>3</v>
      </c>
      <c r="K146">
        <v>12</v>
      </c>
      <c r="L146" t="s">
        <v>40</v>
      </c>
      <c r="M146" t="s">
        <v>29</v>
      </c>
      <c r="N146" t="s">
        <v>60</v>
      </c>
      <c r="O146">
        <v>3</v>
      </c>
      <c r="P146">
        <v>3</v>
      </c>
      <c r="Q146">
        <v>9</v>
      </c>
      <c r="R146" t="str">
        <f>IF(Table5[[#This Row],[Residual Risk Score]]&gt;Table5[[#This Row],[Initial Risk Score]],"NO Reduction","Reduced")</f>
        <v>Reduced</v>
      </c>
      <c r="S146" t="s">
        <v>28</v>
      </c>
      <c r="T146" t="s">
        <v>43</v>
      </c>
      <c r="U146" t="s">
        <v>71</v>
      </c>
      <c r="V146" s="2">
        <v>46117</v>
      </c>
    </row>
    <row r="147" spans="1:22" x14ac:dyDescent="0.25">
      <c r="A147" t="s">
        <v>281</v>
      </c>
      <c r="B147" s="2">
        <v>46040</v>
      </c>
      <c r="C147" t="s">
        <v>22</v>
      </c>
      <c r="D147" t="s">
        <v>98</v>
      </c>
      <c r="E147" t="s">
        <v>24</v>
      </c>
      <c r="F147" t="s">
        <v>25</v>
      </c>
      <c r="G147" t="s">
        <v>26</v>
      </c>
      <c r="H147" t="s">
        <v>223</v>
      </c>
      <c r="I147">
        <v>2</v>
      </c>
      <c r="J147">
        <v>2</v>
      </c>
      <c r="K147">
        <v>4</v>
      </c>
      <c r="L147" t="s">
        <v>31</v>
      </c>
      <c r="M147" t="s">
        <v>29</v>
      </c>
      <c r="N147" t="s">
        <v>42</v>
      </c>
      <c r="O147">
        <v>1</v>
      </c>
      <c r="P147">
        <v>2</v>
      </c>
      <c r="Q147">
        <v>2</v>
      </c>
      <c r="R147" t="str">
        <f>IF(Table5[[#This Row],[Residual Risk Score]]&gt;Table5[[#This Row],[Initial Risk Score]],"NO Reduction","Reduced")</f>
        <v>Reduced</v>
      </c>
      <c r="S147" t="s">
        <v>31</v>
      </c>
      <c r="T147" t="s">
        <v>43</v>
      </c>
      <c r="U147" t="s">
        <v>33</v>
      </c>
      <c r="V147" s="2">
        <v>46220</v>
      </c>
    </row>
    <row r="148" spans="1:22" x14ac:dyDescent="0.25">
      <c r="A148" t="s">
        <v>282</v>
      </c>
      <c r="B148" s="2">
        <v>45925</v>
      </c>
      <c r="C148" t="s">
        <v>35</v>
      </c>
      <c r="D148" t="s">
        <v>65</v>
      </c>
      <c r="E148" t="s">
        <v>120</v>
      </c>
      <c r="F148" t="s">
        <v>121</v>
      </c>
      <c r="G148" t="s">
        <v>35</v>
      </c>
      <c r="H148" t="s">
        <v>122</v>
      </c>
      <c r="I148">
        <v>3</v>
      </c>
      <c r="J148">
        <v>3</v>
      </c>
      <c r="K148">
        <v>9</v>
      </c>
      <c r="L148" t="s">
        <v>28</v>
      </c>
      <c r="M148" t="s">
        <v>78</v>
      </c>
      <c r="N148" t="s">
        <v>70</v>
      </c>
      <c r="O148">
        <v>2</v>
      </c>
      <c r="P148">
        <v>2</v>
      </c>
      <c r="Q148">
        <v>4</v>
      </c>
      <c r="R148" s="4" t="str">
        <f>IF(Table5[[#This Row],[Residual Risk Score]]&lt;Table5[[#This Row],[Initial Risk Score]],"Reduced","No Reduction")</f>
        <v>Reduced</v>
      </c>
      <c r="S148" t="s">
        <v>31</v>
      </c>
      <c r="T148" t="s">
        <v>61</v>
      </c>
      <c r="U148" t="s">
        <v>33</v>
      </c>
      <c r="V148" s="2">
        <v>46655</v>
      </c>
    </row>
    <row r="149" spans="1:22" x14ac:dyDescent="0.25">
      <c r="A149" t="s">
        <v>283</v>
      </c>
      <c r="B149" s="2">
        <v>46094</v>
      </c>
      <c r="C149" t="s">
        <v>73</v>
      </c>
      <c r="D149" t="s">
        <v>65</v>
      </c>
      <c r="E149" t="s">
        <v>75</v>
      </c>
      <c r="F149" t="s">
        <v>76</v>
      </c>
      <c r="G149" t="s">
        <v>73</v>
      </c>
      <c r="H149" t="s">
        <v>116</v>
      </c>
      <c r="I149">
        <v>3</v>
      </c>
      <c r="J149">
        <v>3</v>
      </c>
      <c r="K149">
        <v>9</v>
      </c>
      <c r="L149" t="s">
        <v>28</v>
      </c>
      <c r="M149" t="s">
        <v>41</v>
      </c>
      <c r="N149" t="s">
        <v>89</v>
      </c>
      <c r="O149">
        <v>3</v>
      </c>
      <c r="P149">
        <v>2</v>
      </c>
      <c r="Q149">
        <v>6</v>
      </c>
      <c r="R149" t="str">
        <f>IF(Table5[[#This Row],[Residual Risk Score]]&gt;Table5[[#This Row],[Initial Risk Score]],"NO Reduction","Reduced")</f>
        <v>Reduced</v>
      </c>
      <c r="S149" t="s">
        <v>28</v>
      </c>
      <c r="T149" t="s">
        <v>32</v>
      </c>
      <c r="U149" t="s">
        <v>33</v>
      </c>
      <c r="V149" s="2">
        <v>46274</v>
      </c>
    </row>
    <row r="150" spans="1:22" x14ac:dyDescent="0.25">
      <c r="A150" t="s">
        <v>284</v>
      </c>
      <c r="B150" s="2">
        <v>45805</v>
      </c>
      <c r="C150" t="s">
        <v>22</v>
      </c>
      <c r="D150" t="s">
        <v>55</v>
      </c>
      <c r="E150" t="s">
        <v>81</v>
      </c>
      <c r="F150" t="s">
        <v>82</v>
      </c>
      <c r="G150" t="s">
        <v>81</v>
      </c>
      <c r="H150" t="s">
        <v>68</v>
      </c>
      <c r="I150">
        <v>4</v>
      </c>
      <c r="J150">
        <v>4</v>
      </c>
      <c r="K150">
        <v>16</v>
      </c>
      <c r="L150" t="s">
        <v>40</v>
      </c>
      <c r="M150" t="s">
        <v>41</v>
      </c>
      <c r="N150" t="s">
        <v>60</v>
      </c>
      <c r="O150">
        <v>3</v>
      </c>
      <c r="P150">
        <v>3</v>
      </c>
      <c r="Q150">
        <v>9</v>
      </c>
      <c r="R150" t="str">
        <f>IF(Table5[[#This Row],[Residual Risk Score]]&gt;Table5[[#This Row],[Initial Risk Score]],"NO Reduction","Reduced")</f>
        <v>Reduced</v>
      </c>
      <c r="S150" t="s">
        <v>28</v>
      </c>
      <c r="T150" t="s">
        <v>61</v>
      </c>
      <c r="U150" t="s">
        <v>52</v>
      </c>
      <c r="V150" s="2">
        <v>46170</v>
      </c>
    </row>
    <row r="151" spans="1:22" x14ac:dyDescent="0.25">
      <c r="A151" t="s">
        <v>285</v>
      </c>
      <c r="B151" s="2">
        <v>46252</v>
      </c>
      <c r="C151" t="s">
        <v>35</v>
      </c>
      <c r="D151" t="s">
        <v>65</v>
      </c>
      <c r="E151" t="s">
        <v>36</v>
      </c>
      <c r="F151" t="s">
        <v>37</v>
      </c>
      <c r="G151" t="s">
        <v>38</v>
      </c>
      <c r="H151" t="s">
        <v>116</v>
      </c>
      <c r="I151">
        <v>3</v>
      </c>
      <c r="J151">
        <v>4</v>
      </c>
      <c r="K151">
        <v>12</v>
      </c>
      <c r="L151" t="s">
        <v>40</v>
      </c>
      <c r="M151" t="s">
        <v>69</v>
      </c>
      <c r="N151" t="s">
        <v>70</v>
      </c>
      <c r="O151">
        <v>2</v>
      </c>
      <c r="P151">
        <v>3</v>
      </c>
      <c r="Q151">
        <v>6</v>
      </c>
      <c r="R151" s="4" t="str">
        <f>IF(Table5[[#This Row],[Residual Risk Score]]&lt;Table5[[#This Row],[Initial Risk Score]],"Reduced","No Reduction")</f>
        <v>Reduced</v>
      </c>
      <c r="S151" t="s">
        <v>28</v>
      </c>
      <c r="T151" t="s">
        <v>32</v>
      </c>
      <c r="U151" t="s">
        <v>96</v>
      </c>
      <c r="V151" s="2">
        <v>46617</v>
      </c>
    </row>
    <row r="152" spans="1:22" x14ac:dyDescent="0.25">
      <c r="A152" t="s">
        <v>286</v>
      </c>
      <c r="B152" s="2">
        <v>45718</v>
      </c>
      <c r="C152" t="s">
        <v>85</v>
      </c>
      <c r="D152" t="s">
        <v>74</v>
      </c>
      <c r="E152" t="s">
        <v>86</v>
      </c>
      <c r="F152" t="s">
        <v>87</v>
      </c>
      <c r="G152" t="s">
        <v>48</v>
      </c>
      <c r="H152" t="s">
        <v>39</v>
      </c>
      <c r="I152">
        <v>4</v>
      </c>
      <c r="J152">
        <v>5</v>
      </c>
      <c r="K152">
        <v>20</v>
      </c>
      <c r="L152" t="s">
        <v>94</v>
      </c>
      <c r="M152" t="s">
        <v>69</v>
      </c>
      <c r="N152" t="s">
        <v>89</v>
      </c>
      <c r="O152">
        <v>3</v>
      </c>
      <c r="P152">
        <v>4</v>
      </c>
      <c r="Q152">
        <v>12</v>
      </c>
      <c r="R152" t="str">
        <f>IF(Table5[[#This Row],[Residual Risk Score]]&gt;Table5[[#This Row],[Initial Risk Score]],"NO Reduction","Reduced")</f>
        <v>Reduced</v>
      </c>
      <c r="S152" t="s">
        <v>40</v>
      </c>
      <c r="T152" t="s">
        <v>32</v>
      </c>
      <c r="U152" t="s">
        <v>71</v>
      </c>
      <c r="V152" s="2">
        <v>46083</v>
      </c>
    </row>
    <row r="153" spans="1:22" x14ac:dyDescent="0.25">
      <c r="A153" t="s">
        <v>287</v>
      </c>
      <c r="B153" s="2">
        <v>46091</v>
      </c>
      <c r="C153" t="s">
        <v>64</v>
      </c>
      <c r="D153" t="s">
        <v>108</v>
      </c>
      <c r="E153" t="s">
        <v>91</v>
      </c>
      <c r="F153" t="s">
        <v>92</v>
      </c>
      <c r="G153" t="s">
        <v>35</v>
      </c>
      <c r="H153" t="s">
        <v>137</v>
      </c>
      <c r="I153">
        <v>2</v>
      </c>
      <c r="J153">
        <v>5</v>
      </c>
      <c r="K153">
        <v>10</v>
      </c>
      <c r="L153" t="s">
        <v>40</v>
      </c>
      <c r="M153" t="s">
        <v>69</v>
      </c>
      <c r="N153" t="s">
        <v>60</v>
      </c>
      <c r="O153">
        <v>2</v>
      </c>
      <c r="P153">
        <v>5</v>
      </c>
      <c r="Q153">
        <v>10</v>
      </c>
      <c r="R153" s="4" t="str">
        <f>IF(Table5[[#This Row],[Residual Risk Score]]&lt;Table5[[#This Row],[Initial Risk Score]],"Reduced","No Reduction")</f>
        <v>No Reduction</v>
      </c>
      <c r="S153" t="s">
        <v>40</v>
      </c>
      <c r="T153" t="s">
        <v>43</v>
      </c>
      <c r="U153" t="s">
        <v>71</v>
      </c>
      <c r="V153" s="2">
        <v>46456</v>
      </c>
    </row>
    <row r="154" spans="1:22" x14ac:dyDescent="0.25">
      <c r="A154" t="s">
        <v>288</v>
      </c>
      <c r="B154" s="2">
        <v>46248</v>
      </c>
      <c r="C154" t="s">
        <v>22</v>
      </c>
      <c r="D154" t="s">
        <v>74</v>
      </c>
      <c r="E154" t="s">
        <v>99</v>
      </c>
      <c r="F154" t="s">
        <v>100</v>
      </c>
      <c r="G154" t="s">
        <v>35</v>
      </c>
      <c r="H154" t="s">
        <v>93</v>
      </c>
      <c r="I154">
        <v>5</v>
      </c>
      <c r="J154">
        <v>2</v>
      </c>
      <c r="K154">
        <v>10</v>
      </c>
      <c r="L154" t="s">
        <v>40</v>
      </c>
      <c r="M154" t="s">
        <v>78</v>
      </c>
      <c r="N154" t="s">
        <v>70</v>
      </c>
      <c r="O154">
        <v>3</v>
      </c>
      <c r="P154">
        <v>1</v>
      </c>
      <c r="Q154">
        <v>3</v>
      </c>
      <c r="R154" s="4" t="str">
        <f>IF(Table5[[#This Row],[Residual Risk Score]]&lt;Table5[[#This Row],[Initial Risk Score]],"Reduced","No Reduction")</f>
        <v>Reduced</v>
      </c>
      <c r="S154" t="s">
        <v>31</v>
      </c>
      <c r="T154" t="s">
        <v>32</v>
      </c>
      <c r="U154" t="s">
        <v>62</v>
      </c>
      <c r="V154" s="2">
        <v>46978</v>
      </c>
    </row>
    <row r="155" spans="1:22" x14ac:dyDescent="0.25">
      <c r="A155" t="s">
        <v>289</v>
      </c>
      <c r="B155" s="2">
        <v>45800</v>
      </c>
      <c r="C155" t="s">
        <v>22</v>
      </c>
      <c r="D155" t="s">
        <v>55</v>
      </c>
      <c r="E155" t="s">
        <v>135</v>
      </c>
      <c r="F155" t="s">
        <v>136</v>
      </c>
      <c r="G155" t="s">
        <v>35</v>
      </c>
      <c r="H155" t="s">
        <v>93</v>
      </c>
      <c r="I155">
        <v>2</v>
      </c>
      <c r="J155">
        <v>4</v>
      </c>
      <c r="K155">
        <v>8</v>
      </c>
      <c r="L155" t="s">
        <v>28</v>
      </c>
      <c r="M155" t="s">
        <v>29</v>
      </c>
      <c r="N155" t="s">
        <v>70</v>
      </c>
      <c r="O155">
        <v>1</v>
      </c>
      <c r="P155">
        <v>4</v>
      </c>
      <c r="Q155">
        <v>4</v>
      </c>
      <c r="R155" t="str">
        <f>IF(Table5[[#This Row],[Residual Risk Score]]&gt;Table5[[#This Row],[Initial Risk Score]],"NO Reduction","Reduced")</f>
        <v>Reduced</v>
      </c>
      <c r="S155" t="s">
        <v>31</v>
      </c>
      <c r="T155" t="s">
        <v>32</v>
      </c>
      <c r="U155" t="s">
        <v>62</v>
      </c>
      <c r="V155" s="2">
        <v>46165</v>
      </c>
    </row>
    <row r="156" spans="1:22" x14ac:dyDescent="0.25">
      <c r="A156" t="s">
        <v>290</v>
      </c>
      <c r="B156" s="2">
        <v>45947</v>
      </c>
      <c r="C156" t="s">
        <v>108</v>
      </c>
      <c r="D156" t="s">
        <v>23</v>
      </c>
      <c r="E156" t="s">
        <v>149</v>
      </c>
      <c r="F156" t="s">
        <v>150</v>
      </c>
      <c r="G156" t="s">
        <v>151</v>
      </c>
      <c r="H156" t="s">
        <v>225</v>
      </c>
      <c r="I156">
        <v>2</v>
      </c>
      <c r="J156">
        <v>4</v>
      </c>
      <c r="K156">
        <v>8</v>
      </c>
      <c r="L156" t="s">
        <v>28</v>
      </c>
      <c r="M156" t="s">
        <v>41</v>
      </c>
      <c r="N156" t="s">
        <v>42</v>
      </c>
      <c r="O156">
        <v>1</v>
      </c>
      <c r="P156">
        <v>4</v>
      </c>
      <c r="Q156">
        <v>4</v>
      </c>
      <c r="R156" s="4" t="str">
        <f>IF(Table5[[#This Row],[Residual Risk Score]]&lt;Table5[[#This Row],[Initial Risk Score]],"Reduced","No Reduction")</f>
        <v>Reduced</v>
      </c>
      <c r="S156" t="s">
        <v>31</v>
      </c>
      <c r="T156" t="s">
        <v>61</v>
      </c>
      <c r="U156" t="s">
        <v>71</v>
      </c>
      <c r="V156" s="2">
        <v>46677</v>
      </c>
    </row>
    <row r="157" spans="1:22" x14ac:dyDescent="0.25">
      <c r="A157" t="s">
        <v>291</v>
      </c>
      <c r="B157" s="2">
        <v>46242</v>
      </c>
      <c r="C157" t="s">
        <v>85</v>
      </c>
      <c r="D157" t="s">
        <v>98</v>
      </c>
      <c r="E157" t="s">
        <v>86</v>
      </c>
      <c r="F157" t="s">
        <v>87</v>
      </c>
      <c r="G157" t="s">
        <v>48</v>
      </c>
      <c r="H157" t="s">
        <v>39</v>
      </c>
      <c r="I157">
        <v>5</v>
      </c>
      <c r="J157">
        <v>3</v>
      </c>
      <c r="K157">
        <v>15</v>
      </c>
      <c r="L157" t="s">
        <v>40</v>
      </c>
      <c r="M157" t="s">
        <v>95</v>
      </c>
      <c r="N157" t="s">
        <v>42</v>
      </c>
      <c r="O157">
        <v>3</v>
      </c>
      <c r="P157">
        <v>3</v>
      </c>
      <c r="Q157">
        <v>9</v>
      </c>
      <c r="R157" s="4" t="str">
        <f>IF(Table5[[#This Row],[Residual Risk Score]]&lt;Table5[[#This Row],[Initial Risk Score]],"Reduced","No Reduction")</f>
        <v>Reduced</v>
      </c>
      <c r="S157" t="s">
        <v>28</v>
      </c>
      <c r="T157" t="s">
        <v>32</v>
      </c>
      <c r="U157" t="s">
        <v>96</v>
      </c>
      <c r="V157" s="2">
        <v>46607</v>
      </c>
    </row>
    <row r="158" spans="1:22" x14ac:dyDescent="0.25">
      <c r="A158" t="s">
        <v>292</v>
      </c>
      <c r="B158" s="2">
        <v>46102</v>
      </c>
      <c r="C158" t="s">
        <v>64</v>
      </c>
      <c r="D158" t="s">
        <v>108</v>
      </c>
      <c r="E158" t="s">
        <v>91</v>
      </c>
      <c r="F158" t="s">
        <v>92</v>
      </c>
      <c r="G158" t="s">
        <v>35</v>
      </c>
      <c r="H158" t="s">
        <v>137</v>
      </c>
      <c r="I158">
        <v>5</v>
      </c>
      <c r="J158">
        <v>3</v>
      </c>
      <c r="K158">
        <v>15</v>
      </c>
      <c r="L158" t="s">
        <v>40</v>
      </c>
      <c r="M158" t="s">
        <v>95</v>
      </c>
      <c r="N158" t="s">
        <v>124</v>
      </c>
      <c r="O158">
        <v>4</v>
      </c>
      <c r="P158">
        <v>3</v>
      </c>
      <c r="Q158">
        <v>12</v>
      </c>
      <c r="R158" s="4" t="str">
        <f>IF(Table5[[#This Row],[Residual Risk Score]]&lt;Table5[[#This Row],[Initial Risk Score]],"Reduced","No Reduction")</f>
        <v>Reduced</v>
      </c>
      <c r="S158" t="s">
        <v>40</v>
      </c>
      <c r="T158" t="s">
        <v>61</v>
      </c>
      <c r="U158" t="s">
        <v>96</v>
      </c>
      <c r="V158" s="2">
        <v>46467</v>
      </c>
    </row>
    <row r="159" spans="1:22" x14ac:dyDescent="0.25">
      <c r="A159" t="s">
        <v>293</v>
      </c>
      <c r="B159" s="2">
        <v>45966</v>
      </c>
      <c r="C159" t="s">
        <v>22</v>
      </c>
      <c r="D159" t="s">
        <v>80</v>
      </c>
      <c r="E159" t="s">
        <v>109</v>
      </c>
      <c r="F159" t="s">
        <v>110</v>
      </c>
      <c r="G159" t="s">
        <v>111</v>
      </c>
      <c r="H159" t="s">
        <v>143</v>
      </c>
      <c r="I159">
        <v>5</v>
      </c>
      <c r="J159">
        <v>4</v>
      </c>
      <c r="K159">
        <v>20</v>
      </c>
      <c r="L159" t="s">
        <v>94</v>
      </c>
      <c r="M159" t="s">
        <v>95</v>
      </c>
      <c r="N159" t="s">
        <v>128</v>
      </c>
      <c r="O159">
        <v>4</v>
      </c>
      <c r="P159">
        <v>3</v>
      </c>
      <c r="Q159">
        <v>12</v>
      </c>
      <c r="R159" t="str">
        <f>IF(Table5[[#This Row],[Residual Risk Score]]&gt;Table5[[#This Row],[Initial Risk Score]],"NO Reduction","Reduced")</f>
        <v>Reduced</v>
      </c>
      <c r="S159" t="s">
        <v>40</v>
      </c>
      <c r="T159" t="s">
        <v>61</v>
      </c>
      <c r="U159" t="s">
        <v>71</v>
      </c>
      <c r="V159" s="2">
        <v>46331</v>
      </c>
    </row>
    <row r="160" spans="1:22" x14ac:dyDescent="0.25">
      <c r="A160" t="s">
        <v>294</v>
      </c>
      <c r="B160" s="2">
        <v>46170</v>
      </c>
      <c r="C160" t="s">
        <v>73</v>
      </c>
      <c r="D160" t="s">
        <v>74</v>
      </c>
      <c r="E160" t="s">
        <v>104</v>
      </c>
      <c r="F160" t="s">
        <v>105</v>
      </c>
      <c r="G160" t="s">
        <v>73</v>
      </c>
      <c r="H160" t="s">
        <v>116</v>
      </c>
      <c r="I160">
        <v>5</v>
      </c>
      <c r="J160">
        <v>5</v>
      </c>
      <c r="K160">
        <v>25</v>
      </c>
      <c r="L160" t="s">
        <v>94</v>
      </c>
      <c r="M160" t="s">
        <v>69</v>
      </c>
      <c r="N160" t="s">
        <v>51</v>
      </c>
      <c r="O160">
        <v>3</v>
      </c>
      <c r="P160">
        <v>5</v>
      </c>
      <c r="Q160">
        <v>15</v>
      </c>
      <c r="R160" s="4" t="str">
        <f>IF(Table5[[#This Row],[Residual Risk Score]]&lt;Table5[[#This Row],[Initial Risk Score]],"Reduced","No Reduction")</f>
        <v>Reduced</v>
      </c>
      <c r="S160" t="s">
        <v>40</v>
      </c>
      <c r="T160" t="s">
        <v>61</v>
      </c>
      <c r="U160" t="s">
        <v>62</v>
      </c>
      <c r="V160" s="2">
        <v>46535</v>
      </c>
    </row>
    <row r="161" spans="1:22" x14ac:dyDescent="0.25">
      <c r="A161" t="s">
        <v>295</v>
      </c>
      <c r="B161" s="2">
        <v>46226</v>
      </c>
      <c r="C161" t="s">
        <v>108</v>
      </c>
      <c r="D161" t="s">
        <v>80</v>
      </c>
      <c r="E161" t="s">
        <v>149</v>
      </c>
      <c r="F161" t="s">
        <v>150</v>
      </c>
      <c r="G161" t="s">
        <v>151</v>
      </c>
      <c r="H161" t="s">
        <v>143</v>
      </c>
      <c r="I161">
        <v>4</v>
      </c>
      <c r="J161">
        <v>3</v>
      </c>
      <c r="K161">
        <v>12</v>
      </c>
      <c r="L161" t="s">
        <v>40</v>
      </c>
      <c r="M161" t="s">
        <v>78</v>
      </c>
      <c r="N161" t="s">
        <v>102</v>
      </c>
      <c r="O161">
        <v>3</v>
      </c>
      <c r="P161">
        <v>3</v>
      </c>
      <c r="Q161">
        <v>9</v>
      </c>
      <c r="R161" s="4" t="str">
        <f>IF(Table5[[#This Row],[Residual Risk Score]]&lt;Table5[[#This Row],[Initial Risk Score]],"Reduced","No Reduction")</f>
        <v>Reduced</v>
      </c>
      <c r="S161" t="s">
        <v>28</v>
      </c>
      <c r="T161" t="s">
        <v>43</v>
      </c>
      <c r="U161" t="s">
        <v>62</v>
      </c>
      <c r="V161" s="2">
        <v>46956</v>
      </c>
    </row>
    <row r="162" spans="1:22" x14ac:dyDescent="0.25">
      <c r="A162" t="s">
        <v>296</v>
      </c>
      <c r="B162" s="2">
        <v>45828</v>
      </c>
      <c r="C162" t="s">
        <v>73</v>
      </c>
      <c r="D162" t="s">
        <v>74</v>
      </c>
      <c r="E162" t="s">
        <v>104</v>
      </c>
      <c r="F162" t="s">
        <v>105</v>
      </c>
      <c r="G162" t="s">
        <v>73</v>
      </c>
      <c r="H162" t="s">
        <v>68</v>
      </c>
      <c r="I162">
        <v>2</v>
      </c>
      <c r="J162">
        <v>2</v>
      </c>
      <c r="K162">
        <v>4</v>
      </c>
      <c r="L162" t="s">
        <v>31</v>
      </c>
      <c r="M162" t="s">
        <v>78</v>
      </c>
      <c r="N162" t="s">
        <v>70</v>
      </c>
      <c r="O162">
        <v>1</v>
      </c>
      <c r="P162">
        <v>2</v>
      </c>
      <c r="Q162">
        <v>2</v>
      </c>
      <c r="R162" t="str">
        <f>IF(Table5[[#This Row],[Residual Risk Score]]&gt;Table5[[#This Row],[Initial Risk Score]],"NO Reduction","Reduced")</f>
        <v>Reduced</v>
      </c>
      <c r="S162" t="s">
        <v>31</v>
      </c>
      <c r="T162" t="s">
        <v>32</v>
      </c>
      <c r="U162" t="s">
        <v>71</v>
      </c>
      <c r="V162" s="2">
        <v>46008</v>
      </c>
    </row>
    <row r="163" spans="1:22" x14ac:dyDescent="0.25">
      <c r="A163" t="s">
        <v>297</v>
      </c>
      <c r="B163" s="2">
        <v>46354</v>
      </c>
      <c r="C163" t="s">
        <v>64</v>
      </c>
      <c r="D163" t="s">
        <v>74</v>
      </c>
      <c r="E163" t="s">
        <v>66</v>
      </c>
      <c r="F163" t="s">
        <v>67</v>
      </c>
      <c r="G163" t="s">
        <v>35</v>
      </c>
      <c r="H163" t="s">
        <v>68</v>
      </c>
      <c r="I163">
        <v>2</v>
      </c>
      <c r="J163">
        <v>3</v>
      </c>
      <c r="K163">
        <v>6</v>
      </c>
      <c r="L163" t="s">
        <v>28</v>
      </c>
      <c r="M163" t="s">
        <v>41</v>
      </c>
      <c r="N163" t="s">
        <v>60</v>
      </c>
      <c r="O163">
        <v>1</v>
      </c>
      <c r="P163">
        <v>2</v>
      </c>
      <c r="Q163">
        <v>2</v>
      </c>
      <c r="R163" s="4" t="str">
        <f>IF(Table5[[#This Row],[Residual Risk Score]]&lt;Table5[[#This Row],[Initial Risk Score]],"Reduced","No Reduction")</f>
        <v>Reduced</v>
      </c>
      <c r="S163" t="s">
        <v>31</v>
      </c>
      <c r="T163" t="s">
        <v>61</v>
      </c>
      <c r="U163" t="s">
        <v>96</v>
      </c>
      <c r="V163" s="2">
        <v>46719</v>
      </c>
    </row>
    <row r="164" spans="1:22" x14ac:dyDescent="0.25">
      <c r="A164" t="s">
        <v>298</v>
      </c>
      <c r="B164" s="2">
        <v>46206</v>
      </c>
      <c r="C164" t="s">
        <v>64</v>
      </c>
      <c r="D164" t="s">
        <v>108</v>
      </c>
      <c r="E164" t="s">
        <v>66</v>
      </c>
      <c r="F164" t="s">
        <v>67</v>
      </c>
      <c r="G164" t="s">
        <v>35</v>
      </c>
      <c r="H164" t="s">
        <v>137</v>
      </c>
      <c r="I164">
        <v>5</v>
      </c>
      <c r="J164">
        <v>2</v>
      </c>
      <c r="K164">
        <v>10</v>
      </c>
      <c r="L164" t="s">
        <v>40</v>
      </c>
      <c r="M164" t="s">
        <v>29</v>
      </c>
      <c r="N164" t="s">
        <v>30</v>
      </c>
      <c r="O164">
        <v>3</v>
      </c>
      <c r="P164">
        <v>2</v>
      </c>
      <c r="Q164">
        <v>6</v>
      </c>
      <c r="R164" s="4" t="str">
        <f>IF(Table5[[#This Row],[Residual Risk Score]]&lt;Table5[[#This Row],[Initial Risk Score]],"Reduced","No Reduction")</f>
        <v>Reduced</v>
      </c>
      <c r="S164" t="s">
        <v>28</v>
      </c>
      <c r="T164" t="s">
        <v>32</v>
      </c>
      <c r="U164" t="s">
        <v>96</v>
      </c>
      <c r="V164" s="2">
        <v>46936</v>
      </c>
    </row>
    <row r="165" spans="1:22" x14ac:dyDescent="0.25">
      <c r="A165" t="s">
        <v>299</v>
      </c>
      <c r="B165" s="2">
        <v>46298</v>
      </c>
      <c r="C165" t="s">
        <v>22</v>
      </c>
      <c r="D165" t="s">
        <v>65</v>
      </c>
      <c r="E165" t="s">
        <v>24</v>
      </c>
      <c r="F165" t="s">
        <v>25</v>
      </c>
      <c r="G165" t="s">
        <v>26</v>
      </c>
      <c r="H165" t="s">
        <v>223</v>
      </c>
      <c r="I165">
        <v>4</v>
      </c>
      <c r="J165">
        <v>5</v>
      </c>
      <c r="K165">
        <v>20</v>
      </c>
      <c r="L165" t="s">
        <v>94</v>
      </c>
      <c r="M165" t="s">
        <v>69</v>
      </c>
      <c r="N165" t="s">
        <v>102</v>
      </c>
      <c r="O165">
        <v>3</v>
      </c>
      <c r="P165">
        <v>4</v>
      </c>
      <c r="Q165">
        <v>12</v>
      </c>
      <c r="R165" s="4" t="str">
        <f>IF(Table5[[#This Row],[Residual Risk Score]]&lt;Table5[[#This Row],[Initial Risk Score]],"Reduced","No Reduction")</f>
        <v>Reduced</v>
      </c>
      <c r="S165" t="s">
        <v>40</v>
      </c>
      <c r="T165" t="s">
        <v>61</v>
      </c>
      <c r="U165" t="s">
        <v>33</v>
      </c>
      <c r="V165" s="2">
        <v>47028</v>
      </c>
    </row>
    <row r="166" spans="1:22" x14ac:dyDescent="0.25">
      <c r="A166" t="s">
        <v>300</v>
      </c>
      <c r="B166" s="2">
        <v>45755</v>
      </c>
      <c r="C166" t="s">
        <v>54</v>
      </c>
      <c r="D166" t="s">
        <v>98</v>
      </c>
      <c r="E166" t="s">
        <v>56</v>
      </c>
      <c r="F166" t="s">
        <v>57</v>
      </c>
      <c r="G166" t="s">
        <v>58</v>
      </c>
      <c r="H166" t="s">
        <v>59</v>
      </c>
      <c r="I166">
        <v>5</v>
      </c>
      <c r="J166">
        <v>4</v>
      </c>
      <c r="K166">
        <v>20</v>
      </c>
      <c r="L166" t="s">
        <v>94</v>
      </c>
      <c r="M166" t="s">
        <v>78</v>
      </c>
      <c r="N166" t="s">
        <v>42</v>
      </c>
      <c r="O166">
        <v>4</v>
      </c>
      <c r="P166">
        <v>3</v>
      </c>
      <c r="Q166">
        <v>12</v>
      </c>
      <c r="R166" s="4" t="str">
        <f>IF(Table5[[#This Row],[Residual Risk Score]]&lt;Table5[[#This Row],[Initial Risk Score]],"Reduced","No Reduction")</f>
        <v>Reduced</v>
      </c>
      <c r="S166" t="s">
        <v>40</v>
      </c>
      <c r="T166" t="s">
        <v>43</v>
      </c>
      <c r="U166" t="s">
        <v>62</v>
      </c>
      <c r="V166" s="2">
        <v>46485</v>
      </c>
    </row>
    <row r="167" spans="1:22" x14ac:dyDescent="0.25">
      <c r="A167" t="s">
        <v>301</v>
      </c>
      <c r="B167" s="2">
        <v>46189</v>
      </c>
      <c r="C167" t="s">
        <v>35</v>
      </c>
      <c r="D167" t="s">
        <v>55</v>
      </c>
      <c r="E167" t="s">
        <v>36</v>
      </c>
      <c r="F167" t="s">
        <v>37</v>
      </c>
      <c r="G167" t="s">
        <v>38</v>
      </c>
      <c r="H167" t="s">
        <v>116</v>
      </c>
      <c r="I167">
        <v>5</v>
      </c>
      <c r="J167">
        <v>5</v>
      </c>
      <c r="K167">
        <v>25</v>
      </c>
      <c r="L167" t="s">
        <v>94</v>
      </c>
      <c r="M167" t="s">
        <v>41</v>
      </c>
      <c r="N167" t="s">
        <v>128</v>
      </c>
      <c r="O167">
        <v>4</v>
      </c>
      <c r="P167">
        <v>4</v>
      </c>
      <c r="Q167">
        <v>16</v>
      </c>
      <c r="R167" s="4" t="str">
        <f>IF(Table5[[#This Row],[Residual Risk Score]]&lt;Table5[[#This Row],[Initial Risk Score]],"Reduced","No Reduction")</f>
        <v>Reduced</v>
      </c>
      <c r="S167" t="s">
        <v>40</v>
      </c>
      <c r="T167" t="s">
        <v>43</v>
      </c>
      <c r="U167" t="s">
        <v>71</v>
      </c>
      <c r="V167" s="2">
        <v>46554</v>
      </c>
    </row>
    <row r="168" spans="1:22" x14ac:dyDescent="0.25">
      <c r="A168" t="s">
        <v>302</v>
      </c>
      <c r="B168" s="2">
        <v>45935</v>
      </c>
      <c r="C168" t="s">
        <v>108</v>
      </c>
      <c r="D168" t="s">
        <v>80</v>
      </c>
      <c r="E168" t="s">
        <v>162</v>
      </c>
      <c r="F168" t="s">
        <v>163</v>
      </c>
      <c r="G168" t="s">
        <v>164</v>
      </c>
      <c r="H168" t="s">
        <v>219</v>
      </c>
      <c r="I168">
        <v>4</v>
      </c>
      <c r="J168">
        <v>3</v>
      </c>
      <c r="K168">
        <v>12</v>
      </c>
      <c r="L168" t="s">
        <v>40</v>
      </c>
      <c r="M168" t="s">
        <v>83</v>
      </c>
      <c r="N168" t="s">
        <v>42</v>
      </c>
      <c r="O168">
        <v>3</v>
      </c>
      <c r="P168">
        <v>3</v>
      </c>
      <c r="Q168">
        <v>9</v>
      </c>
      <c r="R168" t="str">
        <f>IF(Table5[[#This Row],[Residual Risk Score]]&gt;Table5[[#This Row],[Initial Risk Score]],"NO Reduction","Reduced")</f>
        <v>Reduced</v>
      </c>
      <c r="S168" t="s">
        <v>28</v>
      </c>
      <c r="T168" t="s">
        <v>43</v>
      </c>
      <c r="U168" t="s">
        <v>96</v>
      </c>
      <c r="V168" s="2">
        <v>46300</v>
      </c>
    </row>
    <row r="169" spans="1:22" x14ac:dyDescent="0.25">
      <c r="A169" t="s">
        <v>303</v>
      </c>
      <c r="B169" s="2">
        <v>45982</v>
      </c>
      <c r="C169" t="s">
        <v>45</v>
      </c>
      <c r="D169" t="s">
        <v>23</v>
      </c>
      <c r="E169" t="s">
        <v>46</v>
      </c>
      <c r="F169" t="s">
        <v>47</v>
      </c>
      <c r="G169" t="s">
        <v>48</v>
      </c>
      <c r="H169" t="s">
        <v>88</v>
      </c>
      <c r="I169">
        <v>4</v>
      </c>
      <c r="J169">
        <v>4</v>
      </c>
      <c r="K169">
        <v>16</v>
      </c>
      <c r="L169" t="s">
        <v>40</v>
      </c>
      <c r="M169" t="s">
        <v>41</v>
      </c>
      <c r="N169" t="s">
        <v>30</v>
      </c>
      <c r="O169">
        <v>3</v>
      </c>
      <c r="P169">
        <v>4</v>
      </c>
      <c r="Q169">
        <v>12</v>
      </c>
      <c r="R169" t="str">
        <f>IF(Table5[[#This Row],[Residual Risk Score]]&gt;Table5[[#This Row],[Initial Risk Score]],"NO Reduction","Reduced")</f>
        <v>Reduced</v>
      </c>
      <c r="S169" t="s">
        <v>40</v>
      </c>
      <c r="T169" t="s">
        <v>61</v>
      </c>
      <c r="U169" t="s">
        <v>52</v>
      </c>
      <c r="V169" s="2">
        <v>46347</v>
      </c>
    </row>
    <row r="170" spans="1:22" x14ac:dyDescent="0.25">
      <c r="A170" t="s">
        <v>304</v>
      </c>
      <c r="B170" s="2">
        <v>46197</v>
      </c>
      <c r="C170" t="s">
        <v>64</v>
      </c>
      <c r="D170" t="s">
        <v>108</v>
      </c>
      <c r="E170" t="s">
        <v>66</v>
      </c>
      <c r="F170" t="s">
        <v>67</v>
      </c>
      <c r="G170" t="s">
        <v>35</v>
      </c>
      <c r="H170" t="s">
        <v>122</v>
      </c>
      <c r="I170">
        <v>5</v>
      </c>
      <c r="J170">
        <v>4</v>
      </c>
      <c r="K170">
        <v>20</v>
      </c>
      <c r="L170" t="s">
        <v>94</v>
      </c>
      <c r="M170" t="s">
        <v>83</v>
      </c>
      <c r="N170" t="s">
        <v>89</v>
      </c>
      <c r="O170">
        <v>4</v>
      </c>
      <c r="P170">
        <v>3</v>
      </c>
      <c r="Q170">
        <v>12</v>
      </c>
      <c r="R170" s="4" t="str">
        <f>IF(Table5[[#This Row],[Residual Risk Score]]&lt;Table5[[#This Row],[Initial Risk Score]],"Reduced","No Reduction")</f>
        <v>Reduced</v>
      </c>
      <c r="S170" t="s">
        <v>40</v>
      </c>
      <c r="T170" t="s">
        <v>43</v>
      </c>
      <c r="U170" t="s">
        <v>71</v>
      </c>
      <c r="V170" s="2">
        <v>46927</v>
      </c>
    </row>
    <row r="171" spans="1:22" x14ac:dyDescent="0.25">
      <c r="A171" t="s">
        <v>305</v>
      </c>
      <c r="B171" s="2">
        <v>46334</v>
      </c>
      <c r="C171" t="s">
        <v>64</v>
      </c>
      <c r="D171" t="s">
        <v>23</v>
      </c>
      <c r="E171" t="s">
        <v>91</v>
      </c>
      <c r="F171" t="s">
        <v>92</v>
      </c>
      <c r="G171" t="s">
        <v>35</v>
      </c>
      <c r="H171" t="s">
        <v>137</v>
      </c>
      <c r="I171">
        <v>2</v>
      </c>
      <c r="J171">
        <v>3</v>
      </c>
      <c r="K171">
        <v>6</v>
      </c>
      <c r="L171" t="s">
        <v>28</v>
      </c>
      <c r="M171" t="s">
        <v>41</v>
      </c>
      <c r="N171" t="s">
        <v>128</v>
      </c>
      <c r="O171">
        <v>1</v>
      </c>
      <c r="P171">
        <v>2</v>
      </c>
      <c r="Q171">
        <v>2</v>
      </c>
      <c r="R171" s="4" t="str">
        <f>IF(Table5[[#This Row],[Residual Risk Score]]&lt;Table5[[#This Row],[Initial Risk Score]],"Reduced","No Reduction")</f>
        <v>Reduced</v>
      </c>
      <c r="S171" t="s">
        <v>31</v>
      </c>
      <c r="T171" t="s">
        <v>43</v>
      </c>
      <c r="U171" t="s">
        <v>62</v>
      </c>
      <c r="V171" s="2">
        <v>47064</v>
      </c>
    </row>
    <row r="172" spans="1:22" x14ac:dyDescent="0.25">
      <c r="A172" t="s">
        <v>306</v>
      </c>
      <c r="B172" s="2">
        <v>46187</v>
      </c>
      <c r="C172" t="s">
        <v>73</v>
      </c>
      <c r="D172" t="s">
        <v>80</v>
      </c>
      <c r="E172" t="s">
        <v>75</v>
      </c>
      <c r="F172" t="s">
        <v>76</v>
      </c>
      <c r="G172" t="s">
        <v>73</v>
      </c>
      <c r="H172" t="s">
        <v>68</v>
      </c>
      <c r="I172">
        <v>2</v>
      </c>
      <c r="J172">
        <v>3</v>
      </c>
      <c r="K172">
        <v>6</v>
      </c>
      <c r="L172" t="s">
        <v>28</v>
      </c>
      <c r="M172" t="s">
        <v>50</v>
      </c>
      <c r="N172" t="s">
        <v>89</v>
      </c>
      <c r="O172">
        <v>1</v>
      </c>
      <c r="P172">
        <v>3</v>
      </c>
      <c r="Q172">
        <v>3</v>
      </c>
      <c r="R172" s="4" t="str">
        <f>IF(Table5[[#This Row],[Residual Risk Score]]&lt;Table5[[#This Row],[Initial Risk Score]],"Reduced","No Reduction")</f>
        <v>Reduced</v>
      </c>
      <c r="S172" t="s">
        <v>31</v>
      </c>
      <c r="T172" t="s">
        <v>61</v>
      </c>
      <c r="U172" t="s">
        <v>96</v>
      </c>
      <c r="V172" s="2">
        <v>46552</v>
      </c>
    </row>
    <row r="173" spans="1:22" x14ac:dyDescent="0.25">
      <c r="A173" t="s">
        <v>307</v>
      </c>
      <c r="B173" s="2">
        <v>45937</v>
      </c>
      <c r="C173" t="s">
        <v>85</v>
      </c>
      <c r="D173" t="s">
        <v>55</v>
      </c>
      <c r="E173" t="s">
        <v>140</v>
      </c>
      <c r="F173" t="s">
        <v>141</v>
      </c>
      <c r="G173" t="s">
        <v>142</v>
      </c>
      <c r="H173" t="s">
        <v>68</v>
      </c>
      <c r="I173">
        <v>2</v>
      </c>
      <c r="J173">
        <v>2</v>
      </c>
      <c r="K173">
        <v>4</v>
      </c>
      <c r="L173" t="s">
        <v>31</v>
      </c>
      <c r="M173" t="s">
        <v>69</v>
      </c>
      <c r="N173" t="s">
        <v>89</v>
      </c>
      <c r="O173">
        <v>1</v>
      </c>
      <c r="P173">
        <v>2</v>
      </c>
      <c r="Q173">
        <v>2</v>
      </c>
      <c r="R173" t="str">
        <f>IF(Table5[[#This Row],[Residual Risk Score]]&gt;Table5[[#This Row],[Initial Risk Score]],"NO Reduction","Reduced")</f>
        <v>Reduced</v>
      </c>
      <c r="S173" t="s">
        <v>31</v>
      </c>
      <c r="T173" t="s">
        <v>32</v>
      </c>
      <c r="U173" t="s">
        <v>71</v>
      </c>
      <c r="V173" s="2">
        <v>46117</v>
      </c>
    </row>
    <row r="174" spans="1:22" x14ac:dyDescent="0.25">
      <c r="A174" t="s">
        <v>308</v>
      </c>
      <c r="B174" s="2">
        <v>46172</v>
      </c>
      <c r="C174" t="s">
        <v>54</v>
      </c>
      <c r="D174" t="s">
        <v>74</v>
      </c>
      <c r="E174" t="s">
        <v>56</v>
      </c>
      <c r="F174" t="s">
        <v>57</v>
      </c>
      <c r="G174" t="s">
        <v>58</v>
      </c>
      <c r="H174" t="s">
        <v>209</v>
      </c>
      <c r="I174">
        <v>4</v>
      </c>
      <c r="J174">
        <v>3</v>
      </c>
      <c r="K174">
        <v>12</v>
      </c>
      <c r="L174" t="s">
        <v>40</v>
      </c>
      <c r="M174" t="s">
        <v>69</v>
      </c>
      <c r="N174" t="s">
        <v>70</v>
      </c>
      <c r="O174">
        <v>3</v>
      </c>
      <c r="P174">
        <v>3</v>
      </c>
      <c r="Q174">
        <v>9</v>
      </c>
      <c r="R174" s="4" t="str">
        <f>IF(Table5[[#This Row],[Residual Risk Score]]&lt;Table5[[#This Row],[Initial Risk Score]],"Reduced","No Reduction")</f>
        <v>Reduced</v>
      </c>
      <c r="S174" t="s">
        <v>28</v>
      </c>
      <c r="T174" t="s">
        <v>61</v>
      </c>
      <c r="U174" t="s">
        <v>96</v>
      </c>
      <c r="V174" s="2">
        <v>46537</v>
      </c>
    </row>
    <row r="175" spans="1:22" x14ac:dyDescent="0.25">
      <c r="A175" t="s">
        <v>309</v>
      </c>
      <c r="B175" s="2">
        <v>45816</v>
      </c>
      <c r="C175" t="s">
        <v>64</v>
      </c>
      <c r="D175" t="s">
        <v>23</v>
      </c>
      <c r="E175" t="s">
        <v>91</v>
      </c>
      <c r="F175" t="s">
        <v>92</v>
      </c>
      <c r="G175" t="s">
        <v>35</v>
      </c>
      <c r="H175" t="s">
        <v>93</v>
      </c>
      <c r="I175">
        <v>3</v>
      </c>
      <c r="J175">
        <v>2</v>
      </c>
      <c r="K175">
        <v>6</v>
      </c>
      <c r="L175" t="s">
        <v>28</v>
      </c>
      <c r="M175" t="s">
        <v>50</v>
      </c>
      <c r="N175" t="s">
        <v>30</v>
      </c>
      <c r="O175">
        <v>3</v>
      </c>
      <c r="P175">
        <v>2</v>
      </c>
      <c r="Q175">
        <v>6</v>
      </c>
      <c r="R175" t="str">
        <f>IF(Table5[[#This Row],[Residual Risk Score]]&gt;Table5[[#This Row],[Initial Risk Score]],"NO Reduction","Reduced")</f>
        <v>Reduced</v>
      </c>
      <c r="S175" t="s">
        <v>28</v>
      </c>
      <c r="T175" t="s">
        <v>61</v>
      </c>
      <c r="U175" t="s">
        <v>62</v>
      </c>
      <c r="V175" s="2">
        <v>46181</v>
      </c>
    </row>
    <row r="176" spans="1:22" x14ac:dyDescent="0.25">
      <c r="A176" t="s">
        <v>310</v>
      </c>
      <c r="B176" s="2">
        <v>45749</v>
      </c>
      <c r="C176" t="s">
        <v>22</v>
      </c>
      <c r="D176" t="s">
        <v>55</v>
      </c>
      <c r="E176" t="s">
        <v>24</v>
      </c>
      <c r="F176" t="s">
        <v>25</v>
      </c>
      <c r="G176" t="s">
        <v>26</v>
      </c>
      <c r="H176" t="s">
        <v>27</v>
      </c>
      <c r="I176">
        <v>4</v>
      </c>
      <c r="J176">
        <v>2</v>
      </c>
      <c r="K176">
        <v>8</v>
      </c>
      <c r="L176" t="s">
        <v>28</v>
      </c>
      <c r="M176" t="s">
        <v>41</v>
      </c>
      <c r="N176" t="s">
        <v>106</v>
      </c>
      <c r="O176">
        <v>3</v>
      </c>
      <c r="P176">
        <v>1</v>
      </c>
      <c r="Q176">
        <v>3</v>
      </c>
      <c r="R176" s="4" t="str">
        <f>IF(Table5[[#This Row],[Residual Risk Score]]&lt;Table5[[#This Row],[Initial Risk Score]],"Reduced","No Reduction")</f>
        <v>Reduced</v>
      </c>
      <c r="S176" t="s">
        <v>31</v>
      </c>
      <c r="T176" t="s">
        <v>61</v>
      </c>
      <c r="U176" t="s">
        <v>62</v>
      </c>
      <c r="V176" s="2">
        <v>46479</v>
      </c>
    </row>
    <row r="177" spans="1:22" x14ac:dyDescent="0.25">
      <c r="A177" t="s">
        <v>311</v>
      </c>
      <c r="B177" s="2">
        <v>45905</v>
      </c>
      <c r="C177" t="s">
        <v>108</v>
      </c>
      <c r="D177" t="s">
        <v>55</v>
      </c>
      <c r="E177" t="s">
        <v>162</v>
      </c>
      <c r="F177" t="s">
        <v>163</v>
      </c>
      <c r="G177" t="s">
        <v>164</v>
      </c>
      <c r="H177" t="s">
        <v>68</v>
      </c>
      <c r="I177">
        <v>3</v>
      </c>
      <c r="J177">
        <v>4</v>
      </c>
      <c r="K177">
        <v>12</v>
      </c>
      <c r="L177" t="s">
        <v>40</v>
      </c>
      <c r="M177" t="s">
        <v>101</v>
      </c>
      <c r="N177" t="s">
        <v>128</v>
      </c>
      <c r="O177">
        <v>2</v>
      </c>
      <c r="P177">
        <v>4</v>
      </c>
      <c r="Q177">
        <v>8</v>
      </c>
      <c r="R177" t="str">
        <f>IF(Table5[[#This Row],[Residual Risk Score]]&gt;Table5[[#This Row],[Initial Risk Score]],"NO Reduction","Reduced")</f>
        <v>Reduced</v>
      </c>
      <c r="S177" t="s">
        <v>28</v>
      </c>
      <c r="T177" t="s">
        <v>32</v>
      </c>
      <c r="U177" t="s">
        <v>96</v>
      </c>
      <c r="V177" s="2">
        <v>46085</v>
      </c>
    </row>
    <row r="178" spans="1:22" x14ac:dyDescent="0.25">
      <c r="A178" t="s">
        <v>312</v>
      </c>
      <c r="B178" s="2">
        <v>45914</v>
      </c>
      <c r="C178" t="s">
        <v>35</v>
      </c>
      <c r="D178" t="s">
        <v>98</v>
      </c>
      <c r="E178" t="s">
        <v>36</v>
      </c>
      <c r="F178" t="s">
        <v>37</v>
      </c>
      <c r="G178" t="s">
        <v>38</v>
      </c>
      <c r="H178" t="s">
        <v>113</v>
      </c>
      <c r="I178">
        <v>5</v>
      </c>
      <c r="J178">
        <v>4</v>
      </c>
      <c r="K178">
        <v>20</v>
      </c>
      <c r="L178" t="s">
        <v>94</v>
      </c>
      <c r="M178" t="s">
        <v>50</v>
      </c>
      <c r="N178" t="s">
        <v>89</v>
      </c>
      <c r="O178">
        <v>4</v>
      </c>
      <c r="P178">
        <v>4</v>
      </c>
      <c r="Q178">
        <v>16</v>
      </c>
      <c r="R178" t="str">
        <f>IF(Table5[[#This Row],[Residual Risk Score]]&gt;Table5[[#This Row],[Initial Risk Score]],"NO Reduction","Reduced")</f>
        <v>Reduced</v>
      </c>
      <c r="S178" t="s">
        <v>40</v>
      </c>
      <c r="T178" t="s">
        <v>43</v>
      </c>
      <c r="U178" t="s">
        <v>96</v>
      </c>
      <c r="V178" s="2">
        <v>46279</v>
      </c>
    </row>
    <row r="179" spans="1:22" x14ac:dyDescent="0.25">
      <c r="A179" t="s">
        <v>313</v>
      </c>
      <c r="B179" s="2">
        <v>45752</v>
      </c>
      <c r="C179" t="s">
        <v>85</v>
      </c>
      <c r="D179" t="s">
        <v>108</v>
      </c>
      <c r="E179" t="s">
        <v>140</v>
      </c>
      <c r="F179" t="s">
        <v>141</v>
      </c>
      <c r="G179" t="s">
        <v>142</v>
      </c>
      <c r="H179" t="s">
        <v>153</v>
      </c>
      <c r="I179">
        <v>5</v>
      </c>
      <c r="J179">
        <v>5</v>
      </c>
      <c r="K179">
        <v>25</v>
      </c>
      <c r="L179" t="s">
        <v>94</v>
      </c>
      <c r="M179" t="s">
        <v>78</v>
      </c>
      <c r="N179" t="s">
        <v>128</v>
      </c>
      <c r="O179">
        <v>4</v>
      </c>
      <c r="P179">
        <v>4</v>
      </c>
      <c r="Q179">
        <v>16</v>
      </c>
      <c r="R179" s="4" t="str">
        <f>IF(Table5[[#This Row],[Residual Risk Score]]&lt;Table5[[#This Row],[Initial Risk Score]],"Reduced","No Reduction")</f>
        <v>Reduced</v>
      </c>
      <c r="S179" t="s">
        <v>40</v>
      </c>
      <c r="T179" t="s">
        <v>43</v>
      </c>
      <c r="U179" t="s">
        <v>33</v>
      </c>
      <c r="V179" s="2">
        <v>46482</v>
      </c>
    </row>
    <row r="180" spans="1:22" x14ac:dyDescent="0.25">
      <c r="A180" t="s">
        <v>314</v>
      </c>
      <c r="B180" s="2">
        <v>46005</v>
      </c>
      <c r="C180" t="s">
        <v>54</v>
      </c>
      <c r="D180" t="s">
        <v>98</v>
      </c>
      <c r="E180" t="s">
        <v>56</v>
      </c>
      <c r="F180" t="s">
        <v>57</v>
      </c>
      <c r="G180" t="s">
        <v>58</v>
      </c>
      <c r="H180" t="s">
        <v>59</v>
      </c>
      <c r="I180">
        <v>3</v>
      </c>
      <c r="J180">
        <v>3</v>
      </c>
      <c r="K180">
        <v>9</v>
      </c>
      <c r="L180" t="s">
        <v>28</v>
      </c>
      <c r="M180" t="s">
        <v>41</v>
      </c>
      <c r="N180" t="s">
        <v>70</v>
      </c>
      <c r="O180">
        <v>2</v>
      </c>
      <c r="P180">
        <v>2</v>
      </c>
      <c r="Q180">
        <v>4</v>
      </c>
      <c r="R180" t="str">
        <f>IF(Table5[[#This Row],[Residual Risk Score]]&gt;Table5[[#This Row],[Initial Risk Score]],"NO Reduction","Reduced")</f>
        <v>Reduced</v>
      </c>
      <c r="S180" t="s">
        <v>31</v>
      </c>
      <c r="T180" t="s">
        <v>43</v>
      </c>
      <c r="U180" t="s">
        <v>52</v>
      </c>
      <c r="V180" s="2">
        <v>46370</v>
      </c>
    </row>
    <row r="181" spans="1:22" x14ac:dyDescent="0.25">
      <c r="A181" t="s">
        <v>315</v>
      </c>
      <c r="B181" s="2">
        <v>45790</v>
      </c>
      <c r="C181" t="s">
        <v>73</v>
      </c>
      <c r="D181" t="s">
        <v>74</v>
      </c>
      <c r="E181" t="s">
        <v>104</v>
      </c>
      <c r="F181" t="s">
        <v>105</v>
      </c>
      <c r="G181" t="s">
        <v>73</v>
      </c>
      <c r="H181" t="s">
        <v>68</v>
      </c>
      <c r="I181">
        <v>2</v>
      </c>
      <c r="J181">
        <v>4</v>
      </c>
      <c r="K181">
        <v>8</v>
      </c>
      <c r="L181" t="s">
        <v>28</v>
      </c>
      <c r="M181" t="s">
        <v>41</v>
      </c>
      <c r="N181" t="s">
        <v>30</v>
      </c>
      <c r="O181">
        <v>1</v>
      </c>
      <c r="P181">
        <v>4</v>
      </c>
      <c r="Q181">
        <v>4</v>
      </c>
      <c r="R181" t="str">
        <f>IF(Table5[[#This Row],[Residual Risk Score]]&gt;Table5[[#This Row],[Initial Risk Score]],"NO Reduction","Reduced")</f>
        <v>Reduced</v>
      </c>
      <c r="S181" t="s">
        <v>31</v>
      </c>
      <c r="T181" t="s">
        <v>43</v>
      </c>
      <c r="U181" t="s">
        <v>71</v>
      </c>
      <c r="V181" s="2">
        <v>46155</v>
      </c>
    </row>
    <row r="182" spans="1:22" x14ac:dyDescent="0.25">
      <c r="A182" t="s">
        <v>316</v>
      </c>
      <c r="B182" s="2">
        <v>45792</v>
      </c>
      <c r="C182" t="s">
        <v>85</v>
      </c>
      <c r="D182" t="s">
        <v>98</v>
      </c>
      <c r="E182" t="s">
        <v>230</v>
      </c>
      <c r="F182" t="s">
        <v>231</v>
      </c>
      <c r="G182" t="s">
        <v>232</v>
      </c>
      <c r="H182" t="s">
        <v>68</v>
      </c>
      <c r="I182">
        <v>2</v>
      </c>
      <c r="J182">
        <v>4</v>
      </c>
      <c r="K182">
        <v>8</v>
      </c>
      <c r="L182" t="s">
        <v>28</v>
      </c>
      <c r="M182" t="s">
        <v>95</v>
      </c>
      <c r="N182" t="s">
        <v>89</v>
      </c>
      <c r="O182">
        <v>1</v>
      </c>
      <c r="P182">
        <v>3</v>
      </c>
      <c r="Q182">
        <v>3</v>
      </c>
      <c r="R182" s="4" t="str">
        <f>IF(Table5[[#This Row],[Residual Risk Score]]&lt;Table5[[#This Row],[Initial Risk Score]],"Reduced","No Reduction")</f>
        <v>Reduced</v>
      </c>
      <c r="S182" t="s">
        <v>31</v>
      </c>
      <c r="T182" t="s">
        <v>32</v>
      </c>
      <c r="U182" t="s">
        <v>62</v>
      </c>
      <c r="V182" s="2">
        <v>46522</v>
      </c>
    </row>
    <row r="183" spans="1:22" x14ac:dyDescent="0.25">
      <c r="A183" t="s">
        <v>317</v>
      </c>
      <c r="B183" s="2">
        <v>45829</v>
      </c>
      <c r="C183" t="s">
        <v>64</v>
      </c>
      <c r="D183" t="s">
        <v>23</v>
      </c>
      <c r="E183" t="s">
        <v>91</v>
      </c>
      <c r="F183" t="s">
        <v>92</v>
      </c>
      <c r="G183" t="s">
        <v>35</v>
      </c>
      <c r="H183" t="s">
        <v>68</v>
      </c>
      <c r="I183">
        <v>3</v>
      </c>
      <c r="J183">
        <v>5</v>
      </c>
      <c r="K183">
        <v>15</v>
      </c>
      <c r="L183" t="s">
        <v>40</v>
      </c>
      <c r="M183" t="s">
        <v>41</v>
      </c>
      <c r="N183" t="s">
        <v>42</v>
      </c>
      <c r="O183">
        <v>1</v>
      </c>
      <c r="P183">
        <v>5</v>
      </c>
      <c r="Q183">
        <v>5</v>
      </c>
      <c r="R183" t="str">
        <f>IF(Table5[[#This Row],[Residual Risk Score]]&gt;Table5[[#This Row],[Initial Risk Score]],"NO Reduction","Reduced")</f>
        <v>Reduced</v>
      </c>
      <c r="S183" t="s">
        <v>28</v>
      </c>
      <c r="T183" t="s">
        <v>61</v>
      </c>
      <c r="U183" t="s">
        <v>71</v>
      </c>
      <c r="V183" s="2">
        <v>46194</v>
      </c>
    </row>
    <row r="184" spans="1:22" x14ac:dyDescent="0.25">
      <c r="A184" t="s">
        <v>318</v>
      </c>
      <c r="B184" s="2">
        <v>46345</v>
      </c>
      <c r="C184" t="s">
        <v>73</v>
      </c>
      <c r="D184" t="s">
        <v>23</v>
      </c>
      <c r="E184" t="s">
        <v>104</v>
      </c>
      <c r="F184" t="s">
        <v>105</v>
      </c>
      <c r="G184" t="s">
        <v>73</v>
      </c>
      <c r="H184" t="s">
        <v>116</v>
      </c>
      <c r="I184">
        <v>2</v>
      </c>
      <c r="J184">
        <v>2</v>
      </c>
      <c r="K184">
        <v>4</v>
      </c>
      <c r="L184" t="s">
        <v>31</v>
      </c>
      <c r="M184" t="s">
        <v>83</v>
      </c>
      <c r="N184" t="s">
        <v>60</v>
      </c>
      <c r="O184">
        <v>1</v>
      </c>
      <c r="P184">
        <v>1</v>
      </c>
      <c r="Q184">
        <v>1</v>
      </c>
      <c r="R184" s="4" t="str">
        <f>IF(Table5[[#This Row],[Residual Risk Score]]&lt;Table5[[#This Row],[Initial Risk Score]],"Reduced","No Reduction")</f>
        <v>Reduced</v>
      </c>
      <c r="S184" t="s">
        <v>31</v>
      </c>
      <c r="T184" t="s">
        <v>61</v>
      </c>
      <c r="U184" t="s">
        <v>62</v>
      </c>
      <c r="V184" s="2">
        <v>46525</v>
      </c>
    </row>
    <row r="185" spans="1:22" x14ac:dyDescent="0.25">
      <c r="A185" t="s">
        <v>319</v>
      </c>
      <c r="B185" s="2">
        <v>45770</v>
      </c>
      <c r="C185" t="s">
        <v>85</v>
      </c>
      <c r="D185" t="s">
        <v>23</v>
      </c>
      <c r="E185" t="s">
        <v>230</v>
      </c>
      <c r="F185" t="s">
        <v>231</v>
      </c>
      <c r="G185" t="s">
        <v>232</v>
      </c>
      <c r="H185" t="s">
        <v>233</v>
      </c>
      <c r="I185">
        <v>5</v>
      </c>
      <c r="J185">
        <v>4</v>
      </c>
      <c r="K185">
        <v>20</v>
      </c>
      <c r="L185" t="s">
        <v>94</v>
      </c>
      <c r="M185" t="s">
        <v>78</v>
      </c>
      <c r="N185" t="s">
        <v>89</v>
      </c>
      <c r="O185">
        <v>4</v>
      </c>
      <c r="P185">
        <v>4</v>
      </c>
      <c r="Q185">
        <v>16</v>
      </c>
      <c r="R185" t="str">
        <f>IF(Table5[[#This Row],[Residual Risk Score]]&gt;Table5[[#This Row],[Initial Risk Score]],"NO Reduction","Reduced")</f>
        <v>Reduced</v>
      </c>
      <c r="S185" t="s">
        <v>40</v>
      </c>
      <c r="T185" t="s">
        <v>43</v>
      </c>
      <c r="U185" t="s">
        <v>33</v>
      </c>
      <c r="V185" s="2">
        <v>46135</v>
      </c>
    </row>
    <row r="186" spans="1:22" x14ac:dyDescent="0.25">
      <c r="A186" t="s">
        <v>320</v>
      </c>
      <c r="B186" s="2">
        <v>46091</v>
      </c>
      <c r="C186" t="s">
        <v>85</v>
      </c>
      <c r="D186" t="s">
        <v>55</v>
      </c>
      <c r="E186" t="s">
        <v>86</v>
      </c>
      <c r="F186" t="s">
        <v>87</v>
      </c>
      <c r="G186" t="s">
        <v>48</v>
      </c>
      <c r="H186" t="s">
        <v>39</v>
      </c>
      <c r="I186">
        <v>2</v>
      </c>
      <c r="J186">
        <v>2</v>
      </c>
      <c r="K186">
        <v>4</v>
      </c>
      <c r="L186" t="s">
        <v>31</v>
      </c>
      <c r="M186" t="s">
        <v>50</v>
      </c>
      <c r="N186" t="s">
        <v>60</v>
      </c>
      <c r="O186">
        <v>1</v>
      </c>
      <c r="P186">
        <v>2</v>
      </c>
      <c r="Q186">
        <v>2</v>
      </c>
      <c r="R186" t="str">
        <f>IF(Table5[[#This Row],[Residual Risk Score]]&gt;Table5[[#This Row],[Initial Risk Score]],"NO Reduction","Reduced")</f>
        <v>Reduced</v>
      </c>
      <c r="S186" t="s">
        <v>31</v>
      </c>
      <c r="T186" t="s">
        <v>32</v>
      </c>
      <c r="U186" t="s">
        <v>96</v>
      </c>
      <c r="V186" s="2">
        <v>46271</v>
      </c>
    </row>
    <row r="187" spans="1:22" x14ac:dyDescent="0.25">
      <c r="A187" t="s">
        <v>321</v>
      </c>
      <c r="B187" s="2">
        <v>45959</v>
      </c>
      <c r="C187" t="s">
        <v>64</v>
      </c>
      <c r="D187" t="s">
        <v>65</v>
      </c>
      <c r="E187" t="s">
        <v>174</v>
      </c>
      <c r="F187" t="s">
        <v>175</v>
      </c>
      <c r="G187" t="s">
        <v>176</v>
      </c>
      <c r="H187" t="s">
        <v>201</v>
      </c>
      <c r="I187">
        <v>2</v>
      </c>
      <c r="J187">
        <v>4</v>
      </c>
      <c r="K187">
        <v>8</v>
      </c>
      <c r="L187" t="s">
        <v>28</v>
      </c>
      <c r="M187" t="s">
        <v>83</v>
      </c>
      <c r="N187" t="s">
        <v>89</v>
      </c>
      <c r="O187">
        <v>1</v>
      </c>
      <c r="P187">
        <v>4</v>
      </c>
      <c r="Q187">
        <v>4</v>
      </c>
      <c r="R187" t="str">
        <f>IF(Table5[[#This Row],[Residual Risk Score]]&gt;Table5[[#This Row],[Initial Risk Score]],"NO Reduction","Reduced")</f>
        <v>Reduced</v>
      </c>
      <c r="S187" t="s">
        <v>31</v>
      </c>
      <c r="T187" t="s">
        <v>32</v>
      </c>
      <c r="U187" t="s">
        <v>52</v>
      </c>
      <c r="V187" s="2">
        <v>46324</v>
      </c>
    </row>
    <row r="188" spans="1:22" x14ac:dyDescent="0.25">
      <c r="A188" t="s">
        <v>322</v>
      </c>
      <c r="B188" s="2">
        <v>46195</v>
      </c>
      <c r="C188" t="s">
        <v>22</v>
      </c>
      <c r="D188" t="s">
        <v>74</v>
      </c>
      <c r="E188" t="s">
        <v>135</v>
      </c>
      <c r="F188" t="s">
        <v>136</v>
      </c>
      <c r="G188" t="s">
        <v>35</v>
      </c>
      <c r="H188" t="s">
        <v>68</v>
      </c>
      <c r="I188">
        <v>2</v>
      </c>
      <c r="J188">
        <v>5</v>
      </c>
      <c r="K188">
        <v>10</v>
      </c>
      <c r="L188" t="s">
        <v>40</v>
      </c>
      <c r="M188" t="s">
        <v>83</v>
      </c>
      <c r="N188" t="s">
        <v>51</v>
      </c>
      <c r="O188">
        <v>2</v>
      </c>
      <c r="P188">
        <v>5</v>
      </c>
      <c r="Q188">
        <v>10</v>
      </c>
      <c r="R188" s="4" t="str">
        <f>IF(Table5[[#This Row],[Residual Risk Score]]&lt;Table5[[#This Row],[Initial Risk Score]],"Reduced","No Reduction")</f>
        <v>No Reduction</v>
      </c>
      <c r="S188" t="s">
        <v>40</v>
      </c>
      <c r="T188" t="s">
        <v>32</v>
      </c>
      <c r="U188" t="s">
        <v>33</v>
      </c>
      <c r="V188" s="2">
        <v>46925</v>
      </c>
    </row>
    <row r="189" spans="1:22" x14ac:dyDescent="0.25">
      <c r="A189" t="s">
        <v>323</v>
      </c>
      <c r="B189" s="2">
        <v>46101</v>
      </c>
      <c r="C189" t="s">
        <v>22</v>
      </c>
      <c r="D189" t="s">
        <v>80</v>
      </c>
      <c r="E189" t="s">
        <v>99</v>
      </c>
      <c r="F189" t="s">
        <v>100</v>
      </c>
      <c r="G189" t="s">
        <v>35</v>
      </c>
      <c r="H189" t="s">
        <v>137</v>
      </c>
      <c r="I189">
        <v>3</v>
      </c>
      <c r="J189">
        <v>3</v>
      </c>
      <c r="K189">
        <v>9</v>
      </c>
      <c r="L189" t="s">
        <v>28</v>
      </c>
      <c r="M189" t="s">
        <v>78</v>
      </c>
      <c r="N189" t="s">
        <v>70</v>
      </c>
      <c r="O189">
        <v>3</v>
      </c>
      <c r="P189">
        <v>3</v>
      </c>
      <c r="Q189">
        <v>9</v>
      </c>
      <c r="R189" s="4" t="str">
        <f>IF(Table5[[#This Row],[Residual Risk Score]]&lt;Table5[[#This Row],[Initial Risk Score]],"Reduced","No Reduction")</f>
        <v>No Reduction</v>
      </c>
      <c r="S189" t="s">
        <v>28</v>
      </c>
      <c r="T189" t="s">
        <v>43</v>
      </c>
      <c r="U189" t="s">
        <v>96</v>
      </c>
      <c r="V189" s="2">
        <v>46466</v>
      </c>
    </row>
    <row r="190" spans="1:22" x14ac:dyDescent="0.25">
      <c r="A190" t="s">
        <v>324</v>
      </c>
      <c r="B190" s="2">
        <v>45746</v>
      </c>
      <c r="C190" t="s">
        <v>35</v>
      </c>
      <c r="D190" t="s">
        <v>23</v>
      </c>
      <c r="E190" t="s">
        <v>36</v>
      </c>
      <c r="F190" t="s">
        <v>37</v>
      </c>
      <c r="G190" t="s">
        <v>38</v>
      </c>
      <c r="H190" t="s">
        <v>39</v>
      </c>
      <c r="I190">
        <v>3</v>
      </c>
      <c r="J190">
        <v>3</v>
      </c>
      <c r="K190">
        <v>9</v>
      </c>
      <c r="L190" t="s">
        <v>28</v>
      </c>
      <c r="M190" t="s">
        <v>69</v>
      </c>
      <c r="N190" t="s">
        <v>42</v>
      </c>
      <c r="O190">
        <v>2</v>
      </c>
      <c r="P190">
        <v>3</v>
      </c>
      <c r="Q190">
        <v>6</v>
      </c>
      <c r="R190" s="4" t="str">
        <f>IF(Table5[[#This Row],[Residual Risk Score]]&lt;Table5[[#This Row],[Initial Risk Score]],"Reduced","No Reduction")</f>
        <v>Reduced</v>
      </c>
      <c r="S190" t="s">
        <v>28</v>
      </c>
      <c r="T190" t="s">
        <v>43</v>
      </c>
      <c r="U190" t="s">
        <v>62</v>
      </c>
      <c r="V190" s="2">
        <v>46476</v>
      </c>
    </row>
    <row r="191" spans="1:22" x14ac:dyDescent="0.25">
      <c r="A191" t="s">
        <v>325</v>
      </c>
      <c r="B191" s="2">
        <v>46247</v>
      </c>
      <c r="C191" t="s">
        <v>54</v>
      </c>
      <c r="D191" t="s">
        <v>80</v>
      </c>
      <c r="E191" t="s">
        <v>56</v>
      </c>
      <c r="F191" t="s">
        <v>57</v>
      </c>
      <c r="G191" t="s">
        <v>58</v>
      </c>
      <c r="H191" t="s">
        <v>209</v>
      </c>
      <c r="I191">
        <v>5</v>
      </c>
      <c r="J191">
        <v>2</v>
      </c>
      <c r="K191">
        <v>10</v>
      </c>
      <c r="L191" t="s">
        <v>40</v>
      </c>
      <c r="M191" t="s">
        <v>78</v>
      </c>
      <c r="N191" t="s">
        <v>42</v>
      </c>
      <c r="O191">
        <v>4</v>
      </c>
      <c r="P191">
        <v>1</v>
      </c>
      <c r="Q191">
        <v>4</v>
      </c>
      <c r="R191" s="4" t="str">
        <f>IF(Table5[[#This Row],[Residual Risk Score]]&lt;Table5[[#This Row],[Initial Risk Score]],"Reduced","No Reduction")</f>
        <v>Reduced</v>
      </c>
      <c r="S191" t="s">
        <v>31</v>
      </c>
      <c r="T191" t="s">
        <v>32</v>
      </c>
      <c r="U191" t="s">
        <v>33</v>
      </c>
      <c r="V191" s="2">
        <v>46427</v>
      </c>
    </row>
    <row r="192" spans="1:22" x14ac:dyDescent="0.25">
      <c r="A192" t="s">
        <v>326</v>
      </c>
      <c r="B192" s="2">
        <v>46372</v>
      </c>
      <c r="C192" t="s">
        <v>64</v>
      </c>
      <c r="D192" t="s">
        <v>98</v>
      </c>
      <c r="E192" t="s">
        <v>91</v>
      </c>
      <c r="F192" t="s">
        <v>92</v>
      </c>
      <c r="G192" t="s">
        <v>35</v>
      </c>
      <c r="H192" t="s">
        <v>122</v>
      </c>
      <c r="I192">
        <v>4</v>
      </c>
      <c r="J192">
        <v>4</v>
      </c>
      <c r="K192">
        <v>16</v>
      </c>
      <c r="L192" t="s">
        <v>40</v>
      </c>
      <c r="M192" t="s">
        <v>69</v>
      </c>
      <c r="N192" t="s">
        <v>124</v>
      </c>
      <c r="O192">
        <v>4</v>
      </c>
      <c r="P192">
        <v>4</v>
      </c>
      <c r="Q192">
        <v>16</v>
      </c>
      <c r="R192" s="4" t="str">
        <f>IF(Table5[[#This Row],[Residual Risk Score]]&lt;Table5[[#This Row],[Initial Risk Score]],"Reduced","No Reduction")</f>
        <v>No Reduction</v>
      </c>
      <c r="S192" t="s">
        <v>40</v>
      </c>
      <c r="T192" t="s">
        <v>32</v>
      </c>
      <c r="U192" t="s">
        <v>96</v>
      </c>
      <c r="V192" s="2">
        <v>47102</v>
      </c>
    </row>
    <row r="193" spans="1:22" x14ac:dyDescent="0.25">
      <c r="A193" t="s">
        <v>327</v>
      </c>
      <c r="B193" s="2">
        <v>46132</v>
      </c>
      <c r="C193" t="s">
        <v>85</v>
      </c>
      <c r="D193" t="s">
        <v>23</v>
      </c>
      <c r="E193" t="s">
        <v>86</v>
      </c>
      <c r="F193" t="s">
        <v>87</v>
      </c>
      <c r="G193" t="s">
        <v>48</v>
      </c>
      <c r="H193" t="s">
        <v>88</v>
      </c>
      <c r="I193">
        <v>5</v>
      </c>
      <c r="J193">
        <v>4</v>
      </c>
      <c r="K193">
        <v>20</v>
      </c>
      <c r="L193" t="s">
        <v>94</v>
      </c>
      <c r="M193" t="s">
        <v>83</v>
      </c>
      <c r="N193" t="s">
        <v>102</v>
      </c>
      <c r="O193">
        <v>5</v>
      </c>
      <c r="P193">
        <v>4</v>
      </c>
      <c r="Q193">
        <v>20</v>
      </c>
      <c r="R193" s="4" t="str">
        <f>IF(Table5[[#This Row],[Residual Risk Score]]&lt;Table5[[#This Row],[Initial Risk Score]],"Reduced","No Reduction")</f>
        <v>No Reduction</v>
      </c>
      <c r="S193" t="s">
        <v>94</v>
      </c>
      <c r="T193" t="s">
        <v>43</v>
      </c>
      <c r="U193" t="s">
        <v>96</v>
      </c>
      <c r="V193" s="2">
        <v>46497</v>
      </c>
    </row>
    <row r="194" spans="1:22" x14ac:dyDescent="0.25">
      <c r="A194" t="s">
        <v>328</v>
      </c>
      <c r="B194" s="2">
        <v>45763</v>
      </c>
      <c r="C194" t="s">
        <v>22</v>
      </c>
      <c r="D194" t="s">
        <v>98</v>
      </c>
      <c r="E194" t="s">
        <v>135</v>
      </c>
      <c r="F194" t="s">
        <v>136</v>
      </c>
      <c r="G194" t="s">
        <v>35</v>
      </c>
      <c r="H194" t="s">
        <v>137</v>
      </c>
      <c r="I194">
        <v>3</v>
      </c>
      <c r="J194">
        <v>4</v>
      </c>
      <c r="K194">
        <v>12</v>
      </c>
      <c r="L194" t="s">
        <v>40</v>
      </c>
      <c r="M194" t="s">
        <v>69</v>
      </c>
      <c r="N194" t="s">
        <v>51</v>
      </c>
      <c r="O194">
        <v>2</v>
      </c>
      <c r="P194">
        <v>4</v>
      </c>
      <c r="Q194">
        <v>8</v>
      </c>
      <c r="R194" t="str">
        <f>IF(Table5[[#This Row],[Residual Risk Score]]&gt;Table5[[#This Row],[Initial Risk Score]],"NO Reduction","Reduced")</f>
        <v>Reduced</v>
      </c>
      <c r="S194" t="s">
        <v>28</v>
      </c>
      <c r="T194" t="s">
        <v>43</v>
      </c>
      <c r="U194" t="s">
        <v>52</v>
      </c>
      <c r="V194" s="2">
        <v>45943</v>
      </c>
    </row>
    <row r="195" spans="1:22" x14ac:dyDescent="0.25">
      <c r="A195" t="s">
        <v>329</v>
      </c>
      <c r="B195" s="2">
        <v>45828</v>
      </c>
      <c r="C195" t="s">
        <v>64</v>
      </c>
      <c r="D195" t="s">
        <v>65</v>
      </c>
      <c r="E195" t="s">
        <v>66</v>
      </c>
      <c r="F195" t="s">
        <v>67</v>
      </c>
      <c r="G195" t="s">
        <v>35</v>
      </c>
      <c r="H195" t="s">
        <v>93</v>
      </c>
      <c r="I195">
        <v>4</v>
      </c>
      <c r="J195">
        <v>2</v>
      </c>
      <c r="K195">
        <v>8</v>
      </c>
      <c r="L195" t="s">
        <v>28</v>
      </c>
      <c r="M195" t="s">
        <v>41</v>
      </c>
      <c r="N195" t="s">
        <v>106</v>
      </c>
      <c r="O195">
        <v>3</v>
      </c>
      <c r="P195">
        <v>2</v>
      </c>
      <c r="Q195">
        <v>6</v>
      </c>
      <c r="R195" t="str">
        <f>IF(Table5[[#This Row],[Residual Risk Score]]&gt;Table5[[#This Row],[Initial Risk Score]],"NO Reduction","Reduced")</f>
        <v>Reduced</v>
      </c>
      <c r="S195" t="s">
        <v>28</v>
      </c>
      <c r="T195" t="s">
        <v>32</v>
      </c>
      <c r="U195" t="s">
        <v>33</v>
      </c>
      <c r="V195" s="2">
        <v>46193</v>
      </c>
    </row>
    <row r="196" spans="1:22" x14ac:dyDescent="0.25">
      <c r="A196" t="s">
        <v>330</v>
      </c>
      <c r="B196" s="2">
        <v>45982</v>
      </c>
      <c r="C196" t="s">
        <v>54</v>
      </c>
      <c r="D196" t="s">
        <v>23</v>
      </c>
      <c r="E196" t="s">
        <v>56</v>
      </c>
      <c r="F196" t="s">
        <v>57</v>
      </c>
      <c r="G196" t="s">
        <v>58</v>
      </c>
      <c r="H196" t="s">
        <v>59</v>
      </c>
      <c r="I196">
        <v>2</v>
      </c>
      <c r="J196">
        <v>2</v>
      </c>
      <c r="K196">
        <v>4</v>
      </c>
      <c r="L196" t="s">
        <v>31</v>
      </c>
      <c r="M196" t="s">
        <v>78</v>
      </c>
      <c r="N196" t="s">
        <v>106</v>
      </c>
      <c r="O196">
        <v>2</v>
      </c>
      <c r="P196">
        <v>1</v>
      </c>
      <c r="Q196">
        <v>2</v>
      </c>
      <c r="R196" t="str">
        <f>IF(Table5[[#This Row],[Residual Risk Score]]&gt;Table5[[#This Row],[Initial Risk Score]],"NO Reduction","Reduced")</f>
        <v>Reduced</v>
      </c>
      <c r="S196" t="s">
        <v>31</v>
      </c>
      <c r="T196" t="s">
        <v>61</v>
      </c>
      <c r="U196" t="s">
        <v>33</v>
      </c>
      <c r="V196" s="2">
        <v>46347</v>
      </c>
    </row>
    <row r="197" spans="1:22" x14ac:dyDescent="0.25">
      <c r="A197" t="s">
        <v>331</v>
      </c>
      <c r="B197" s="2">
        <v>45797</v>
      </c>
      <c r="C197" t="s">
        <v>22</v>
      </c>
      <c r="D197" t="s">
        <v>65</v>
      </c>
      <c r="E197" t="s">
        <v>99</v>
      </c>
      <c r="F197" t="s">
        <v>100</v>
      </c>
      <c r="G197" t="s">
        <v>35</v>
      </c>
      <c r="H197" t="s">
        <v>68</v>
      </c>
      <c r="I197">
        <v>4</v>
      </c>
      <c r="J197">
        <v>2</v>
      </c>
      <c r="K197">
        <v>8</v>
      </c>
      <c r="L197" t="s">
        <v>28</v>
      </c>
      <c r="M197" t="s">
        <v>78</v>
      </c>
      <c r="N197" t="s">
        <v>42</v>
      </c>
      <c r="O197">
        <v>2</v>
      </c>
      <c r="P197">
        <v>1</v>
      </c>
      <c r="Q197">
        <v>2</v>
      </c>
      <c r="R197" t="str">
        <f>IF(Table5[[#This Row],[Residual Risk Score]]&gt;Table5[[#This Row],[Initial Risk Score]],"NO Reduction","Reduced")</f>
        <v>Reduced</v>
      </c>
      <c r="S197" t="s">
        <v>31</v>
      </c>
      <c r="T197" t="s">
        <v>43</v>
      </c>
      <c r="U197" t="s">
        <v>96</v>
      </c>
      <c r="V197" s="2">
        <v>46162</v>
      </c>
    </row>
    <row r="198" spans="1:22" x14ac:dyDescent="0.25">
      <c r="A198" t="s">
        <v>332</v>
      </c>
      <c r="B198" s="2">
        <v>46249</v>
      </c>
      <c r="C198" t="s">
        <v>22</v>
      </c>
      <c r="D198" t="s">
        <v>98</v>
      </c>
      <c r="E198" t="s">
        <v>24</v>
      </c>
      <c r="F198" t="s">
        <v>25</v>
      </c>
      <c r="G198" t="s">
        <v>26</v>
      </c>
      <c r="H198" t="s">
        <v>223</v>
      </c>
      <c r="I198">
        <v>5</v>
      </c>
      <c r="J198">
        <v>2</v>
      </c>
      <c r="K198">
        <v>10</v>
      </c>
      <c r="L198" t="s">
        <v>40</v>
      </c>
      <c r="M198" t="s">
        <v>101</v>
      </c>
      <c r="N198" t="s">
        <v>30</v>
      </c>
      <c r="O198">
        <v>5</v>
      </c>
      <c r="P198">
        <v>1</v>
      </c>
      <c r="Q198">
        <v>5</v>
      </c>
      <c r="R198" s="4" t="str">
        <f>IF(Table5[[#This Row],[Residual Risk Score]]&lt;Table5[[#This Row],[Initial Risk Score]],"Reduced","No Reduction")</f>
        <v>Reduced</v>
      </c>
      <c r="S198" t="s">
        <v>28</v>
      </c>
      <c r="T198" t="s">
        <v>43</v>
      </c>
      <c r="U198" t="s">
        <v>62</v>
      </c>
      <c r="V198" s="2">
        <v>46429</v>
      </c>
    </row>
    <row r="199" spans="1:22" x14ac:dyDescent="0.25">
      <c r="A199" t="s">
        <v>333</v>
      </c>
      <c r="B199" s="2">
        <v>46044</v>
      </c>
      <c r="C199" t="s">
        <v>64</v>
      </c>
      <c r="D199" t="s">
        <v>65</v>
      </c>
      <c r="E199" t="s">
        <v>174</v>
      </c>
      <c r="F199" t="s">
        <v>175</v>
      </c>
      <c r="G199" t="s">
        <v>176</v>
      </c>
      <c r="H199" t="s">
        <v>201</v>
      </c>
      <c r="I199">
        <v>4</v>
      </c>
      <c r="J199">
        <v>4</v>
      </c>
      <c r="K199">
        <v>16</v>
      </c>
      <c r="L199" t="s">
        <v>40</v>
      </c>
      <c r="M199" t="s">
        <v>95</v>
      </c>
      <c r="N199" t="s">
        <v>124</v>
      </c>
      <c r="O199">
        <v>3</v>
      </c>
      <c r="P199">
        <v>3</v>
      </c>
      <c r="Q199">
        <v>9</v>
      </c>
      <c r="R199" s="4" t="str">
        <f>IF(Table5[[#This Row],[Residual Risk Score]]&lt;Table5[[#This Row],[Initial Risk Score]],"Reduced","No Reduction")</f>
        <v>Reduced</v>
      </c>
      <c r="S199" t="s">
        <v>28</v>
      </c>
      <c r="T199" t="s">
        <v>43</v>
      </c>
      <c r="U199" t="s">
        <v>62</v>
      </c>
      <c r="V199" s="2">
        <v>46409</v>
      </c>
    </row>
    <row r="200" spans="1:22" x14ac:dyDescent="0.25">
      <c r="A200" t="s">
        <v>334</v>
      </c>
      <c r="B200" s="2">
        <v>46124</v>
      </c>
      <c r="C200" t="s">
        <v>85</v>
      </c>
      <c r="D200" t="s">
        <v>108</v>
      </c>
      <c r="E200" t="s">
        <v>140</v>
      </c>
      <c r="F200" t="s">
        <v>141</v>
      </c>
      <c r="G200" t="s">
        <v>142</v>
      </c>
      <c r="H200" t="s">
        <v>153</v>
      </c>
      <c r="I200">
        <v>2</v>
      </c>
      <c r="J200">
        <v>2</v>
      </c>
      <c r="K200">
        <v>4</v>
      </c>
      <c r="L200" t="s">
        <v>31</v>
      </c>
      <c r="M200" t="s">
        <v>83</v>
      </c>
      <c r="N200" t="s">
        <v>60</v>
      </c>
      <c r="O200">
        <v>1</v>
      </c>
      <c r="P200">
        <v>1</v>
      </c>
      <c r="Q200">
        <v>1</v>
      </c>
      <c r="R200" t="str">
        <f>IF(Table5[[#This Row],[Residual Risk Score]]&gt;Table5[[#This Row],[Initial Risk Score]],"NO Reduction","Reduced")</f>
        <v>Reduced</v>
      </c>
      <c r="S200" t="s">
        <v>31</v>
      </c>
      <c r="T200" t="s">
        <v>43</v>
      </c>
      <c r="U200" t="s">
        <v>33</v>
      </c>
      <c r="V200" s="2">
        <v>46304</v>
      </c>
    </row>
    <row r="201" spans="1:22" x14ac:dyDescent="0.25">
      <c r="A201" t="s">
        <v>335</v>
      </c>
      <c r="B201" s="2">
        <v>45781</v>
      </c>
      <c r="C201" t="s">
        <v>85</v>
      </c>
      <c r="D201" t="s">
        <v>55</v>
      </c>
      <c r="E201" t="s">
        <v>230</v>
      </c>
      <c r="F201" t="s">
        <v>231</v>
      </c>
      <c r="G201" t="s">
        <v>232</v>
      </c>
      <c r="H201" t="s">
        <v>233</v>
      </c>
      <c r="I201">
        <v>2</v>
      </c>
      <c r="J201">
        <v>2</v>
      </c>
      <c r="K201">
        <v>4</v>
      </c>
      <c r="L201" t="s">
        <v>31</v>
      </c>
      <c r="M201" t="s">
        <v>41</v>
      </c>
      <c r="N201" t="s">
        <v>60</v>
      </c>
      <c r="O201">
        <v>1</v>
      </c>
      <c r="P201">
        <v>2</v>
      </c>
      <c r="Q201">
        <v>2</v>
      </c>
      <c r="R201" t="str">
        <f>IF(Table5[[#This Row],[Residual Risk Score]]&gt;Table5[[#This Row],[Initial Risk Score]],"NO Reduction","Reduced")</f>
        <v>Reduced</v>
      </c>
      <c r="S201" t="s">
        <v>31</v>
      </c>
      <c r="T201" t="s">
        <v>32</v>
      </c>
      <c r="U201" t="s">
        <v>62</v>
      </c>
      <c r="V201" s="2">
        <v>46146</v>
      </c>
    </row>
    <row r="202" spans="1:22" x14ac:dyDescent="0.25">
      <c r="A202" t="s">
        <v>336</v>
      </c>
      <c r="B202" s="2">
        <v>45983</v>
      </c>
      <c r="C202" t="s">
        <v>35</v>
      </c>
      <c r="D202" t="s">
        <v>65</v>
      </c>
      <c r="E202" t="s">
        <v>36</v>
      </c>
      <c r="F202" t="s">
        <v>37</v>
      </c>
      <c r="G202" t="s">
        <v>38</v>
      </c>
      <c r="H202" t="s">
        <v>116</v>
      </c>
      <c r="I202">
        <v>5</v>
      </c>
      <c r="J202">
        <v>2</v>
      </c>
      <c r="K202">
        <v>10</v>
      </c>
      <c r="L202" t="s">
        <v>40</v>
      </c>
      <c r="M202" t="s">
        <v>101</v>
      </c>
      <c r="N202" t="s">
        <v>51</v>
      </c>
      <c r="O202">
        <v>4</v>
      </c>
      <c r="P202">
        <v>2</v>
      </c>
      <c r="Q202">
        <v>8</v>
      </c>
      <c r="R202" s="4" t="str">
        <f>IF(Table5[[#This Row],[Residual Risk Score]]&lt;Table5[[#This Row],[Initial Risk Score]],"Reduced","No Reduction")</f>
        <v>Reduced</v>
      </c>
      <c r="S202" t="s">
        <v>28</v>
      </c>
      <c r="T202" t="s">
        <v>32</v>
      </c>
      <c r="U202" t="s">
        <v>71</v>
      </c>
      <c r="V202" s="2">
        <v>46713</v>
      </c>
    </row>
    <row r="203" spans="1:22" x14ac:dyDescent="0.25">
      <c r="A203" t="s">
        <v>337</v>
      </c>
      <c r="B203" s="2">
        <v>45751</v>
      </c>
      <c r="C203" t="s">
        <v>108</v>
      </c>
      <c r="D203" t="s">
        <v>108</v>
      </c>
      <c r="E203" t="s">
        <v>162</v>
      </c>
      <c r="F203" t="s">
        <v>163</v>
      </c>
      <c r="G203" t="s">
        <v>164</v>
      </c>
      <c r="H203" t="s">
        <v>219</v>
      </c>
      <c r="I203">
        <v>4</v>
      </c>
      <c r="J203">
        <v>3</v>
      </c>
      <c r="K203">
        <v>12</v>
      </c>
      <c r="L203" t="s">
        <v>40</v>
      </c>
      <c r="M203" t="s">
        <v>83</v>
      </c>
      <c r="N203" t="s">
        <v>89</v>
      </c>
      <c r="O203">
        <v>2</v>
      </c>
      <c r="P203">
        <v>2</v>
      </c>
      <c r="Q203">
        <v>4</v>
      </c>
      <c r="R203" t="str">
        <f>IF(Table5[[#This Row],[Residual Risk Score]]&gt;Table5[[#This Row],[Initial Risk Score]],"NO Reduction","Reduced")</f>
        <v>Reduced</v>
      </c>
      <c r="S203" t="s">
        <v>31</v>
      </c>
      <c r="T203" t="s">
        <v>61</v>
      </c>
      <c r="U203" t="s">
        <v>52</v>
      </c>
      <c r="V203" s="2">
        <v>45931</v>
      </c>
    </row>
    <row r="204" spans="1:22" x14ac:dyDescent="0.25">
      <c r="A204" t="s">
        <v>338</v>
      </c>
      <c r="B204" s="2">
        <v>46351</v>
      </c>
      <c r="C204" t="s">
        <v>22</v>
      </c>
      <c r="D204" t="s">
        <v>23</v>
      </c>
      <c r="E204" t="s">
        <v>135</v>
      </c>
      <c r="F204" t="s">
        <v>136</v>
      </c>
      <c r="G204" t="s">
        <v>35</v>
      </c>
      <c r="H204" t="s">
        <v>122</v>
      </c>
      <c r="I204">
        <v>5</v>
      </c>
      <c r="J204">
        <v>2</v>
      </c>
      <c r="K204">
        <v>10</v>
      </c>
      <c r="L204" t="s">
        <v>40</v>
      </c>
      <c r="M204" t="s">
        <v>78</v>
      </c>
      <c r="N204" t="s">
        <v>89</v>
      </c>
      <c r="O204">
        <v>4</v>
      </c>
      <c r="P204">
        <v>2</v>
      </c>
      <c r="Q204">
        <v>8</v>
      </c>
      <c r="R204" s="4" t="str">
        <f>IF(Table5[[#This Row],[Residual Risk Score]]&lt;Table5[[#This Row],[Initial Risk Score]],"Reduced","No Reduction")</f>
        <v>Reduced</v>
      </c>
      <c r="S204" t="s">
        <v>28</v>
      </c>
      <c r="T204" t="s">
        <v>32</v>
      </c>
      <c r="U204" t="s">
        <v>71</v>
      </c>
      <c r="V204" s="2">
        <v>46716</v>
      </c>
    </row>
    <row r="205" spans="1:22" x14ac:dyDescent="0.25">
      <c r="A205" t="s">
        <v>339</v>
      </c>
      <c r="B205" s="2">
        <v>46114</v>
      </c>
      <c r="C205" t="s">
        <v>64</v>
      </c>
      <c r="D205" t="s">
        <v>65</v>
      </c>
      <c r="E205" t="s">
        <v>174</v>
      </c>
      <c r="F205" t="s">
        <v>175</v>
      </c>
      <c r="G205" t="s">
        <v>176</v>
      </c>
      <c r="H205" t="s">
        <v>177</v>
      </c>
      <c r="I205">
        <v>5</v>
      </c>
      <c r="J205">
        <v>3</v>
      </c>
      <c r="K205">
        <v>15</v>
      </c>
      <c r="L205" t="s">
        <v>40</v>
      </c>
      <c r="M205" t="s">
        <v>29</v>
      </c>
      <c r="N205" t="s">
        <v>60</v>
      </c>
      <c r="O205">
        <v>4</v>
      </c>
      <c r="P205">
        <v>3</v>
      </c>
      <c r="Q205">
        <v>12</v>
      </c>
      <c r="R205" s="4" t="str">
        <f>IF(Table5[[#This Row],[Residual Risk Score]]&lt;Table5[[#This Row],[Initial Risk Score]],"Reduced","No Reduction")</f>
        <v>Reduced</v>
      </c>
      <c r="S205" t="s">
        <v>40</v>
      </c>
      <c r="T205" t="s">
        <v>43</v>
      </c>
      <c r="U205" t="s">
        <v>96</v>
      </c>
      <c r="V205" s="2">
        <v>46844</v>
      </c>
    </row>
    <row r="206" spans="1:22" x14ac:dyDescent="0.25">
      <c r="A206" t="s">
        <v>340</v>
      </c>
      <c r="B206" s="2">
        <v>45894</v>
      </c>
      <c r="C206" t="s">
        <v>45</v>
      </c>
      <c r="D206" t="s">
        <v>23</v>
      </c>
      <c r="E206" t="s">
        <v>46</v>
      </c>
      <c r="F206" t="s">
        <v>47</v>
      </c>
      <c r="G206" t="s">
        <v>48</v>
      </c>
      <c r="H206" t="s">
        <v>88</v>
      </c>
      <c r="I206">
        <v>3</v>
      </c>
      <c r="J206">
        <v>2</v>
      </c>
      <c r="K206">
        <v>6</v>
      </c>
      <c r="L206" t="s">
        <v>28</v>
      </c>
      <c r="M206" t="s">
        <v>95</v>
      </c>
      <c r="N206" t="s">
        <v>60</v>
      </c>
      <c r="O206">
        <v>2</v>
      </c>
      <c r="P206">
        <v>2</v>
      </c>
      <c r="Q206">
        <v>4</v>
      </c>
      <c r="R206" s="4" t="str">
        <f>IF(Table5[[#This Row],[Residual Risk Score]]&lt;Table5[[#This Row],[Initial Risk Score]],"Reduced","No Reduction")</f>
        <v>Reduced</v>
      </c>
      <c r="S206" t="s">
        <v>31</v>
      </c>
      <c r="T206" t="s">
        <v>43</v>
      </c>
      <c r="U206" t="s">
        <v>52</v>
      </c>
      <c r="V206" s="2">
        <v>46624</v>
      </c>
    </row>
    <row r="207" spans="1:22" x14ac:dyDescent="0.25">
      <c r="A207" t="s">
        <v>341</v>
      </c>
      <c r="B207" s="2">
        <v>45920</v>
      </c>
      <c r="C207" t="s">
        <v>22</v>
      </c>
      <c r="D207" t="s">
        <v>65</v>
      </c>
      <c r="E207" t="s">
        <v>81</v>
      </c>
      <c r="F207" t="s">
        <v>82</v>
      </c>
      <c r="G207" t="s">
        <v>81</v>
      </c>
      <c r="H207" t="s">
        <v>127</v>
      </c>
      <c r="I207">
        <v>4</v>
      </c>
      <c r="J207">
        <v>4</v>
      </c>
      <c r="K207">
        <v>16</v>
      </c>
      <c r="L207" t="s">
        <v>40</v>
      </c>
      <c r="M207" t="s">
        <v>69</v>
      </c>
      <c r="N207" t="s">
        <v>30</v>
      </c>
      <c r="O207">
        <v>3</v>
      </c>
      <c r="P207">
        <v>3</v>
      </c>
      <c r="Q207">
        <v>9</v>
      </c>
      <c r="R207" t="str">
        <f>IF(Table5[[#This Row],[Residual Risk Score]]&gt;Table5[[#This Row],[Initial Risk Score]],"NO Reduction","Reduced")</f>
        <v>Reduced</v>
      </c>
      <c r="S207" t="s">
        <v>28</v>
      </c>
      <c r="T207" t="s">
        <v>32</v>
      </c>
      <c r="U207" t="s">
        <v>52</v>
      </c>
      <c r="V207" s="2">
        <v>46100</v>
      </c>
    </row>
    <row r="208" spans="1:22" x14ac:dyDescent="0.25">
      <c r="A208" t="s">
        <v>342</v>
      </c>
      <c r="B208" s="2">
        <v>45803</v>
      </c>
      <c r="C208" t="s">
        <v>45</v>
      </c>
      <c r="D208" t="s">
        <v>74</v>
      </c>
      <c r="E208" t="s">
        <v>46</v>
      </c>
      <c r="F208" t="s">
        <v>47</v>
      </c>
      <c r="G208" t="s">
        <v>48</v>
      </c>
      <c r="H208" t="s">
        <v>88</v>
      </c>
      <c r="I208">
        <v>4</v>
      </c>
      <c r="J208">
        <v>4</v>
      </c>
      <c r="K208">
        <v>16</v>
      </c>
      <c r="L208" t="s">
        <v>40</v>
      </c>
      <c r="M208" t="s">
        <v>69</v>
      </c>
      <c r="N208" t="s">
        <v>124</v>
      </c>
      <c r="O208">
        <v>3</v>
      </c>
      <c r="P208">
        <v>3</v>
      </c>
      <c r="Q208">
        <v>9</v>
      </c>
      <c r="R208" t="str">
        <f>IF(Table5[[#This Row],[Residual Risk Score]]&gt;Table5[[#This Row],[Initial Risk Score]],"NO Reduction","Reduced")</f>
        <v>Reduced</v>
      </c>
      <c r="S208" t="s">
        <v>28</v>
      </c>
      <c r="T208" t="s">
        <v>32</v>
      </c>
      <c r="U208" t="s">
        <v>52</v>
      </c>
      <c r="V208" s="2">
        <v>46168</v>
      </c>
    </row>
    <row r="209" spans="1:22" x14ac:dyDescent="0.25">
      <c r="A209" t="s">
        <v>343</v>
      </c>
      <c r="B209" s="2">
        <v>45720</v>
      </c>
      <c r="C209" t="s">
        <v>85</v>
      </c>
      <c r="D209" t="s">
        <v>80</v>
      </c>
      <c r="E209" t="s">
        <v>140</v>
      </c>
      <c r="F209" t="s">
        <v>141</v>
      </c>
      <c r="G209" t="s">
        <v>142</v>
      </c>
      <c r="H209" t="s">
        <v>143</v>
      </c>
      <c r="I209">
        <v>4</v>
      </c>
      <c r="J209">
        <v>2</v>
      </c>
      <c r="K209">
        <v>8</v>
      </c>
      <c r="L209" t="s">
        <v>28</v>
      </c>
      <c r="M209" t="s">
        <v>78</v>
      </c>
      <c r="N209" t="s">
        <v>106</v>
      </c>
      <c r="O209">
        <v>3</v>
      </c>
      <c r="P209">
        <v>2</v>
      </c>
      <c r="Q209">
        <v>6</v>
      </c>
      <c r="R209" s="4" t="str">
        <f>IF(Table5[[#This Row],[Residual Risk Score]]&lt;Table5[[#This Row],[Initial Risk Score]],"Reduced","No Reduction")</f>
        <v>Reduced</v>
      </c>
      <c r="S209" t="s">
        <v>28</v>
      </c>
      <c r="T209" t="s">
        <v>43</v>
      </c>
      <c r="U209" t="s">
        <v>62</v>
      </c>
      <c r="V209" s="2">
        <v>46450</v>
      </c>
    </row>
    <row r="210" spans="1:22" x14ac:dyDescent="0.25">
      <c r="A210" t="s">
        <v>344</v>
      </c>
      <c r="B210" s="2">
        <v>45763</v>
      </c>
      <c r="C210" t="s">
        <v>85</v>
      </c>
      <c r="D210" t="s">
        <v>74</v>
      </c>
      <c r="E210" t="s">
        <v>140</v>
      </c>
      <c r="F210" t="s">
        <v>141</v>
      </c>
      <c r="G210" t="s">
        <v>142</v>
      </c>
      <c r="H210" t="s">
        <v>153</v>
      </c>
      <c r="I210">
        <v>5</v>
      </c>
      <c r="J210">
        <v>2</v>
      </c>
      <c r="K210">
        <v>10</v>
      </c>
      <c r="L210" t="s">
        <v>40</v>
      </c>
      <c r="M210" t="s">
        <v>83</v>
      </c>
      <c r="N210" t="s">
        <v>51</v>
      </c>
      <c r="O210">
        <v>4</v>
      </c>
      <c r="P210">
        <v>2</v>
      </c>
      <c r="Q210">
        <v>8</v>
      </c>
      <c r="R210" t="str">
        <f>IF(Table5[[#This Row],[Residual Risk Score]]&gt;Table5[[#This Row],[Initial Risk Score]],"NO Reduction","Reduced")</f>
        <v>Reduced</v>
      </c>
      <c r="S210" t="s">
        <v>28</v>
      </c>
      <c r="T210" t="s">
        <v>43</v>
      </c>
      <c r="U210" t="s">
        <v>96</v>
      </c>
      <c r="V210" s="2">
        <v>46128</v>
      </c>
    </row>
    <row r="211" spans="1:22" x14ac:dyDescent="0.25">
      <c r="A211" t="s">
        <v>345</v>
      </c>
      <c r="B211" s="2">
        <v>45871</v>
      </c>
      <c r="C211" t="s">
        <v>108</v>
      </c>
      <c r="D211" t="s">
        <v>108</v>
      </c>
      <c r="E211" t="s">
        <v>149</v>
      </c>
      <c r="F211" t="s">
        <v>150</v>
      </c>
      <c r="G211" t="s">
        <v>151</v>
      </c>
      <c r="H211" t="s">
        <v>143</v>
      </c>
      <c r="I211">
        <v>4</v>
      </c>
      <c r="J211">
        <v>2</v>
      </c>
      <c r="K211">
        <v>8</v>
      </c>
      <c r="L211" t="s">
        <v>28</v>
      </c>
      <c r="M211" t="s">
        <v>50</v>
      </c>
      <c r="N211" t="s">
        <v>128</v>
      </c>
      <c r="O211">
        <v>2</v>
      </c>
      <c r="P211">
        <v>2</v>
      </c>
      <c r="Q211">
        <v>4</v>
      </c>
      <c r="R211" t="str">
        <f>IF(Table5[[#This Row],[Residual Risk Score]]&gt;Table5[[#This Row],[Initial Risk Score]],"NO Reduction","Reduced")</f>
        <v>Reduced</v>
      </c>
      <c r="S211" t="s">
        <v>31</v>
      </c>
      <c r="T211" t="s">
        <v>61</v>
      </c>
      <c r="U211" t="s">
        <v>33</v>
      </c>
      <c r="V211" s="2">
        <v>46051</v>
      </c>
    </row>
    <row r="212" spans="1:22" x14ac:dyDescent="0.25">
      <c r="A212" t="s">
        <v>346</v>
      </c>
      <c r="B212" s="2">
        <v>45953</v>
      </c>
      <c r="C212" t="s">
        <v>22</v>
      </c>
      <c r="D212" t="s">
        <v>108</v>
      </c>
      <c r="E212" t="s">
        <v>81</v>
      </c>
      <c r="F212" t="s">
        <v>82</v>
      </c>
      <c r="G212" t="s">
        <v>81</v>
      </c>
      <c r="H212" t="s">
        <v>127</v>
      </c>
      <c r="I212">
        <v>2</v>
      </c>
      <c r="J212">
        <v>2</v>
      </c>
      <c r="K212">
        <v>4</v>
      </c>
      <c r="L212" t="s">
        <v>31</v>
      </c>
      <c r="M212" t="s">
        <v>69</v>
      </c>
      <c r="N212" t="s">
        <v>60</v>
      </c>
      <c r="O212">
        <v>1</v>
      </c>
      <c r="P212">
        <v>2</v>
      </c>
      <c r="Q212">
        <v>2</v>
      </c>
      <c r="R212" t="str">
        <f>IF(Table5[[#This Row],[Residual Risk Score]]&gt;Table5[[#This Row],[Initial Risk Score]],"NO Reduction","Reduced")</f>
        <v>Reduced</v>
      </c>
      <c r="S212" t="s">
        <v>31</v>
      </c>
      <c r="T212" t="s">
        <v>43</v>
      </c>
      <c r="U212" t="s">
        <v>52</v>
      </c>
      <c r="V212" s="2">
        <v>46133</v>
      </c>
    </row>
    <row r="213" spans="1:22" x14ac:dyDescent="0.25">
      <c r="A213" t="s">
        <v>347</v>
      </c>
      <c r="B213" s="2">
        <v>45871</v>
      </c>
      <c r="C213" t="s">
        <v>22</v>
      </c>
      <c r="D213" t="s">
        <v>80</v>
      </c>
      <c r="E213" t="s">
        <v>24</v>
      </c>
      <c r="F213" t="s">
        <v>25</v>
      </c>
      <c r="G213" t="s">
        <v>26</v>
      </c>
      <c r="H213" t="s">
        <v>223</v>
      </c>
      <c r="I213">
        <v>2</v>
      </c>
      <c r="J213">
        <v>2</v>
      </c>
      <c r="K213">
        <v>4</v>
      </c>
      <c r="L213" t="s">
        <v>31</v>
      </c>
      <c r="M213" t="s">
        <v>69</v>
      </c>
      <c r="N213" t="s">
        <v>51</v>
      </c>
      <c r="O213">
        <v>1</v>
      </c>
      <c r="P213">
        <v>2</v>
      </c>
      <c r="Q213">
        <v>2</v>
      </c>
      <c r="R213" t="str">
        <f>IF(Table5[[#This Row],[Residual Risk Score]]&gt;Table5[[#This Row],[Initial Risk Score]],"NO Reduction","Reduced")</f>
        <v>Reduced</v>
      </c>
      <c r="S213" t="s">
        <v>31</v>
      </c>
      <c r="T213" t="s">
        <v>61</v>
      </c>
      <c r="U213" t="s">
        <v>62</v>
      </c>
      <c r="V213" s="2">
        <v>46236</v>
      </c>
    </row>
    <row r="214" spans="1:22" x14ac:dyDescent="0.25">
      <c r="A214" t="s">
        <v>348</v>
      </c>
      <c r="B214" s="2">
        <v>45816</v>
      </c>
      <c r="C214" t="s">
        <v>22</v>
      </c>
      <c r="D214" t="s">
        <v>98</v>
      </c>
      <c r="E214" t="s">
        <v>99</v>
      </c>
      <c r="F214" t="s">
        <v>100</v>
      </c>
      <c r="G214" t="s">
        <v>35</v>
      </c>
      <c r="H214" t="s">
        <v>137</v>
      </c>
      <c r="I214">
        <v>2</v>
      </c>
      <c r="J214">
        <v>3</v>
      </c>
      <c r="K214">
        <v>6</v>
      </c>
      <c r="L214" t="s">
        <v>28</v>
      </c>
      <c r="M214" t="s">
        <v>69</v>
      </c>
      <c r="N214" t="s">
        <v>70</v>
      </c>
      <c r="O214">
        <v>1</v>
      </c>
      <c r="P214">
        <v>3</v>
      </c>
      <c r="Q214">
        <v>3</v>
      </c>
      <c r="R214" t="str">
        <f>IF(Table5[[#This Row],[Residual Risk Score]]&gt;Table5[[#This Row],[Initial Risk Score]],"NO Reduction","Reduced")</f>
        <v>Reduced</v>
      </c>
      <c r="S214" t="s">
        <v>31</v>
      </c>
      <c r="T214" t="s">
        <v>32</v>
      </c>
      <c r="U214" t="s">
        <v>52</v>
      </c>
      <c r="V214" s="2">
        <v>46181</v>
      </c>
    </row>
    <row r="215" spans="1:22" x14ac:dyDescent="0.25">
      <c r="A215" t="s">
        <v>349</v>
      </c>
      <c r="B215" s="2">
        <v>46183</v>
      </c>
      <c r="C215" t="s">
        <v>22</v>
      </c>
      <c r="D215" t="s">
        <v>80</v>
      </c>
      <c r="E215" t="s">
        <v>81</v>
      </c>
      <c r="F215" t="s">
        <v>82</v>
      </c>
      <c r="G215" t="s">
        <v>81</v>
      </c>
      <c r="H215" t="s">
        <v>68</v>
      </c>
      <c r="I215">
        <v>2</v>
      </c>
      <c r="J215">
        <v>2</v>
      </c>
      <c r="K215">
        <v>4</v>
      </c>
      <c r="L215" t="s">
        <v>31</v>
      </c>
      <c r="M215" t="s">
        <v>101</v>
      </c>
      <c r="N215" t="s">
        <v>70</v>
      </c>
      <c r="O215">
        <v>1</v>
      </c>
      <c r="P215">
        <v>1</v>
      </c>
      <c r="Q215">
        <v>1</v>
      </c>
      <c r="R215" s="4" t="str">
        <f>IF(Table5[[#This Row],[Residual Risk Score]]&lt;Table5[[#This Row],[Initial Risk Score]],"Reduced","No Reduction")</f>
        <v>Reduced</v>
      </c>
      <c r="S215" t="s">
        <v>31</v>
      </c>
      <c r="T215" t="s">
        <v>61</v>
      </c>
      <c r="U215" t="s">
        <v>71</v>
      </c>
      <c r="V215" s="2">
        <v>46913</v>
      </c>
    </row>
    <row r="216" spans="1:22" x14ac:dyDescent="0.25">
      <c r="A216" t="s">
        <v>350</v>
      </c>
      <c r="B216" s="2">
        <v>46027</v>
      </c>
      <c r="C216" t="s">
        <v>22</v>
      </c>
      <c r="D216" t="s">
        <v>74</v>
      </c>
      <c r="E216" t="s">
        <v>99</v>
      </c>
      <c r="F216" t="s">
        <v>100</v>
      </c>
      <c r="G216" t="s">
        <v>35</v>
      </c>
      <c r="H216" t="s">
        <v>122</v>
      </c>
      <c r="I216">
        <v>4</v>
      </c>
      <c r="J216">
        <v>5</v>
      </c>
      <c r="K216">
        <v>20</v>
      </c>
      <c r="L216" t="s">
        <v>94</v>
      </c>
      <c r="M216" t="s">
        <v>41</v>
      </c>
      <c r="N216" t="s">
        <v>30</v>
      </c>
      <c r="O216">
        <v>3</v>
      </c>
      <c r="P216">
        <v>5</v>
      </c>
      <c r="Q216">
        <v>15</v>
      </c>
      <c r="R216" s="4" t="str">
        <f>IF(Table5[[#This Row],[Residual Risk Score]]&lt;Table5[[#This Row],[Initial Risk Score]],"Reduced","No Reduction")</f>
        <v>Reduced</v>
      </c>
      <c r="S216" t="s">
        <v>40</v>
      </c>
      <c r="T216" t="s">
        <v>61</v>
      </c>
      <c r="U216" t="s">
        <v>33</v>
      </c>
      <c r="V216" s="2">
        <v>46392</v>
      </c>
    </row>
    <row r="217" spans="1:22" x14ac:dyDescent="0.25">
      <c r="A217" t="s">
        <v>351</v>
      </c>
      <c r="B217" s="2">
        <v>46321</v>
      </c>
      <c r="C217" t="s">
        <v>22</v>
      </c>
      <c r="D217" t="s">
        <v>74</v>
      </c>
      <c r="E217" t="s">
        <v>81</v>
      </c>
      <c r="F217" t="s">
        <v>82</v>
      </c>
      <c r="G217" t="s">
        <v>81</v>
      </c>
      <c r="H217" t="s">
        <v>143</v>
      </c>
      <c r="I217">
        <v>4</v>
      </c>
      <c r="J217">
        <v>4</v>
      </c>
      <c r="K217">
        <v>16</v>
      </c>
      <c r="L217" t="s">
        <v>40</v>
      </c>
      <c r="M217" t="s">
        <v>83</v>
      </c>
      <c r="N217" t="s">
        <v>70</v>
      </c>
      <c r="O217">
        <v>3</v>
      </c>
      <c r="P217">
        <v>3</v>
      </c>
      <c r="Q217">
        <v>9</v>
      </c>
      <c r="R217" s="4" t="str">
        <f>IF(Table5[[#This Row],[Residual Risk Score]]&lt;Table5[[#This Row],[Initial Risk Score]],"Reduced","No Reduction")</f>
        <v>Reduced</v>
      </c>
      <c r="S217" t="s">
        <v>28</v>
      </c>
      <c r="T217" t="s">
        <v>61</v>
      </c>
      <c r="U217" t="s">
        <v>52</v>
      </c>
      <c r="V217" s="2">
        <v>46501</v>
      </c>
    </row>
    <row r="218" spans="1:22" x14ac:dyDescent="0.25">
      <c r="A218" t="s">
        <v>352</v>
      </c>
      <c r="B218" s="2">
        <v>46162</v>
      </c>
      <c r="C218" t="s">
        <v>85</v>
      </c>
      <c r="D218" t="s">
        <v>108</v>
      </c>
      <c r="E218" t="s">
        <v>86</v>
      </c>
      <c r="F218" t="s">
        <v>87</v>
      </c>
      <c r="G218" t="s">
        <v>48</v>
      </c>
      <c r="H218" t="s">
        <v>39</v>
      </c>
      <c r="I218">
        <v>3</v>
      </c>
      <c r="J218">
        <v>5</v>
      </c>
      <c r="K218">
        <v>15</v>
      </c>
      <c r="L218" t="s">
        <v>40</v>
      </c>
      <c r="M218" t="s">
        <v>101</v>
      </c>
      <c r="N218" t="s">
        <v>89</v>
      </c>
      <c r="O218">
        <v>1</v>
      </c>
      <c r="P218">
        <v>5</v>
      </c>
      <c r="Q218">
        <v>5</v>
      </c>
      <c r="R218" s="4" t="str">
        <f>IF(Table5[[#This Row],[Residual Risk Score]]&lt;Table5[[#This Row],[Initial Risk Score]],"Reduced","No Reduction")</f>
        <v>Reduced</v>
      </c>
      <c r="S218" t="s">
        <v>28</v>
      </c>
      <c r="T218" t="s">
        <v>61</v>
      </c>
      <c r="U218" t="s">
        <v>62</v>
      </c>
      <c r="V218" s="2">
        <v>46527</v>
      </c>
    </row>
    <row r="219" spans="1:22" x14ac:dyDescent="0.25">
      <c r="A219" t="s">
        <v>353</v>
      </c>
      <c r="B219" s="2">
        <v>45991</v>
      </c>
      <c r="C219" t="s">
        <v>85</v>
      </c>
      <c r="D219" t="s">
        <v>65</v>
      </c>
      <c r="E219" t="s">
        <v>86</v>
      </c>
      <c r="F219" t="s">
        <v>87</v>
      </c>
      <c r="G219" t="s">
        <v>48</v>
      </c>
      <c r="H219" t="s">
        <v>49</v>
      </c>
      <c r="I219">
        <v>3</v>
      </c>
      <c r="J219">
        <v>5</v>
      </c>
      <c r="K219">
        <v>15</v>
      </c>
      <c r="L219" t="s">
        <v>40</v>
      </c>
      <c r="M219" t="s">
        <v>83</v>
      </c>
      <c r="N219" t="s">
        <v>128</v>
      </c>
      <c r="O219">
        <v>2</v>
      </c>
      <c r="P219">
        <v>4</v>
      </c>
      <c r="Q219">
        <v>8</v>
      </c>
      <c r="R219" t="str">
        <f>IF(Table5[[#This Row],[Residual Risk Score]]&gt;Table5[[#This Row],[Initial Risk Score]],"NO Reduction","Reduced")</f>
        <v>Reduced</v>
      </c>
      <c r="S219" t="s">
        <v>28</v>
      </c>
      <c r="T219" t="s">
        <v>61</v>
      </c>
      <c r="U219" t="s">
        <v>96</v>
      </c>
      <c r="V219" s="2">
        <v>46171</v>
      </c>
    </row>
    <row r="220" spans="1:22" x14ac:dyDescent="0.25">
      <c r="A220" t="s">
        <v>354</v>
      </c>
      <c r="B220" s="2">
        <v>45704</v>
      </c>
      <c r="C220" t="s">
        <v>22</v>
      </c>
      <c r="D220" t="s">
        <v>55</v>
      </c>
      <c r="E220" t="s">
        <v>99</v>
      </c>
      <c r="F220" t="s">
        <v>100</v>
      </c>
      <c r="G220" t="s">
        <v>35</v>
      </c>
      <c r="H220" t="s">
        <v>137</v>
      </c>
      <c r="I220">
        <v>4</v>
      </c>
      <c r="J220">
        <v>2</v>
      </c>
      <c r="K220">
        <v>8</v>
      </c>
      <c r="L220" t="s">
        <v>28</v>
      </c>
      <c r="M220" t="s">
        <v>41</v>
      </c>
      <c r="N220" t="s">
        <v>128</v>
      </c>
      <c r="O220">
        <v>3</v>
      </c>
      <c r="P220">
        <v>2</v>
      </c>
      <c r="Q220">
        <v>6</v>
      </c>
      <c r="R220" t="str">
        <f>IF(Table5[[#This Row],[Residual Risk Score]]&gt;Table5[[#This Row],[Initial Risk Score]],"NO Reduction","Reduced")</f>
        <v>Reduced</v>
      </c>
      <c r="S220" t="s">
        <v>28</v>
      </c>
      <c r="T220" t="s">
        <v>61</v>
      </c>
      <c r="U220" t="s">
        <v>62</v>
      </c>
      <c r="V220" s="2">
        <v>45884</v>
      </c>
    </row>
    <row r="221" spans="1:22" x14ac:dyDescent="0.25">
      <c r="A221" t="s">
        <v>355</v>
      </c>
      <c r="B221" s="2">
        <v>46126</v>
      </c>
      <c r="C221" t="s">
        <v>22</v>
      </c>
      <c r="D221" t="s">
        <v>98</v>
      </c>
      <c r="E221" t="s">
        <v>99</v>
      </c>
      <c r="F221" t="s">
        <v>100</v>
      </c>
      <c r="G221" t="s">
        <v>35</v>
      </c>
      <c r="H221" t="s">
        <v>137</v>
      </c>
      <c r="I221">
        <v>5</v>
      </c>
      <c r="J221">
        <v>2</v>
      </c>
      <c r="K221">
        <v>10</v>
      </c>
      <c r="L221" t="s">
        <v>40</v>
      </c>
      <c r="M221" t="s">
        <v>101</v>
      </c>
      <c r="N221" t="s">
        <v>70</v>
      </c>
      <c r="O221">
        <v>4</v>
      </c>
      <c r="P221">
        <v>2</v>
      </c>
      <c r="Q221">
        <v>8</v>
      </c>
      <c r="R221" s="4" t="str">
        <f>IF(Table5[[#This Row],[Residual Risk Score]]&lt;Table5[[#This Row],[Initial Risk Score]],"Reduced","No Reduction")</f>
        <v>Reduced</v>
      </c>
      <c r="S221" t="s">
        <v>28</v>
      </c>
      <c r="T221" t="s">
        <v>61</v>
      </c>
      <c r="U221" t="s">
        <v>96</v>
      </c>
      <c r="V221" s="2">
        <v>46491</v>
      </c>
    </row>
    <row r="222" spans="1:22" x14ac:dyDescent="0.25">
      <c r="A222" t="s">
        <v>356</v>
      </c>
      <c r="B222" s="2">
        <v>46150</v>
      </c>
      <c r="C222" t="s">
        <v>35</v>
      </c>
      <c r="D222" t="s">
        <v>23</v>
      </c>
      <c r="E222" t="s">
        <v>120</v>
      </c>
      <c r="F222" t="s">
        <v>121</v>
      </c>
      <c r="G222" t="s">
        <v>35</v>
      </c>
      <c r="H222" t="s">
        <v>93</v>
      </c>
      <c r="I222">
        <v>4</v>
      </c>
      <c r="J222">
        <v>5</v>
      </c>
      <c r="K222">
        <v>20</v>
      </c>
      <c r="L222" t="s">
        <v>94</v>
      </c>
      <c r="M222" t="s">
        <v>95</v>
      </c>
      <c r="N222" t="s">
        <v>51</v>
      </c>
      <c r="O222">
        <v>3</v>
      </c>
      <c r="P222">
        <v>4</v>
      </c>
      <c r="Q222">
        <v>12</v>
      </c>
      <c r="R222" t="str">
        <f>IF(Table5[[#This Row],[Residual Risk Score]]&gt;Table5[[#This Row],[Initial Risk Score]],"NO Reduction","Reduced")</f>
        <v>Reduced</v>
      </c>
      <c r="S222" t="s">
        <v>40</v>
      </c>
      <c r="T222" t="s">
        <v>32</v>
      </c>
      <c r="U222" t="s">
        <v>52</v>
      </c>
      <c r="V222" s="2">
        <v>46330</v>
      </c>
    </row>
    <row r="223" spans="1:22" x14ac:dyDescent="0.25">
      <c r="A223" t="s">
        <v>357</v>
      </c>
      <c r="B223" s="2">
        <v>46246</v>
      </c>
      <c r="C223" t="s">
        <v>22</v>
      </c>
      <c r="D223" t="s">
        <v>98</v>
      </c>
      <c r="E223" t="s">
        <v>135</v>
      </c>
      <c r="F223" t="s">
        <v>136</v>
      </c>
      <c r="G223" t="s">
        <v>35</v>
      </c>
      <c r="H223" t="s">
        <v>137</v>
      </c>
      <c r="I223">
        <v>2</v>
      </c>
      <c r="J223">
        <v>4</v>
      </c>
      <c r="K223">
        <v>8</v>
      </c>
      <c r="L223" t="s">
        <v>28</v>
      </c>
      <c r="M223" t="s">
        <v>78</v>
      </c>
      <c r="N223" t="s">
        <v>60</v>
      </c>
      <c r="O223">
        <v>1</v>
      </c>
      <c r="P223">
        <v>3</v>
      </c>
      <c r="Q223">
        <v>3</v>
      </c>
      <c r="R223" s="4" t="str">
        <f>IF(Table5[[#This Row],[Residual Risk Score]]&lt;Table5[[#This Row],[Initial Risk Score]],"Reduced","No Reduction")</f>
        <v>Reduced</v>
      </c>
      <c r="S223" t="s">
        <v>31</v>
      </c>
      <c r="T223" t="s">
        <v>43</v>
      </c>
      <c r="U223" t="s">
        <v>62</v>
      </c>
      <c r="V223" s="2">
        <v>46611</v>
      </c>
    </row>
    <row r="224" spans="1:22" x14ac:dyDescent="0.25">
      <c r="A224" t="s">
        <v>358</v>
      </c>
      <c r="B224" s="2">
        <v>46297</v>
      </c>
      <c r="C224" t="s">
        <v>64</v>
      </c>
      <c r="D224" t="s">
        <v>65</v>
      </c>
      <c r="E224" t="s">
        <v>174</v>
      </c>
      <c r="F224" t="s">
        <v>175</v>
      </c>
      <c r="G224" t="s">
        <v>176</v>
      </c>
      <c r="H224" t="s">
        <v>68</v>
      </c>
      <c r="I224">
        <v>5</v>
      </c>
      <c r="J224">
        <v>5</v>
      </c>
      <c r="K224">
        <v>25</v>
      </c>
      <c r="L224" t="s">
        <v>94</v>
      </c>
      <c r="M224" t="s">
        <v>29</v>
      </c>
      <c r="N224" t="s">
        <v>51</v>
      </c>
      <c r="O224">
        <v>3</v>
      </c>
      <c r="P224">
        <v>5</v>
      </c>
      <c r="Q224">
        <v>15</v>
      </c>
      <c r="R224" s="4" t="str">
        <f>IF(Table5[[#This Row],[Residual Risk Score]]&lt;Table5[[#This Row],[Initial Risk Score]],"Reduced","No Reduction")</f>
        <v>Reduced</v>
      </c>
      <c r="S224" t="s">
        <v>40</v>
      </c>
      <c r="T224" t="s">
        <v>32</v>
      </c>
      <c r="U224" t="s">
        <v>62</v>
      </c>
      <c r="V224" s="2">
        <v>46662</v>
      </c>
    </row>
    <row r="225" spans="1:22" x14ac:dyDescent="0.25">
      <c r="A225" t="s">
        <v>359</v>
      </c>
      <c r="B225" s="2">
        <v>45844</v>
      </c>
      <c r="C225" t="s">
        <v>64</v>
      </c>
      <c r="D225" t="s">
        <v>108</v>
      </c>
      <c r="E225" t="s">
        <v>174</v>
      </c>
      <c r="F225" t="s">
        <v>175</v>
      </c>
      <c r="G225" t="s">
        <v>176</v>
      </c>
      <c r="H225" t="s">
        <v>68</v>
      </c>
      <c r="I225">
        <v>4</v>
      </c>
      <c r="J225">
        <v>3</v>
      </c>
      <c r="K225">
        <v>12</v>
      </c>
      <c r="L225" t="s">
        <v>40</v>
      </c>
      <c r="M225" t="s">
        <v>101</v>
      </c>
      <c r="N225" t="s">
        <v>102</v>
      </c>
      <c r="O225">
        <v>3</v>
      </c>
      <c r="P225">
        <v>2</v>
      </c>
      <c r="Q225">
        <v>6</v>
      </c>
      <c r="R225" s="4" t="str">
        <f>IF(Table5[[#This Row],[Residual Risk Score]]&lt;Table5[[#This Row],[Initial Risk Score]],"Reduced","No Reduction")</f>
        <v>Reduced</v>
      </c>
      <c r="S225" t="s">
        <v>28</v>
      </c>
      <c r="T225" t="s">
        <v>43</v>
      </c>
      <c r="U225" t="s">
        <v>96</v>
      </c>
      <c r="V225" s="2">
        <v>46574</v>
      </c>
    </row>
    <row r="226" spans="1:22" x14ac:dyDescent="0.25">
      <c r="A226" t="s">
        <v>360</v>
      </c>
      <c r="B226" s="2">
        <v>45965</v>
      </c>
      <c r="C226" t="s">
        <v>85</v>
      </c>
      <c r="D226" t="s">
        <v>55</v>
      </c>
      <c r="E226" t="s">
        <v>230</v>
      </c>
      <c r="F226" t="s">
        <v>231</v>
      </c>
      <c r="G226" t="s">
        <v>232</v>
      </c>
      <c r="H226" t="s">
        <v>68</v>
      </c>
      <c r="I226">
        <v>2</v>
      </c>
      <c r="J226">
        <v>4</v>
      </c>
      <c r="K226">
        <v>8</v>
      </c>
      <c r="L226" t="s">
        <v>28</v>
      </c>
      <c r="M226" t="s">
        <v>101</v>
      </c>
      <c r="N226" t="s">
        <v>51</v>
      </c>
      <c r="O226">
        <v>1</v>
      </c>
      <c r="P226">
        <v>4</v>
      </c>
      <c r="Q226">
        <v>4</v>
      </c>
      <c r="R226" t="str">
        <f>IF(Table5[[#This Row],[Residual Risk Score]]&gt;Table5[[#This Row],[Initial Risk Score]],"NO Reduction","Reduced")</f>
        <v>Reduced</v>
      </c>
      <c r="S226" t="s">
        <v>31</v>
      </c>
      <c r="T226" t="s">
        <v>61</v>
      </c>
      <c r="U226" t="s">
        <v>96</v>
      </c>
      <c r="V226" s="2">
        <v>46330</v>
      </c>
    </row>
    <row r="227" spans="1:22" x14ac:dyDescent="0.25">
      <c r="A227" t="s">
        <v>361</v>
      </c>
      <c r="B227" s="2">
        <v>46092</v>
      </c>
      <c r="C227" t="s">
        <v>108</v>
      </c>
      <c r="D227" t="s">
        <v>55</v>
      </c>
      <c r="E227" t="s">
        <v>162</v>
      </c>
      <c r="F227" t="s">
        <v>163</v>
      </c>
      <c r="G227" t="s">
        <v>164</v>
      </c>
      <c r="H227" t="s">
        <v>68</v>
      </c>
      <c r="I227">
        <v>5</v>
      </c>
      <c r="J227">
        <v>5</v>
      </c>
      <c r="K227">
        <v>25</v>
      </c>
      <c r="L227" t="s">
        <v>94</v>
      </c>
      <c r="M227" t="s">
        <v>83</v>
      </c>
      <c r="N227" t="s">
        <v>42</v>
      </c>
      <c r="O227">
        <v>4</v>
      </c>
      <c r="P227">
        <v>5</v>
      </c>
      <c r="Q227">
        <v>20</v>
      </c>
      <c r="R227" s="4" t="str">
        <f>IF(Table5[[#This Row],[Residual Risk Score]]&lt;Table5[[#This Row],[Initial Risk Score]],"Reduced","No Reduction")</f>
        <v>Reduced</v>
      </c>
      <c r="S227" t="s">
        <v>94</v>
      </c>
      <c r="T227" t="s">
        <v>61</v>
      </c>
      <c r="U227" t="s">
        <v>33</v>
      </c>
      <c r="V227" s="2">
        <v>46457</v>
      </c>
    </row>
    <row r="228" spans="1:22" x14ac:dyDescent="0.25">
      <c r="A228" t="s">
        <v>362</v>
      </c>
      <c r="B228" s="2">
        <v>45660</v>
      </c>
      <c r="C228" t="s">
        <v>45</v>
      </c>
      <c r="D228" t="s">
        <v>74</v>
      </c>
      <c r="E228" t="s">
        <v>46</v>
      </c>
      <c r="F228" t="s">
        <v>47</v>
      </c>
      <c r="G228" t="s">
        <v>48</v>
      </c>
      <c r="H228" t="s">
        <v>39</v>
      </c>
      <c r="I228">
        <v>4</v>
      </c>
      <c r="J228">
        <v>4</v>
      </c>
      <c r="K228">
        <v>16</v>
      </c>
      <c r="L228" t="s">
        <v>40</v>
      </c>
      <c r="M228" t="s">
        <v>50</v>
      </c>
      <c r="N228" t="s">
        <v>89</v>
      </c>
      <c r="O228">
        <v>4</v>
      </c>
      <c r="P228">
        <v>3</v>
      </c>
      <c r="Q228">
        <v>12</v>
      </c>
      <c r="R228" t="str">
        <f>IF(Table5[[#This Row],[Residual Risk Score]]&gt;Table5[[#This Row],[Initial Risk Score]],"NO Reduction","Reduced")</f>
        <v>Reduced</v>
      </c>
      <c r="S228" t="s">
        <v>40</v>
      </c>
      <c r="T228" t="s">
        <v>43</v>
      </c>
      <c r="U228" t="s">
        <v>71</v>
      </c>
      <c r="V228" s="2">
        <v>45840</v>
      </c>
    </row>
    <row r="229" spans="1:22" x14ac:dyDescent="0.25">
      <c r="A229" t="s">
        <v>363</v>
      </c>
      <c r="B229" s="2">
        <v>45938</v>
      </c>
      <c r="C229" t="s">
        <v>64</v>
      </c>
      <c r="D229" t="s">
        <v>55</v>
      </c>
      <c r="E229" t="s">
        <v>91</v>
      </c>
      <c r="F229" t="s">
        <v>92</v>
      </c>
      <c r="G229" t="s">
        <v>35</v>
      </c>
      <c r="H229" t="s">
        <v>68</v>
      </c>
      <c r="I229">
        <v>4</v>
      </c>
      <c r="J229">
        <v>3</v>
      </c>
      <c r="K229">
        <v>12</v>
      </c>
      <c r="L229" t="s">
        <v>40</v>
      </c>
      <c r="M229" t="s">
        <v>78</v>
      </c>
      <c r="N229" t="s">
        <v>128</v>
      </c>
      <c r="O229">
        <v>3</v>
      </c>
      <c r="P229">
        <v>2</v>
      </c>
      <c r="Q229">
        <v>6</v>
      </c>
      <c r="R229" t="str">
        <f>IF(Table5[[#This Row],[Residual Risk Score]]&gt;Table5[[#This Row],[Initial Risk Score]],"NO Reduction","Reduced")</f>
        <v>Reduced</v>
      </c>
      <c r="S229" t="s">
        <v>28</v>
      </c>
      <c r="T229" t="s">
        <v>61</v>
      </c>
      <c r="U229" t="s">
        <v>71</v>
      </c>
      <c r="V229" s="2">
        <v>46303</v>
      </c>
    </row>
    <row r="230" spans="1:22" x14ac:dyDescent="0.25">
      <c r="A230" t="s">
        <v>364</v>
      </c>
      <c r="B230" s="2">
        <v>46284</v>
      </c>
      <c r="C230" t="s">
        <v>35</v>
      </c>
      <c r="D230" t="s">
        <v>74</v>
      </c>
      <c r="E230" t="s">
        <v>36</v>
      </c>
      <c r="F230" t="s">
        <v>37</v>
      </c>
      <c r="G230" t="s">
        <v>38</v>
      </c>
      <c r="H230" t="s">
        <v>39</v>
      </c>
      <c r="I230">
        <v>5</v>
      </c>
      <c r="J230">
        <v>4</v>
      </c>
      <c r="K230">
        <v>20</v>
      </c>
      <c r="L230" t="s">
        <v>94</v>
      </c>
      <c r="M230" t="s">
        <v>101</v>
      </c>
      <c r="N230" t="s">
        <v>102</v>
      </c>
      <c r="O230">
        <v>5</v>
      </c>
      <c r="P230">
        <v>3</v>
      </c>
      <c r="Q230">
        <v>15</v>
      </c>
      <c r="R230" s="4" t="str">
        <f>IF(Table5[[#This Row],[Residual Risk Score]]&lt;Table5[[#This Row],[Initial Risk Score]],"Reduced","No Reduction")</f>
        <v>Reduced</v>
      </c>
      <c r="S230" t="s">
        <v>40</v>
      </c>
      <c r="T230" t="s">
        <v>43</v>
      </c>
      <c r="U230" t="s">
        <v>33</v>
      </c>
      <c r="V230" s="2">
        <v>47014</v>
      </c>
    </row>
    <row r="231" spans="1:22" x14ac:dyDescent="0.25">
      <c r="A231" t="s">
        <v>365</v>
      </c>
      <c r="B231" s="2">
        <v>45873</v>
      </c>
      <c r="C231" t="s">
        <v>64</v>
      </c>
      <c r="D231" t="s">
        <v>74</v>
      </c>
      <c r="E231" t="s">
        <v>66</v>
      </c>
      <c r="F231" t="s">
        <v>67</v>
      </c>
      <c r="G231" t="s">
        <v>35</v>
      </c>
      <c r="H231" t="s">
        <v>68</v>
      </c>
      <c r="I231">
        <v>4</v>
      </c>
      <c r="J231">
        <v>3</v>
      </c>
      <c r="K231">
        <v>12</v>
      </c>
      <c r="L231" t="s">
        <v>40</v>
      </c>
      <c r="M231" t="s">
        <v>95</v>
      </c>
      <c r="N231" t="s">
        <v>42</v>
      </c>
      <c r="O231">
        <v>4</v>
      </c>
      <c r="P231">
        <v>3</v>
      </c>
      <c r="Q231">
        <v>12</v>
      </c>
      <c r="R231" t="str">
        <f>IF(Table5[[#This Row],[Residual Risk Score]]&gt;Table5[[#This Row],[Initial Risk Score]],"NO Reduction","Reduced")</f>
        <v>Reduced</v>
      </c>
      <c r="S231" t="s">
        <v>40</v>
      </c>
      <c r="T231" t="s">
        <v>43</v>
      </c>
      <c r="U231" t="s">
        <v>71</v>
      </c>
      <c r="V231" s="2">
        <v>46238</v>
      </c>
    </row>
    <row r="232" spans="1:22" x14ac:dyDescent="0.25">
      <c r="A232" t="s">
        <v>366</v>
      </c>
      <c r="B232" s="2">
        <v>45943</v>
      </c>
      <c r="C232" t="s">
        <v>22</v>
      </c>
      <c r="D232" t="s">
        <v>23</v>
      </c>
      <c r="E232" t="s">
        <v>135</v>
      </c>
      <c r="F232" t="s">
        <v>136</v>
      </c>
      <c r="G232" t="s">
        <v>35</v>
      </c>
      <c r="H232" t="s">
        <v>137</v>
      </c>
      <c r="I232">
        <v>3</v>
      </c>
      <c r="J232">
        <v>5</v>
      </c>
      <c r="K232">
        <v>15</v>
      </c>
      <c r="L232" t="s">
        <v>40</v>
      </c>
      <c r="M232" t="s">
        <v>95</v>
      </c>
      <c r="N232" t="s">
        <v>42</v>
      </c>
      <c r="O232">
        <v>3</v>
      </c>
      <c r="P232">
        <v>4</v>
      </c>
      <c r="Q232">
        <v>12</v>
      </c>
      <c r="R232" s="4" t="str">
        <f>IF(Table5[[#This Row],[Residual Risk Score]]&lt;Table5[[#This Row],[Initial Risk Score]],"Reduced","No Reduction")</f>
        <v>Reduced</v>
      </c>
      <c r="S232" t="s">
        <v>40</v>
      </c>
      <c r="T232" t="s">
        <v>43</v>
      </c>
      <c r="U232" t="s">
        <v>62</v>
      </c>
      <c r="V232" s="2">
        <v>46673</v>
      </c>
    </row>
    <row r="233" spans="1:22" x14ac:dyDescent="0.25">
      <c r="A233" t="s">
        <v>367</v>
      </c>
      <c r="B233" s="2">
        <v>46160</v>
      </c>
      <c r="C233" t="s">
        <v>108</v>
      </c>
      <c r="D233" t="s">
        <v>65</v>
      </c>
      <c r="E233" t="s">
        <v>149</v>
      </c>
      <c r="F233" t="s">
        <v>150</v>
      </c>
      <c r="G233" t="s">
        <v>151</v>
      </c>
      <c r="H233" t="s">
        <v>68</v>
      </c>
      <c r="I233">
        <v>3</v>
      </c>
      <c r="J233">
        <v>2</v>
      </c>
      <c r="K233">
        <v>6</v>
      </c>
      <c r="L233" t="s">
        <v>28</v>
      </c>
      <c r="M233" t="s">
        <v>101</v>
      </c>
      <c r="N233" t="s">
        <v>102</v>
      </c>
      <c r="O233">
        <v>2</v>
      </c>
      <c r="P233">
        <v>2</v>
      </c>
      <c r="Q233">
        <v>4</v>
      </c>
      <c r="R233" s="4" t="str">
        <f>IF(Table5[[#This Row],[Residual Risk Score]]&lt;Table5[[#This Row],[Initial Risk Score]],"Reduced","No Reduction")</f>
        <v>Reduced</v>
      </c>
      <c r="S233" t="s">
        <v>31</v>
      </c>
      <c r="T233" t="s">
        <v>43</v>
      </c>
      <c r="U233" t="s">
        <v>62</v>
      </c>
      <c r="V233" s="2">
        <v>46525</v>
      </c>
    </row>
    <row r="234" spans="1:22" x14ac:dyDescent="0.25">
      <c r="A234" t="s">
        <v>368</v>
      </c>
      <c r="B234" s="2">
        <v>45955</v>
      </c>
      <c r="C234" t="s">
        <v>85</v>
      </c>
      <c r="D234" t="s">
        <v>65</v>
      </c>
      <c r="E234" t="s">
        <v>86</v>
      </c>
      <c r="F234" t="s">
        <v>87</v>
      </c>
      <c r="G234" t="s">
        <v>48</v>
      </c>
      <c r="H234" t="s">
        <v>39</v>
      </c>
      <c r="I234">
        <v>2</v>
      </c>
      <c r="J234">
        <v>5</v>
      </c>
      <c r="K234">
        <v>10</v>
      </c>
      <c r="L234" t="s">
        <v>40</v>
      </c>
      <c r="M234" t="s">
        <v>95</v>
      </c>
      <c r="N234" t="s">
        <v>51</v>
      </c>
      <c r="O234">
        <v>1</v>
      </c>
      <c r="P234">
        <v>4</v>
      </c>
      <c r="Q234">
        <v>4</v>
      </c>
      <c r="R234" t="str">
        <f>IF(Table5[[#This Row],[Residual Risk Score]]&gt;Table5[[#This Row],[Initial Risk Score]],"NO Reduction","Reduced")</f>
        <v>Reduced</v>
      </c>
      <c r="S234" t="s">
        <v>31</v>
      </c>
      <c r="T234" t="s">
        <v>43</v>
      </c>
      <c r="U234" t="s">
        <v>71</v>
      </c>
      <c r="V234" s="2">
        <v>46135</v>
      </c>
    </row>
    <row r="235" spans="1:22" x14ac:dyDescent="0.25">
      <c r="A235" t="s">
        <v>369</v>
      </c>
      <c r="B235" s="2">
        <v>45677</v>
      </c>
      <c r="C235" t="s">
        <v>22</v>
      </c>
      <c r="D235" t="s">
        <v>80</v>
      </c>
      <c r="E235" t="s">
        <v>135</v>
      </c>
      <c r="F235" t="s">
        <v>136</v>
      </c>
      <c r="G235" t="s">
        <v>35</v>
      </c>
      <c r="H235" t="s">
        <v>137</v>
      </c>
      <c r="I235">
        <v>2</v>
      </c>
      <c r="J235">
        <v>3</v>
      </c>
      <c r="K235">
        <v>6</v>
      </c>
      <c r="L235" t="s">
        <v>28</v>
      </c>
      <c r="M235" t="s">
        <v>78</v>
      </c>
      <c r="N235" t="s">
        <v>128</v>
      </c>
      <c r="O235">
        <v>1</v>
      </c>
      <c r="P235">
        <v>2</v>
      </c>
      <c r="Q235">
        <v>2</v>
      </c>
      <c r="R235" t="str">
        <f>IF(Table5[[#This Row],[Residual Risk Score]]&gt;Table5[[#This Row],[Initial Risk Score]],"NO Reduction","Reduced")</f>
        <v>Reduced</v>
      </c>
      <c r="S235" t="s">
        <v>31</v>
      </c>
      <c r="T235" t="s">
        <v>61</v>
      </c>
      <c r="U235" t="s">
        <v>71</v>
      </c>
      <c r="V235" s="2">
        <v>46042</v>
      </c>
    </row>
    <row r="236" spans="1:22" x14ac:dyDescent="0.25">
      <c r="A236" t="s">
        <v>370</v>
      </c>
      <c r="B236" s="2">
        <v>45862</v>
      </c>
      <c r="C236" t="s">
        <v>108</v>
      </c>
      <c r="D236" t="s">
        <v>55</v>
      </c>
      <c r="E236" t="s">
        <v>162</v>
      </c>
      <c r="F236" t="s">
        <v>163</v>
      </c>
      <c r="G236" t="s">
        <v>164</v>
      </c>
      <c r="H236" t="s">
        <v>68</v>
      </c>
      <c r="I236">
        <v>3</v>
      </c>
      <c r="J236">
        <v>2</v>
      </c>
      <c r="K236">
        <v>6</v>
      </c>
      <c r="L236" t="s">
        <v>28</v>
      </c>
      <c r="M236" t="s">
        <v>50</v>
      </c>
      <c r="N236" t="s">
        <v>89</v>
      </c>
      <c r="O236">
        <v>2</v>
      </c>
      <c r="P236">
        <v>2</v>
      </c>
      <c r="Q236">
        <v>4</v>
      </c>
      <c r="R236" s="4" t="str">
        <f>IF(Table5[[#This Row],[Residual Risk Score]]&lt;Table5[[#This Row],[Initial Risk Score]],"Reduced","No Reduction")</f>
        <v>Reduced</v>
      </c>
      <c r="S236" t="s">
        <v>31</v>
      </c>
      <c r="T236" t="s">
        <v>32</v>
      </c>
      <c r="U236" t="s">
        <v>71</v>
      </c>
      <c r="V236" s="2">
        <v>46592</v>
      </c>
    </row>
    <row r="237" spans="1:22" x14ac:dyDescent="0.25">
      <c r="A237" t="s">
        <v>371</v>
      </c>
      <c r="B237" s="2">
        <v>46093</v>
      </c>
      <c r="C237" t="s">
        <v>35</v>
      </c>
      <c r="D237" t="s">
        <v>74</v>
      </c>
      <c r="E237" t="s">
        <v>120</v>
      </c>
      <c r="F237" t="s">
        <v>121</v>
      </c>
      <c r="G237" t="s">
        <v>35</v>
      </c>
      <c r="H237" t="s">
        <v>93</v>
      </c>
      <c r="I237">
        <v>4</v>
      </c>
      <c r="J237">
        <v>5</v>
      </c>
      <c r="K237">
        <v>20</v>
      </c>
      <c r="L237" t="s">
        <v>94</v>
      </c>
      <c r="M237" t="s">
        <v>95</v>
      </c>
      <c r="N237" t="s">
        <v>70</v>
      </c>
      <c r="O237">
        <v>3</v>
      </c>
      <c r="P237">
        <v>5</v>
      </c>
      <c r="Q237">
        <v>15</v>
      </c>
      <c r="R237" s="4" t="str">
        <f>IF(Table5[[#This Row],[Residual Risk Score]]&lt;Table5[[#This Row],[Initial Risk Score]],"Reduced","No Reduction")</f>
        <v>Reduced</v>
      </c>
      <c r="S237" t="s">
        <v>40</v>
      </c>
      <c r="T237" t="s">
        <v>43</v>
      </c>
      <c r="U237" t="s">
        <v>71</v>
      </c>
      <c r="V237" s="2">
        <v>46458</v>
      </c>
    </row>
    <row r="238" spans="1:22" x14ac:dyDescent="0.25">
      <c r="A238" t="s">
        <v>372</v>
      </c>
      <c r="B238" s="2">
        <v>45777</v>
      </c>
      <c r="C238" t="s">
        <v>54</v>
      </c>
      <c r="D238" t="s">
        <v>74</v>
      </c>
      <c r="E238" t="s">
        <v>56</v>
      </c>
      <c r="F238" t="s">
        <v>57</v>
      </c>
      <c r="G238" t="s">
        <v>58</v>
      </c>
      <c r="H238" t="s">
        <v>59</v>
      </c>
      <c r="I238">
        <v>4</v>
      </c>
      <c r="J238">
        <v>5</v>
      </c>
      <c r="K238">
        <v>20</v>
      </c>
      <c r="L238" t="s">
        <v>94</v>
      </c>
      <c r="M238" t="s">
        <v>83</v>
      </c>
      <c r="N238" t="s">
        <v>106</v>
      </c>
      <c r="O238">
        <v>3</v>
      </c>
      <c r="P238">
        <v>4</v>
      </c>
      <c r="Q238">
        <v>12</v>
      </c>
      <c r="R238" s="4" t="str">
        <f>IF(Table5[[#This Row],[Residual Risk Score]]&lt;Table5[[#This Row],[Initial Risk Score]],"Reduced","No Reduction")</f>
        <v>Reduced</v>
      </c>
      <c r="S238" t="s">
        <v>40</v>
      </c>
      <c r="T238" t="s">
        <v>61</v>
      </c>
      <c r="U238" t="s">
        <v>33</v>
      </c>
      <c r="V238" s="2">
        <v>46507</v>
      </c>
    </row>
    <row r="239" spans="1:22" x14ac:dyDescent="0.25">
      <c r="A239" t="s">
        <v>373</v>
      </c>
      <c r="B239" s="2">
        <v>46052</v>
      </c>
      <c r="C239" t="s">
        <v>64</v>
      </c>
      <c r="D239" t="s">
        <v>74</v>
      </c>
      <c r="E239" t="s">
        <v>91</v>
      </c>
      <c r="F239" t="s">
        <v>92</v>
      </c>
      <c r="G239" t="s">
        <v>35</v>
      </c>
      <c r="H239" t="s">
        <v>122</v>
      </c>
      <c r="I239">
        <v>2</v>
      </c>
      <c r="J239">
        <v>5</v>
      </c>
      <c r="K239">
        <v>10</v>
      </c>
      <c r="L239" t="s">
        <v>40</v>
      </c>
      <c r="M239" t="s">
        <v>95</v>
      </c>
      <c r="N239" t="s">
        <v>106</v>
      </c>
      <c r="O239">
        <v>2</v>
      </c>
      <c r="P239">
        <v>5</v>
      </c>
      <c r="Q239">
        <v>10</v>
      </c>
      <c r="R239" s="4" t="str">
        <f>IF(Table5[[#This Row],[Residual Risk Score]]&lt;Table5[[#This Row],[Initial Risk Score]],"Reduced","No Reduction")</f>
        <v>No Reduction</v>
      </c>
      <c r="S239" t="s">
        <v>40</v>
      </c>
      <c r="T239" t="s">
        <v>32</v>
      </c>
      <c r="U239" t="s">
        <v>62</v>
      </c>
      <c r="V239" s="2">
        <v>46417</v>
      </c>
    </row>
    <row r="240" spans="1:22" x14ac:dyDescent="0.25">
      <c r="A240" t="s">
        <v>374</v>
      </c>
      <c r="B240" s="2">
        <v>45747</v>
      </c>
      <c r="C240" t="s">
        <v>35</v>
      </c>
      <c r="D240" t="s">
        <v>55</v>
      </c>
      <c r="E240" t="s">
        <v>36</v>
      </c>
      <c r="F240" t="s">
        <v>37</v>
      </c>
      <c r="G240" t="s">
        <v>38</v>
      </c>
      <c r="H240" t="s">
        <v>39</v>
      </c>
      <c r="I240">
        <v>5</v>
      </c>
      <c r="J240">
        <v>3</v>
      </c>
      <c r="K240">
        <v>15</v>
      </c>
      <c r="L240" t="s">
        <v>40</v>
      </c>
      <c r="M240" t="s">
        <v>101</v>
      </c>
      <c r="N240" t="s">
        <v>124</v>
      </c>
      <c r="O240">
        <v>4</v>
      </c>
      <c r="P240">
        <v>3</v>
      </c>
      <c r="Q240">
        <v>12</v>
      </c>
      <c r="R240" t="str">
        <f>IF(Table5[[#This Row],[Residual Risk Score]]&gt;Table5[[#This Row],[Initial Risk Score]],"NO Reduction","Reduced")</f>
        <v>Reduced</v>
      </c>
      <c r="S240" t="s">
        <v>40</v>
      </c>
      <c r="T240" t="s">
        <v>61</v>
      </c>
      <c r="U240" t="s">
        <v>52</v>
      </c>
      <c r="V240" s="2">
        <v>45927</v>
      </c>
    </row>
    <row r="241" spans="1:22" x14ac:dyDescent="0.25">
      <c r="A241" t="s">
        <v>375</v>
      </c>
      <c r="B241" s="2">
        <v>45905</v>
      </c>
      <c r="C241" t="s">
        <v>64</v>
      </c>
      <c r="D241" t="s">
        <v>55</v>
      </c>
      <c r="E241" t="s">
        <v>91</v>
      </c>
      <c r="F241" t="s">
        <v>92</v>
      </c>
      <c r="G241" t="s">
        <v>35</v>
      </c>
      <c r="H241" t="s">
        <v>122</v>
      </c>
      <c r="I241">
        <v>5</v>
      </c>
      <c r="J241">
        <v>2</v>
      </c>
      <c r="K241">
        <v>10</v>
      </c>
      <c r="L241" t="s">
        <v>40</v>
      </c>
      <c r="M241" t="s">
        <v>95</v>
      </c>
      <c r="N241" t="s">
        <v>70</v>
      </c>
      <c r="O241">
        <v>4</v>
      </c>
      <c r="P241">
        <v>1</v>
      </c>
      <c r="Q241">
        <v>4</v>
      </c>
      <c r="R241" t="str">
        <f>IF(Table5[[#This Row],[Residual Risk Score]]&gt;Table5[[#This Row],[Initial Risk Score]],"NO Reduction","Reduced")</f>
        <v>Reduced</v>
      </c>
      <c r="S241" t="s">
        <v>31</v>
      </c>
      <c r="T241" t="s">
        <v>32</v>
      </c>
      <c r="U241" t="s">
        <v>52</v>
      </c>
      <c r="V241" s="2">
        <v>46270</v>
      </c>
    </row>
    <row r="242" spans="1:22" x14ac:dyDescent="0.25">
      <c r="A242" t="s">
        <v>376</v>
      </c>
      <c r="B242" s="2">
        <v>46120</v>
      </c>
      <c r="C242" t="s">
        <v>22</v>
      </c>
      <c r="D242" t="s">
        <v>23</v>
      </c>
      <c r="E242" t="s">
        <v>135</v>
      </c>
      <c r="F242" t="s">
        <v>136</v>
      </c>
      <c r="G242" t="s">
        <v>35</v>
      </c>
      <c r="H242" t="s">
        <v>68</v>
      </c>
      <c r="I242">
        <v>3</v>
      </c>
      <c r="J242">
        <v>2</v>
      </c>
      <c r="K242">
        <v>6</v>
      </c>
      <c r="L242" t="s">
        <v>28</v>
      </c>
      <c r="M242" t="s">
        <v>78</v>
      </c>
      <c r="N242" t="s">
        <v>70</v>
      </c>
      <c r="O242">
        <v>2</v>
      </c>
      <c r="P242">
        <v>2</v>
      </c>
      <c r="Q242">
        <v>4</v>
      </c>
      <c r="R242" s="4" t="str">
        <f>IF(Table5[[#This Row],[Residual Risk Score]]&lt;Table5[[#This Row],[Initial Risk Score]],"Reduced","No Reduction")</f>
        <v>Reduced</v>
      </c>
      <c r="S242" t="s">
        <v>31</v>
      </c>
      <c r="T242" t="s">
        <v>61</v>
      </c>
      <c r="U242" t="s">
        <v>71</v>
      </c>
      <c r="V242" s="2">
        <v>46485</v>
      </c>
    </row>
    <row r="243" spans="1:22" x14ac:dyDescent="0.25">
      <c r="A243" t="s">
        <v>377</v>
      </c>
      <c r="B243" s="2">
        <v>46101</v>
      </c>
      <c r="C243" t="s">
        <v>64</v>
      </c>
      <c r="D243" t="s">
        <v>80</v>
      </c>
      <c r="E243" t="s">
        <v>91</v>
      </c>
      <c r="F243" t="s">
        <v>92</v>
      </c>
      <c r="G243" t="s">
        <v>35</v>
      </c>
      <c r="H243" t="s">
        <v>68</v>
      </c>
      <c r="I243">
        <v>4</v>
      </c>
      <c r="J243">
        <v>3</v>
      </c>
      <c r="K243">
        <v>12</v>
      </c>
      <c r="L243" t="s">
        <v>40</v>
      </c>
      <c r="M243" t="s">
        <v>83</v>
      </c>
      <c r="N243" t="s">
        <v>42</v>
      </c>
      <c r="O243">
        <v>3</v>
      </c>
      <c r="P243">
        <v>2</v>
      </c>
      <c r="Q243">
        <v>6</v>
      </c>
      <c r="R243" s="4" t="str">
        <f>IF(Table5[[#This Row],[Residual Risk Score]]&lt;Table5[[#This Row],[Initial Risk Score]],"Reduced","No Reduction")</f>
        <v>Reduced</v>
      </c>
      <c r="S243" t="s">
        <v>28</v>
      </c>
      <c r="T243" t="s">
        <v>32</v>
      </c>
      <c r="U243" t="s">
        <v>52</v>
      </c>
      <c r="V243" s="2">
        <v>46831</v>
      </c>
    </row>
    <row r="244" spans="1:22" x14ac:dyDescent="0.25">
      <c r="A244" t="s">
        <v>378</v>
      </c>
      <c r="B244" s="2">
        <v>45864</v>
      </c>
      <c r="C244" t="s">
        <v>73</v>
      </c>
      <c r="D244" t="s">
        <v>23</v>
      </c>
      <c r="E244" t="s">
        <v>75</v>
      </c>
      <c r="F244" t="s">
        <v>76</v>
      </c>
      <c r="G244" t="s">
        <v>73</v>
      </c>
      <c r="H244" t="s">
        <v>116</v>
      </c>
      <c r="I244">
        <v>3</v>
      </c>
      <c r="J244">
        <v>2</v>
      </c>
      <c r="K244">
        <v>6</v>
      </c>
      <c r="L244" t="s">
        <v>28</v>
      </c>
      <c r="M244" t="s">
        <v>69</v>
      </c>
      <c r="N244" t="s">
        <v>124</v>
      </c>
      <c r="O244">
        <v>1</v>
      </c>
      <c r="P244">
        <v>2</v>
      </c>
      <c r="Q244">
        <v>2</v>
      </c>
      <c r="R244" t="str">
        <f>IF(Table5[[#This Row],[Residual Risk Score]]&gt;Table5[[#This Row],[Initial Risk Score]],"NO Reduction","Reduced")</f>
        <v>Reduced</v>
      </c>
      <c r="S244" t="s">
        <v>31</v>
      </c>
      <c r="T244" t="s">
        <v>61</v>
      </c>
      <c r="U244" t="s">
        <v>33</v>
      </c>
      <c r="V244" s="2">
        <v>46229</v>
      </c>
    </row>
    <row r="245" spans="1:22" x14ac:dyDescent="0.25">
      <c r="A245" t="s">
        <v>379</v>
      </c>
      <c r="B245" s="2">
        <v>45781</v>
      </c>
      <c r="C245" t="s">
        <v>35</v>
      </c>
      <c r="D245" t="s">
        <v>108</v>
      </c>
      <c r="E245" t="s">
        <v>36</v>
      </c>
      <c r="F245" t="s">
        <v>37</v>
      </c>
      <c r="G245" t="s">
        <v>38</v>
      </c>
      <c r="H245" t="s">
        <v>113</v>
      </c>
      <c r="I245">
        <v>3</v>
      </c>
      <c r="J245">
        <v>4</v>
      </c>
      <c r="K245">
        <v>12</v>
      </c>
      <c r="L245" t="s">
        <v>40</v>
      </c>
      <c r="M245" t="s">
        <v>50</v>
      </c>
      <c r="N245" t="s">
        <v>60</v>
      </c>
      <c r="O245">
        <v>3</v>
      </c>
      <c r="P245">
        <v>4</v>
      </c>
      <c r="Q245">
        <v>12</v>
      </c>
      <c r="R245" t="str">
        <f>IF(Table5[[#This Row],[Residual Risk Score]]&gt;Table5[[#This Row],[Initial Risk Score]],"NO Reduction","Reduced")</f>
        <v>Reduced</v>
      </c>
      <c r="S245" t="s">
        <v>40</v>
      </c>
      <c r="T245" t="s">
        <v>32</v>
      </c>
      <c r="U245" t="s">
        <v>96</v>
      </c>
      <c r="V245" s="2">
        <v>46146</v>
      </c>
    </row>
    <row r="246" spans="1:22" x14ac:dyDescent="0.25">
      <c r="A246" t="s">
        <v>380</v>
      </c>
      <c r="B246" s="2">
        <v>45837</v>
      </c>
      <c r="C246" t="s">
        <v>35</v>
      </c>
      <c r="D246" t="s">
        <v>23</v>
      </c>
      <c r="E246" t="s">
        <v>120</v>
      </c>
      <c r="F246" t="s">
        <v>121</v>
      </c>
      <c r="G246" t="s">
        <v>35</v>
      </c>
      <c r="H246" t="s">
        <v>122</v>
      </c>
      <c r="I246">
        <v>2</v>
      </c>
      <c r="J246">
        <v>2</v>
      </c>
      <c r="K246">
        <v>4</v>
      </c>
      <c r="L246" t="s">
        <v>31</v>
      </c>
      <c r="M246" t="s">
        <v>29</v>
      </c>
      <c r="N246" t="s">
        <v>124</v>
      </c>
      <c r="O246">
        <v>1</v>
      </c>
      <c r="P246">
        <v>2</v>
      </c>
      <c r="Q246">
        <v>2</v>
      </c>
      <c r="R246" s="4" t="str">
        <f>IF(Table5[[#This Row],[Residual Risk Score]]&lt;Table5[[#This Row],[Initial Risk Score]],"Reduced","No Reduction")</f>
        <v>Reduced</v>
      </c>
      <c r="S246" t="s">
        <v>31</v>
      </c>
      <c r="T246" t="s">
        <v>43</v>
      </c>
      <c r="U246" t="s">
        <v>96</v>
      </c>
      <c r="V246" s="2">
        <v>46567</v>
      </c>
    </row>
    <row r="247" spans="1:22" x14ac:dyDescent="0.25">
      <c r="A247" t="s">
        <v>381</v>
      </c>
      <c r="B247" s="2">
        <v>45686</v>
      </c>
      <c r="C247" t="s">
        <v>22</v>
      </c>
      <c r="D247" t="s">
        <v>98</v>
      </c>
      <c r="E247" t="s">
        <v>81</v>
      </c>
      <c r="F247" t="s">
        <v>82</v>
      </c>
      <c r="G247" t="s">
        <v>81</v>
      </c>
      <c r="H247" t="s">
        <v>127</v>
      </c>
      <c r="I247">
        <v>3</v>
      </c>
      <c r="J247">
        <v>3</v>
      </c>
      <c r="K247">
        <v>9</v>
      </c>
      <c r="L247" t="s">
        <v>28</v>
      </c>
      <c r="M247" t="s">
        <v>83</v>
      </c>
      <c r="N247" t="s">
        <v>51</v>
      </c>
      <c r="O247">
        <v>1</v>
      </c>
      <c r="P247">
        <v>3</v>
      </c>
      <c r="Q247">
        <v>3</v>
      </c>
      <c r="R247" t="str">
        <f>IF(Table5[[#This Row],[Residual Risk Score]]&gt;Table5[[#This Row],[Initial Risk Score]],"NO Reduction","Reduced")</f>
        <v>Reduced</v>
      </c>
      <c r="S247" t="s">
        <v>31</v>
      </c>
      <c r="T247" t="s">
        <v>32</v>
      </c>
      <c r="U247" t="s">
        <v>52</v>
      </c>
      <c r="V247" s="2">
        <v>45866</v>
      </c>
    </row>
    <row r="248" spans="1:22" x14ac:dyDescent="0.25">
      <c r="A248" t="s">
        <v>382</v>
      </c>
      <c r="B248" s="2">
        <v>45674</v>
      </c>
      <c r="C248" t="s">
        <v>35</v>
      </c>
      <c r="D248" t="s">
        <v>55</v>
      </c>
      <c r="E248" t="s">
        <v>120</v>
      </c>
      <c r="F248" t="s">
        <v>121</v>
      </c>
      <c r="G248" t="s">
        <v>35</v>
      </c>
      <c r="H248" t="s">
        <v>137</v>
      </c>
      <c r="I248">
        <v>5</v>
      </c>
      <c r="J248">
        <v>5</v>
      </c>
      <c r="K248">
        <v>25</v>
      </c>
      <c r="L248" t="s">
        <v>94</v>
      </c>
      <c r="M248" t="s">
        <v>95</v>
      </c>
      <c r="N248" t="s">
        <v>51</v>
      </c>
      <c r="O248">
        <v>5</v>
      </c>
      <c r="P248">
        <v>5</v>
      </c>
      <c r="Q248">
        <v>25</v>
      </c>
      <c r="R248" t="str">
        <f>IF(Table5[[#This Row],[Residual Risk Score]]&gt;Table5[[#This Row],[Initial Risk Score]],"NO Reduction","Reduced")</f>
        <v>Reduced</v>
      </c>
      <c r="S248" t="s">
        <v>94</v>
      </c>
      <c r="T248" t="s">
        <v>61</v>
      </c>
      <c r="U248" t="s">
        <v>96</v>
      </c>
      <c r="V248" s="2">
        <v>46039</v>
      </c>
    </row>
    <row r="249" spans="1:22" x14ac:dyDescent="0.25">
      <c r="A249" t="s">
        <v>383</v>
      </c>
      <c r="B249" s="2">
        <v>45850</v>
      </c>
      <c r="C249" t="s">
        <v>22</v>
      </c>
      <c r="D249" t="s">
        <v>74</v>
      </c>
      <c r="E249" t="s">
        <v>109</v>
      </c>
      <c r="F249" t="s">
        <v>110</v>
      </c>
      <c r="G249" t="s">
        <v>111</v>
      </c>
      <c r="H249" t="s">
        <v>197</v>
      </c>
      <c r="I249">
        <v>2</v>
      </c>
      <c r="J249">
        <v>5</v>
      </c>
      <c r="K249">
        <v>10</v>
      </c>
      <c r="L249" t="s">
        <v>40</v>
      </c>
      <c r="M249" t="s">
        <v>83</v>
      </c>
      <c r="N249" t="s">
        <v>124</v>
      </c>
      <c r="O249">
        <v>2</v>
      </c>
      <c r="P249">
        <v>4</v>
      </c>
      <c r="Q249">
        <v>8</v>
      </c>
      <c r="R249" t="str">
        <f>IF(Table5[[#This Row],[Residual Risk Score]]&gt;Table5[[#This Row],[Initial Risk Score]],"NO Reduction","Reduced")</f>
        <v>Reduced</v>
      </c>
      <c r="S249" t="s">
        <v>28</v>
      </c>
      <c r="T249" t="s">
        <v>43</v>
      </c>
      <c r="U249" t="s">
        <v>71</v>
      </c>
      <c r="V249" s="2">
        <v>46215</v>
      </c>
    </row>
    <row r="250" spans="1:22" x14ac:dyDescent="0.25">
      <c r="A250" t="s">
        <v>384</v>
      </c>
      <c r="B250" s="2">
        <v>45816</v>
      </c>
      <c r="C250" t="s">
        <v>22</v>
      </c>
      <c r="D250" t="s">
        <v>98</v>
      </c>
      <c r="E250" t="s">
        <v>109</v>
      </c>
      <c r="F250" t="s">
        <v>110</v>
      </c>
      <c r="G250" t="s">
        <v>111</v>
      </c>
      <c r="H250" t="s">
        <v>143</v>
      </c>
      <c r="I250">
        <v>2</v>
      </c>
      <c r="J250">
        <v>3</v>
      </c>
      <c r="K250">
        <v>6</v>
      </c>
      <c r="L250" t="s">
        <v>28</v>
      </c>
      <c r="M250" t="s">
        <v>41</v>
      </c>
      <c r="N250" t="s">
        <v>60</v>
      </c>
      <c r="O250">
        <v>1</v>
      </c>
      <c r="P250">
        <v>3</v>
      </c>
      <c r="Q250">
        <v>3</v>
      </c>
      <c r="R250" t="str">
        <f>IF(Table5[[#This Row],[Residual Risk Score]]&gt;Table5[[#This Row],[Initial Risk Score]],"NO Reduction","Reduced")</f>
        <v>Reduced</v>
      </c>
      <c r="S250" t="s">
        <v>31</v>
      </c>
      <c r="T250" t="s">
        <v>43</v>
      </c>
      <c r="U250" t="s">
        <v>62</v>
      </c>
      <c r="V250" s="2">
        <v>46181</v>
      </c>
    </row>
    <row r="251" spans="1:22" x14ac:dyDescent="0.25">
      <c r="A251" t="s">
        <v>385</v>
      </c>
      <c r="B251" s="2">
        <v>45940</v>
      </c>
      <c r="C251" t="s">
        <v>85</v>
      </c>
      <c r="D251" t="s">
        <v>98</v>
      </c>
      <c r="E251" t="s">
        <v>230</v>
      </c>
      <c r="F251" t="s">
        <v>231</v>
      </c>
      <c r="G251" t="s">
        <v>232</v>
      </c>
      <c r="H251" t="s">
        <v>68</v>
      </c>
      <c r="I251">
        <v>5</v>
      </c>
      <c r="J251">
        <v>5</v>
      </c>
      <c r="K251">
        <v>25</v>
      </c>
      <c r="L251" t="s">
        <v>94</v>
      </c>
      <c r="M251" t="s">
        <v>29</v>
      </c>
      <c r="N251" t="s">
        <v>124</v>
      </c>
      <c r="O251">
        <v>4</v>
      </c>
      <c r="P251">
        <v>5</v>
      </c>
      <c r="Q251">
        <v>20</v>
      </c>
      <c r="R251" t="str">
        <f>IF(Table5[[#This Row],[Residual Risk Score]]&gt;Table5[[#This Row],[Initial Risk Score]],"NO Reduction","Reduced")</f>
        <v>Reduced</v>
      </c>
      <c r="S251" t="s">
        <v>94</v>
      </c>
      <c r="T251" t="s">
        <v>43</v>
      </c>
      <c r="U251" t="s">
        <v>33</v>
      </c>
      <c r="V251" s="2">
        <v>46305</v>
      </c>
    </row>
    <row r="252" spans="1:22" x14ac:dyDescent="0.25">
      <c r="A252" t="s">
        <v>386</v>
      </c>
      <c r="B252" s="2">
        <v>46030</v>
      </c>
      <c r="C252" t="s">
        <v>73</v>
      </c>
      <c r="D252" t="s">
        <v>80</v>
      </c>
      <c r="E252" t="s">
        <v>104</v>
      </c>
      <c r="F252" t="s">
        <v>105</v>
      </c>
      <c r="G252" t="s">
        <v>73</v>
      </c>
      <c r="H252" t="s">
        <v>116</v>
      </c>
      <c r="I252">
        <v>4</v>
      </c>
      <c r="J252">
        <v>3</v>
      </c>
      <c r="K252">
        <v>12</v>
      </c>
      <c r="L252" t="s">
        <v>40</v>
      </c>
      <c r="M252" t="s">
        <v>101</v>
      </c>
      <c r="N252" t="s">
        <v>70</v>
      </c>
      <c r="O252">
        <v>3</v>
      </c>
      <c r="P252">
        <v>3</v>
      </c>
      <c r="Q252">
        <v>9</v>
      </c>
      <c r="R252" s="4" t="str">
        <f>IF(Table5[[#This Row],[Residual Risk Score]]&lt;Table5[[#This Row],[Initial Risk Score]],"Reduced","No Reduction")</f>
        <v>Reduced</v>
      </c>
      <c r="S252" t="s">
        <v>28</v>
      </c>
      <c r="T252" t="s">
        <v>43</v>
      </c>
      <c r="U252" t="s">
        <v>96</v>
      </c>
      <c r="V252" s="2">
        <v>46395</v>
      </c>
    </row>
    <row r="253" spans="1:22" x14ac:dyDescent="0.25">
      <c r="A253" t="s">
        <v>387</v>
      </c>
      <c r="B253" s="2">
        <v>45865</v>
      </c>
      <c r="C253" t="s">
        <v>85</v>
      </c>
      <c r="D253" t="s">
        <v>80</v>
      </c>
      <c r="E253" t="s">
        <v>140</v>
      </c>
      <c r="F253" t="s">
        <v>141</v>
      </c>
      <c r="G253" t="s">
        <v>142</v>
      </c>
      <c r="H253" t="s">
        <v>143</v>
      </c>
      <c r="I253">
        <v>5</v>
      </c>
      <c r="J253">
        <v>3</v>
      </c>
      <c r="K253">
        <v>15</v>
      </c>
      <c r="L253" t="s">
        <v>40</v>
      </c>
      <c r="M253" t="s">
        <v>95</v>
      </c>
      <c r="N253" t="s">
        <v>60</v>
      </c>
      <c r="O253">
        <v>4</v>
      </c>
      <c r="P253">
        <v>2</v>
      </c>
      <c r="Q253">
        <v>8</v>
      </c>
      <c r="R253" t="str">
        <f>IF(Table5[[#This Row],[Residual Risk Score]]&gt;Table5[[#This Row],[Initial Risk Score]],"NO Reduction","Reduced")</f>
        <v>Reduced</v>
      </c>
      <c r="S253" t="s">
        <v>28</v>
      </c>
      <c r="T253" t="s">
        <v>61</v>
      </c>
      <c r="U253" t="s">
        <v>62</v>
      </c>
      <c r="V253" s="2">
        <v>46045</v>
      </c>
    </row>
    <row r="254" spans="1:22" x14ac:dyDescent="0.25">
      <c r="A254" t="s">
        <v>388</v>
      </c>
      <c r="B254" s="2">
        <v>45912</v>
      </c>
      <c r="C254" t="s">
        <v>85</v>
      </c>
      <c r="D254" t="s">
        <v>74</v>
      </c>
      <c r="E254" t="s">
        <v>230</v>
      </c>
      <c r="F254" t="s">
        <v>231</v>
      </c>
      <c r="G254" t="s">
        <v>232</v>
      </c>
      <c r="H254" t="s">
        <v>233</v>
      </c>
      <c r="I254">
        <v>2</v>
      </c>
      <c r="J254">
        <v>5</v>
      </c>
      <c r="K254">
        <v>10</v>
      </c>
      <c r="L254" t="s">
        <v>40</v>
      </c>
      <c r="M254" t="s">
        <v>78</v>
      </c>
      <c r="N254" t="s">
        <v>89</v>
      </c>
      <c r="O254">
        <v>2</v>
      </c>
      <c r="P254">
        <v>4</v>
      </c>
      <c r="Q254">
        <v>8</v>
      </c>
      <c r="R254" s="4" t="str">
        <f>IF(Table5[[#This Row],[Residual Risk Score]]&lt;Table5[[#This Row],[Initial Risk Score]],"Reduced","No Reduction")</f>
        <v>Reduced</v>
      </c>
      <c r="S254" t="s">
        <v>28</v>
      </c>
      <c r="T254" t="s">
        <v>43</v>
      </c>
      <c r="U254" t="s">
        <v>96</v>
      </c>
      <c r="V254" s="2">
        <v>46642</v>
      </c>
    </row>
    <row r="255" spans="1:22" x14ac:dyDescent="0.25">
      <c r="A255" t="s">
        <v>389</v>
      </c>
      <c r="B255" s="2">
        <v>46285</v>
      </c>
      <c r="C255" t="s">
        <v>22</v>
      </c>
      <c r="D255" t="s">
        <v>65</v>
      </c>
      <c r="E255" t="s">
        <v>135</v>
      </c>
      <c r="F255" t="s">
        <v>136</v>
      </c>
      <c r="G255" t="s">
        <v>35</v>
      </c>
      <c r="H255" t="s">
        <v>68</v>
      </c>
      <c r="I255">
        <v>4</v>
      </c>
      <c r="J255">
        <v>4</v>
      </c>
      <c r="K255">
        <v>16</v>
      </c>
      <c r="L255" t="s">
        <v>40</v>
      </c>
      <c r="M255" t="s">
        <v>78</v>
      </c>
      <c r="N255" t="s">
        <v>60</v>
      </c>
      <c r="O255">
        <v>4</v>
      </c>
      <c r="P255">
        <v>3</v>
      </c>
      <c r="Q255">
        <v>12</v>
      </c>
      <c r="R255" s="4" t="str">
        <f>IF(Table5[[#This Row],[Residual Risk Score]]&lt;Table5[[#This Row],[Initial Risk Score]],"Reduced","No Reduction")</f>
        <v>Reduced</v>
      </c>
      <c r="S255" t="s">
        <v>40</v>
      </c>
      <c r="T255" t="s">
        <v>32</v>
      </c>
      <c r="U255" t="s">
        <v>52</v>
      </c>
      <c r="V255" s="2">
        <v>46650</v>
      </c>
    </row>
    <row r="256" spans="1:22" x14ac:dyDescent="0.25">
      <c r="A256" t="s">
        <v>390</v>
      </c>
      <c r="B256" s="2">
        <v>45863</v>
      </c>
      <c r="C256" t="s">
        <v>22</v>
      </c>
      <c r="D256" t="s">
        <v>65</v>
      </c>
      <c r="E256" t="s">
        <v>109</v>
      </c>
      <c r="F256" t="s">
        <v>110</v>
      </c>
      <c r="G256" t="s">
        <v>111</v>
      </c>
      <c r="H256" t="s">
        <v>197</v>
      </c>
      <c r="I256">
        <v>3</v>
      </c>
      <c r="J256">
        <v>4</v>
      </c>
      <c r="K256">
        <v>12</v>
      </c>
      <c r="L256" t="s">
        <v>40</v>
      </c>
      <c r="M256" t="s">
        <v>50</v>
      </c>
      <c r="N256" t="s">
        <v>51</v>
      </c>
      <c r="O256">
        <v>2</v>
      </c>
      <c r="P256">
        <v>3</v>
      </c>
      <c r="Q256">
        <v>6</v>
      </c>
      <c r="R256" t="str">
        <f>IF(Table5[[#This Row],[Residual Risk Score]]&gt;Table5[[#This Row],[Initial Risk Score]],"NO Reduction","Reduced")</f>
        <v>Reduced</v>
      </c>
      <c r="S256" t="s">
        <v>28</v>
      </c>
      <c r="T256" t="s">
        <v>43</v>
      </c>
      <c r="U256" t="s">
        <v>52</v>
      </c>
      <c r="V256" s="2">
        <v>46228</v>
      </c>
    </row>
    <row r="257" spans="1:22" x14ac:dyDescent="0.25">
      <c r="A257" t="s">
        <v>391</v>
      </c>
      <c r="B257" s="2">
        <v>45705</v>
      </c>
      <c r="C257" t="s">
        <v>64</v>
      </c>
      <c r="D257" t="s">
        <v>108</v>
      </c>
      <c r="E257" t="s">
        <v>174</v>
      </c>
      <c r="F257" t="s">
        <v>175</v>
      </c>
      <c r="G257" t="s">
        <v>176</v>
      </c>
      <c r="H257" t="s">
        <v>201</v>
      </c>
      <c r="I257">
        <v>4</v>
      </c>
      <c r="J257">
        <v>3</v>
      </c>
      <c r="K257">
        <v>12</v>
      </c>
      <c r="L257" t="s">
        <v>40</v>
      </c>
      <c r="M257" t="s">
        <v>29</v>
      </c>
      <c r="N257" t="s">
        <v>128</v>
      </c>
      <c r="O257">
        <v>3</v>
      </c>
      <c r="P257">
        <v>3</v>
      </c>
      <c r="Q257">
        <v>9</v>
      </c>
      <c r="R257" t="str">
        <f>IF(Table5[[#This Row],[Residual Risk Score]]&gt;Table5[[#This Row],[Initial Risk Score]],"NO Reduction","Reduced")</f>
        <v>Reduced</v>
      </c>
      <c r="S257" t="s">
        <v>28</v>
      </c>
      <c r="T257" t="s">
        <v>61</v>
      </c>
      <c r="U257" t="s">
        <v>33</v>
      </c>
      <c r="V257" s="2">
        <v>46070</v>
      </c>
    </row>
    <row r="258" spans="1:22" x14ac:dyDescent="0.25">
      <c r="A258" t="s">
        <v>392</v>
      </c>
      <c r="B258" s="2">
        <v>45895</v>
      </c>
      <c r="C258" t="s">
        <v>22</v>
      </c>
      <c r="D258" t="s">
        <v>55</v>
      </c>
      <c r="E258" t="s">
        <v>24</v>
      </c>
      <c r="F258" t="s">
        <v>25</v>
      </c>
      <c r="G258" t="s">
        <v>26</v>
      </c>
      <c r="H258" t="s">
        <v>116</v>
      </c>
      <c r="I258">
        <v>2</v>
      </c>
      <c r="J258">
        <v>3</v>
      </c>
      <c r="K258">
        <v>6</v>
      </c>
      <c r="L258" t="s">
        <v>28</v>
      </c>
      <c r="M258" t="s">
        <v>101</v>
      </c>
      <c r="N258" t="s">
        <v>42</v>
      </c>
      <c r="O258">
        <v>1</v>
      </c>
      <c r="P258">
        <v>2</v>
      </c>
      <c r="Q258">
        <v>2</v>
      </c>
      <c r="R258" t="str">
        <f>IF(Table5[[#This Row],[Residual Risk Score]]&gt;Table5[[#This Row],[Initial Risk Score]],"NO Reduction","Reduced")</f>
        <v>Reduced</v>
      </c>
      <c r="S258" t="s">
        <v>31</v>
      </c>
      <c r="T258" t="s">
        <v>32</v>
      </c>
      <c r="U258" t="s">
        <v>96</v>
      </c>
      <c r="V258" s="2">
        <v>46260</v>
      </c>
    </row>
    <row r="259" spans="1:22" x14ac:dyDescent="0.25">
      <c r="A259" t="s">
        <v>393</v>
      </c>
      <c r="B259" s="2">
        <v>46229</v>
      </c>
      <c r="C259" t="s">
        <v>73</v>
      </c>
      <c r="D259" t="s">
        <v>74</v>
      </c>
      <c r="E259" t="s">
        <v>104</v>
      </c>
      <c r="F259" t="s">
        <v>105</v>
      </c>
      <c r="G259" t="s">
        <v>73</v>
      </c>
      <c r="H259" t="s">
        <v>77</v>
      </c>
      <c r="I259">
        <v>2</v>
      </c>
      <c r="J259">
        <v>3</v>
      </c>
      <c r="K259">
        <v>6</v>
      </c>
      <c r="L259" t="s">
        <v>28</v>
      </c>
      <c r="M259" t="s">
        <v>83</v>
      </c>
      <c r="N259" t="s">
        <v>30</v>
      </c>
      <c r="O259">
        <v>1</v>
      </c>
      <c r="P259">
        <v>2</v>
      </c>
      <c r="Q259">
        <v>2</v>
      </c>
      <c r="R259" s="4" t="str">
        <f>IF(Table5[[#This Row],[Residual Risk Score]]&lt;Table5[[#This Row],[Initial Risk Score]],"Reduced","No Reduction")</f>
        <v>Reduced</v>
      </c>
      <c r="S259" t="s">
        <v>31</v>
      </c>
      <c r="T259" t="s">
        <v>43</v>
      </c>
      <c r="U259" t="s">
        <v>52</v>
      </c>
      <c r="V259" s="2">
        <v>46594</v>
      </c>
    </row>
    <row r="260" spans="1:22" x14ac:dyDescent="0.25">
      <c r="A260" t="s">
        <v>394</v>
      </c>
      <c r="B260" s="2">
        <v>45666</v>
      </c>
      <c r="C260" t="s">
        <v>22</v>
      </c>
      <c r="D260" t="s">
        <v>98</v>
      </c>
      <c r="E260" t="s">
        <v>99</v>
      </c>
      <c r="F260" t="s">
        <v>100</v>
      </c>
      <c r="G260" t="s">
        <v>35</v>
      </c>
      <c r="H260" t="s">
        <v>68</v>
      </c>
      <c r="I260">
        <v>4</v>
      </c>
      <c r="J260">
        <v>2</v>
      </c>
      <c r="K260">
        <v>8</v>
      </c>
      <c r="L260" t="s">
        <v>28</v>
      </c>
      <c r="M260" t="s">
        <v>78</v>
      </c>
      <c r="N260" t="s">
        <v>51</v>
      </c>
      <c r="O260">
        <v>3</v>
      </c>
      <c r="P260">
        <v>1</v>
      </c>
      <c r="Q260">
        <v>3</v>
      </c>
      <c r="R260" t="str">
        <f>IF(Table5[[#This Row],[Residual Risk Score]]&gt;Table5[[#This Row],[Initial Risk Score]],"NO Reduction","Reduced")</f>
        <v>Reduced</v>
      </c>
      <c r="S260" t="s">
        <v>31</v>
      </c>
      <c r="T260" t="s">
        <v>43</v>
      </c>
      <c r="U260" t="s">
        <v>62</v>
      </c>
      <c r="V260" s="2">
        <v>46031</v>
      </c>
    </row>
    <row r="261" spans="1:22" x14ac:dyDescent="0.25">
      <c r="A261" t="s">
        <v>395</v>
      </c>
      <c r="B261" s="2">
        <v>45681</v>
      </c>
      <c r="C261" t="s">
        <v>108</v>
      </c>
      <c r="D261" t="s">
        <v>23</v>
      </c>
      <c r="E261" t="s">
        <v>162</v>
      </c>
      <c r="F261" t="s">
        <v>163</v>
      </c>
      <c r="G261" t="s">
        <v>164</v>
      </c>
      <c r="H261" t="s">
        <v>219</v>
      </c>
      <c r="I261">
        <v>5</v>
      </c>
      <c r="J261">
        <v>3</v>
      </c>
      <c r="K261">
        <v>15</v>
      </c>
      <c r="L261" t="s">
        <v>40</v>
      </c>
      <c r="M261" t="s">
        <v>83</v>
      </c>
      <c r="N261" t="s">
        <v>89</v>
      </c>
      <c r="O261">
        <v>4</v>
      </c>
      <c r="P261">
        <v>3</v>
      </c>
      <c r="Q261">
        <v>12</v>
      </c>
      <c r="R261" t="str">
        <f>IF(Table5[[#This Row],[Residual Risk Score]]&gt;Table5[[#This Row],[Initial Risk Score]],"NO Reduction","Reduced")</f>
        <v>Reduced</v>
      </c>
      <c r="S261" t="s">
        <v>40</v>
      </c>
      <c r="T261" t="s">
        <v>32</v>
      </c>
      <c r="U261" t="s">
        <v>62</v>
      </c>
      <c r="V261" s="2">
        <v>46046</v>
      </c>
    </row>
    <row r="262" spans="1:22" x14ac:dyDescent="0.25">
      <c r="A262" t="s">
        <v>396</v>
      </c>
      <c r="B262" s="2">
        <v>45944</v>
      </c>
      <c r="C262" t="s">
        <v>35</v>
      </c>
      <c r="D262" t="s">
        <v>74</v>
      </c>
      <c r="E262" t="s">
        <v>36</v>
      </c>
      <c r="F262" t="s">
        <v>37</v>
      </c>
      <c r="G262" t="s">
        <v>38</v>
      </c>
      <c r="H262" t="s">
        <v>113</v>
      </c>
      <c r="I262">
        <v>5</v>
      </c>
      <c r="J262">
        <v>4</v>
      </c>
      <c r="K262">
        <v>20</v>
      </c>
      <c r="L262" t="s">
        <v>94</v>
      </c>
      <c r="M262" t="s">
        <v>95</v>
      </c>
      <c r="N262" t="s">
        <v>42</v>
      </c>
      <c r="O262">
        <v>4</v>
      </c>
      <c r="P262">
        <v>4</v>
      </c>
      <c r="Q262">
        <v>16</v>
      </c>
      <c r="R262" t="str">
        <f>IF(Table5[[#This Row],[Residual Risk Score]]&gt;Table5[[#This Row],[Initial Risk Score]],"NO Reduction","Reduced")</f>
        <v>Reduced</v>
      </c>
      <c r="S262" t="s">
        <v>40</v>
      </c>
      <c r="T262" t="s">
        <v>61</v>
      </c>
      <c r="U262" t="s">
        <v>52</v>
      </c>
      <c r="V262" s="2">
        <v>46309</v>
      </c>
    </row>
    <row r="263" spans="1:22" x14ac:dyDescent="0.25">
      <c r="A263" t="s">
        <v>397</v>
      </c>
      <c r="B263" s="2">
        <v>45946</v>
      </c>
      <c r="C263" t="s">
        <v>64</v>
      </c>
      <c r="D263" t="s">
        <v>65</v>
      </c>
      <c r="E263" t="s">
        <v>66</v>
      </c>
      <c r="F263" t="s">
        <v>67</v>
      </c>
      <c r="G263" t="s">
        <v>35</v>
      </c>
      <c r="H263" t="s">
        <v>68</v>
      </c>
      <c r="I263">
        <v>2</v>
      </c>
      <c r="J263">
        <v>3</v>
      </c>
      <c r="K263">
        <v>6</v>
      </c>
      <c r="L263" t="s">
        <v>28</v>
      </c>
      <c r="M263" t="s">
        <v>50</v>
      </c>
      <c r="N263" t="s">
        <v>42</v>
      </c>
      <c r="O263">
        <v>1</v>
      </c>
      <c r="P263">
        <v>2</v>
      </c>
      <c r="Q263">
        <v>2</v>
      </c>
      <c r="R263" t="str">
        <f>IF(Table5[[#This Row],[Residual Risk Score]]&gt;Table5[[#This Row],[Initial Risk Score]],"NO Reduction","Reduced")</f>
        <v>Reduced</v>
      </c>
      <c r="S263" t="s">
        <v>31</v>
      </c>
      <c r="T263" t="s">
        <v>61</v>
      </c>
      <c r="U263" t="s">
        <v>33</v>
      </c>
      <c r="V263" s="2">
        <v>46311</v>
      </c>
    </row>
    <row r="264" spans="1:22" x14ac:dyDescent="0.25">
      <c r="A264" t="s">
        <v>398</v>
      </c>
      <c r="B264" s="2">
        <v>46103</v>
      </c>
      <c r="C264" t="s">
        <v>85</v>
      </c>
      <c r="D264" t="s">
        <v>98</v>
      </c>
      <c r="E264" t="s">
        <v>140</v>
      </c>
      <c r="F264" t="s">
        <v>141</v>
      </c>
      <c r="G264" t="s">
        <v>142</v>
      </c>
      <c r="H264" t="s">
        <v>153</v>
      </c>
      <c r="I264">
        <v>4</v>
      </c>
      <c r="J264">
        <v>3</v>
      </c>
      <c r="K264">
        <v>12</v>
      </c>
      <c r="L264" t="s">
        <v>40</v>
      </c>
      <c r="M264" t="s">
        <v>50</v>
      </c>
      <c r="N264" t="s">
        <v>106</v>
      </c>
      <c r="O264">
        <v>4</v>
      </c>
      <c r="P264">
        <v>2</v>
      </c>
      <c r="Q264">
        <v>8</v>
      </c>
      <c r="R264" s="4" t="str">
        <f>IF(Table5[[#This Row],[Residual Risk Score]]&lt;Table5[[#This Row],[Initial Risk Score]],"Reduced","No Reduction")</f>
        <v>Reduced</v>
      </c>
      <c r="S264" t="s">
        <v>28</v>
      </c>
      <c r="T264" t="s">
        <v>43</v>
      </c>
      <c r="U264" t="s">
        <v>71</v>
      </c>
      <c r="V264" s="2">
        <v>46468</v>
      </c>
    </row>
    <row r="265" spans="1:22" x14ac:dyDescent="0.25">
      <c r="A265" t="s">
        <v>399</v>
      </c>
      <c r="B265" s="2">
        <v>45681</v>
      </c>
      <c r="C265" t="s">
        <v>73</v>
      </c>
      <c r="D265" t="s">
        <v>74</v>
      </c>
      <c r="E265" t="s">
        <v>75</v>
      </c>
      <c r="F265" t="s">
        <v>76</v>
      </c>
      <c r="G265" t="s">
        <v>73</v>
      </c>
      <c r="H265" t="s">
        <v>116</v>
      </c>
      <c r="I265">
        <v>5</v>
      </c>
      <c r="J265">
        <v>4</v>
      </c>
      <c r="K265">
        <v>20</v>
      </c>
      <c r="L265" t="s">
        <v>94</v>
      </c>
      <c r="M265" t="s">
        <v>50</v>
      </c>
      <c r="N265" t="s">
        <v>51</v>
      </c>
      <c r="O265">
        <v>4</v>
      </c>
      <c r="P265">
        <v>3</v>
      </c>
      <c r="Q265">
        <v>12</v>
      </c>
      <c r="R265" s="4" t="str">
        <f>IF(Table5[[#This Row],[Residual Risk Score]]&lt;Table5[[#This Row],[Initial Risk Score]],"Reduced","No Reduction")</f>
        <v>Reduced</v>
      </c>
      <c r="S265" t="s">
        <v>40</v>
      </c>
      <c r="T265" t="s">
        <v>61</v>
      </c>
      <c r="U265" t="s">
        <v>71</v>
      </c>
      <c r="V265" s="2">
        <v>46411</v>
      </c>
    </row>
    <row r="266" spans="1:22" x14ac:dyDescent="0.25">
      <c r="A266" t="s">
        <v>400</v>
      </c>
      <c r="B266" s="2">
        <v>45999</v>
      </c>
      <c r="C266" t="s">
        <v>108</v>
      </c>
      <c r="D266" t="s">
        <v>108</v>
      </c>
      <c r="E266" t="s">
        <v>162</v>
      </c>
      <c r="F266" t="s">
        <v>163</v>
      </c>
      <c r="G266" t="s">
        <v>164</v>
      </c>
      <c r="H266" t="s">
        <v>68</v>
      </c>
      <c r="I266">
        <v>4</v>
      </c>
      <c r="J266">
        <v>5</v>
      </c>
      <c r="K266">
        <v>20</v>
      </c>
      <c r="L266" t="s">
        <v>94</v>
      </c>
      <c r="M266" t="s">
        <v>69</v>
      </c>
      <c r="N266" t="s">
        <v>128</v>
      </c>
      <c r="O266">
        <v>2</v>
      </c>
      <c r="P266">
        <v>4</v>
      </c>
      <c r="Q266">
        <v>8</v>
      </c>
      <c r="R266" t="str">
        <f>IF(Table5[[#This Row],[Residual Risk Score]]&gt;Table5[[#This Row],[Initial Risk Score]],"NO Reduction","Reduced")</f>
        <v>Reduced</v>
      </c>
      <c r="S266" t="s">
        <v>28</v>
      </c>
      <c r="T266" t="s">
        <v>61</v>
      </c>
      <c r="U266" t="s">
        <v>52</v>
      </c>
      <c r="V266" s="2">
        <v>46179</v>
      </c>
    </row>
    <row r="267" spans="1:22" x14ac:dyDescent="0.25">
      <c r="A267" t="s">
        <v>401</v>
      </c>
      <c r="B267" s="2">
        <v>45753</v>
      </c>
      <c r="C267" t="s">
        <v>22</v>
      </c>
      <c r="D267" t="s">
        <v>65</v>
      </c>
      <c r="E267" t="s">
        <v>24</v>
      </c>
      <c r="F267" t="s">
        <v>25</v>
      </c>
      <c r="G267" t="s">
        <v>26</v>
      </c>
      <c r="H267" t="s">
        <v>223</v>
      </c>
      <c r="I267">
        <v>2</v>
      </c>
      <c r="J267">
        <v>4</v>
      </c>
      <c r="K267">
        <v>8</v>
      </c>
      <c r="L267" t="s">
        <v>28</v>
      </c>
      <c r="M267" t="s">
        <v>95</v>
      </c>
      <c r="N267" t="s">
        <v>106</v>
      </c>
      <c r="O267">
        <v>2</v>
      </c>
      <c r="P267">
        <v>3</v>
      </c>
      <c r="Q267">
        <v>6</v>
      </c>
      <c r="R267" t="str">
        <f>IF(Table5[[#This Row],[Residual Risk Score]]&gt;Table5[[#This Row],[Initial Risk Score]],"NO Reduction","Reduced")</f>
        <v>Reduced</v>
      </c>
      <c r="S267" t="s">
        <v>28</v>
      </c>
      <c r="T267" t="s">
        <v>32</v>
      </c>
      <c r="U267" t="s">
        <v>96</v>
      </c>
      <c r="V267" s="2">
        <v>45933</v>
      </c>
    </row>
    <row r="268" spans="1:22" x14ac:dyDescent="0.25">
      <c r="A268" t="s">
        <v>402</v>
      </c>
      <c r="B268" s="2">
        <v>46242</v>
      </c>
      <c r="C268" t="s">
        <v>22</v>
      </c>
      <c r="D268" t="s">
        <v>55</v>
      </c>
      <c r="E268" t="s">
        <v>24</v>
      </c>
      <c r="F268" t="s">
        <v>25</v>
      </c>
      <c r="G268" t="s">
        <v>26</v>
      </c>
      <c r="H268" t="s">
        <v>27</v>
      </c>
      <c r="I268">
        <v>4</v>
      </c>
      <c r="J268">
        <v>4</v>
      </c>
      <c r="K268">
        <v>16</v>
      </c>
      <c r="L268" t="s">
        <v>40</v>
      </c>
      <c r="M268" t="s">
        <v>29</v>
      </c>
      <c r="N268" t="s">
        <v>51</v>
      </c>
      <c r="O268">
        <v>4</v>
      </c>
      <c r="P268">
        <v>3</v>
      </c>
      <c r="Q268">
        <v>12</v>
      </c>
      <c r="R268" s="4" t="str">
        <f>IF(Table5[[#This Row],[Residual Risk Score]]&lt;Table5[[#This Row],[Initial Risk Score]],"Reduced","No Reduction")</f>
        <v>Reduced</v>
      </c>
      <c r="S268" t="s">
        <v>40</v>
      </c>
      <c r="T268" t="s">
        <v>61</v>
      </c>
      <c r="U268" t="s">
        <v>52</v>
      </c>
      <c r="V268" s="2">
        <v>46422</v>
      </c>
    </row>
    <row r="269" spans="1:22" x14ac:dyDescent="0.25">
      <c r="A269" t="s">
        <v>403</v>
      </c>
      <c r="B269" s="2">
        <v>46255</v>
      </c>
      <c r="C269" t="s">
        <v>73</v>
      </c>
      <c r="D269" t="s">
        <v>74</v>
      </c>
      <c r="E269" t="s">
        <v>75</v>
      </c>
      <c r="F269" t="s">
        <v>76</v>
      </c>
      <c r="G269" t="s">
        <v>73</v>
      </c>
      <c r="H269" t="s">
        <v>116</v>
      </c>
      <c r="I269">
        <v>5</v>
      </c>
      <c r="J269">
        <v>4</v>
      </c>
      <c r="K269">
        <v>20</v>
      </c>
      <c r="L269" t="s">
        <v>94</v>
      </c>
      <c r="M269" t="s">
        <v>50</v>
      </c>
      <c r="N269" t="s">
        <v>89</v>
      </c>
      <c r="O269">
        <v>4</v>
      </c>
      <c r="P269">
        <v>4</v>
      </c>
      <c r="Q269">
        <v>16</v>
      </c>
      <c r="R269" s="4" t="str">
        <f>IF(Table5[[#This Row],[Residual Risk Score]]&lt;Table5[[#This Row],[Initial Risk Score]],"Reduced","No Reduction")</f>
        <v>Reduced</v>
      </c>
      <c r="S269" t="s">
        <v>40</v>
      </c>
      <c r="T269" t="s">
        <v>61</v>
      </c>
      <c r="U269" t="s">
        <v>96</v>
      </c>
      <c r="V269" s="2">
        <v>46435</v>
      </c>
    </row>
    <row r="270" spans="1:22" x14ac:dyDescent="0.25">
      <c r="A270" t="s">
        <v>404</v>
      </c>
      <c r="B270" s="2">
        <v>46238</v>
      </c>
      <c r="C270" t="s">
        <v>73</v>
      </c>
      <c r="D270" t="s">
        <v>55</v>
      </c>
      <c r="E270" t="s">
        <v>75</v>
      </c>
      <c r="F270" t="s">
        <v>76</v>
      </c>
      <c r="G270" t="s">
        <v>73</v>
      </c>
      <c r="H270" t="s">
        <v>116</v>
      </c>
      <c r="I270">
        <v>4</v>
      </c>
      <c r="J270">
        <v>5</v>
      </c>
      <c r="K270">
        <v>20</v>
      </c>
      <c r="L270" t="s">
        <v>94</v>
      </c>
      <c r="M270" t="s">
        <v>83</v>
      </c>
      <c r="N270" t="s">
        <v>128</v>
      </c>
      <c r="O270">
        <v>3</v>
      </c>
      <c r="P270">
        <v>5</v>
      </c>
      <c r="Q270">
        <v>15</v>
      </c>
      <c r="R270" s="4" t="str">
        <f>IF(Table5[[#This Row],[Residual Risk Score]]&lt;Table5[[#This Row],[Initial Risk Score]],"Reduced","No Reduction")</f>
        <v>Reduced</v>
      </c>
      <c r="S270" t="s">
        <v>40</v>
      </c>
      <c r="T270" t="s">
        <v>61</v>
      </c>
      <c r="U270" t="s">
        <v>71</v>
      </c>
      <c r="V270" s="2">
        <v>46418</v>
      </c>
    </row>
    <row r="271" spans="1:22" x14ac:dyDescent="0.25">
      <c r="A271" t="s">
        <v>405</v>
      </c>
      <c r="B271" s="2">
        <v>46032</v>
      </c>
      <c r="C271" t="s">
        <v>64</v>
      </c>
      <c r="D271" t="s">
        <v>80</v>
      </c>
      <c r="E271" t="s">
        <v>174</v>
      </c>
      <c r="F271" t="s">
        <v>175</v>
      </c>
      <c r="G271" t="s">
        <v>176</v>
      </c>
      <c r="H271" t="s">
        <v>201</v>
      </c>
      <c r="I271">
        <v>2</v>
      </c>
      <c r="J271">
        <v>4</v>
      </c>
      <c r="K271">
        <v>8</v>
      </c>
      <c r="L271" t="s">
        <v>28</v>
      </c>
      <c r="M271" t="s">
        <v>101</v>
      </c>
      <c r="N271" t="s">
        <v>102</v>
      </c>
      <c r="O271">
        <v>1</v>
      </c>
      <c r="P271">
        <v>4</v>
      </c>
      <c r="Q271">
        <v>4</v>
      </c>
      <c r="R271" t="str">
        <f>IF(Table5[[#This Row],[Residual Risk Score]]&gt;Table5[[#This Row],[Initial Risk Score]],"NO Reduction","Reduced")</f>
        <v>Reduced</v>
      </c>
      <c r="S271" t="s">
        <v>31</v>
      </c>
      <c r="T271" t="s">
        <v>32</v>
      </c>
      <c r="U271" t="s">
        <v>33</v>
      </c>
      <c r="V271" s="2">
        <v>46212</v>
      </c>
    </row>
    <row r="272" spans="1:22" x14ac:dyDescent="0.25">
      <c r="A272" t="s">
        <v>406</v>
      </c>
      <c r="B272" s="2">
        <v>46061</v>
      </c>
      <c r="C272" t="s">
        <v>85</v>
      </c>
      <c r="D272" t="s">
        <v>80</v>
      </c>
      <c r="E272" t="s">
        <v>140</v>
      </c>
      <c r="F272" t="s">
        <v>141</v>
      </c>
      <c r="G272" t="s">
        <v>142</v>
      </c>
      <c r="H272" t="s">
        <v>153</v>
      </c>
      <c r="I272">
        <v>5</v>
      </c>
      <c r="J272">
        <v>2</v>
      </c>
      <c r="K272">
        <v>10</v>
      </c>
      <c r="L272" t="s">
        <v>40</v>
      </c>
      <c r="M272" t="s">
        <v>95</v>
      </c>
      <c r="N272" t="s">
        <v>51</v>
      </c>
      <c r="O272">
        <v>3</v>
      </c>
      <c r="P272">
        <v>2</v>
      </c>
      <c r="Q272">
        <v>6</v>
      </c>
      <c r="R272" s="4" t="str">
        <f>IF(Table5[[#This Row],[Residual Risk Score]]&lt;Table5[[#This Row],[Initial Risk Score]],"Reduced","No Reduction")</f>
        <v>Reduced</v>
      </c>
      <c r="S272" t="s">
        <v>28</v>
      </c>
      <c r="T272" t="s">
        <v>61</v>
      </c>
      <c r="U272" t="s">
        <v>33</v>
      </c>
      <c r="V272" s="2">
        <v>46426</v>
      </c>
    </row>
    <row r="273" spans="1:22" x14ac:dyDescent="0.25">
      <c r="A273" t="s">
        <v>407</v>
      </c>
      <c r="B273" s="2">
        <v>46157</v>
      </c>
      <c r="C273" t="s">
        <v>64</v>
      </c>
      <c r="D273" t="s">
        <v>98</v>
      </c>
      <c r="E273" t="s">
        <v>91</v>
      </c>
      <c r="F273" t="s">
        <v>92</v>
      </c>
      <c r="G273" t="s">
        <v>35</v>
      </c>
      <c r="H273" t="s">
        <v>68</v>
      </c>
      <c r="I273">
        <v>2</v>
      </c>
      <c r="J273">
        <v>2</v>
      </c>
      <c r="K273">
        <v>4</v>
      </c>
      <c r="L273" t="s">
        <v>31</v>
      </c>
      <c r="M273" t="s">
        <v>41</v>
      </c>
      <c r="N273" t="s">
        <v>70</v>
      </c>
      <c r="O273">
        <v>1</v>
      </c>
      <c r="P273">
        <v>1</v>
      </c>
      <c r="Q273">
        <v>1</v>
      </c>
      <c r="R273" s="4" t="str">
        <f>IF(Table5[[#This Row],[Residual Risk Score]]&lt;Table5[[#This Row],[Initial Risk Score]],"Reduced","No Reduction")</f>
        <v>Reduced</v>
      </c>
      <c r="S273" t="s">
        <v>31</v>
      </c>
      <c r="T273" t="s">
        <v>61</v>
      </c>
      <c r="U273" t="s">
        <v>62</v>
      </c>
      <c r="V273" s="2">
        <v>46522</v>
      </c>
    </row>
    <row r="274" spans="1:22" x14ac:dyDescent="0.25">
      <c r="A274" t="s">
        <v>408</v>
      </c>
      <c r="B274" s="2">
        <v>46118</v>
      </c>
      <c r="C274" t="s">
        <v>45</v>
      </c>
      <c r="D274" t="s">
        <v>80</v>
      </c>
      <c r="E274" t="s">
        <v>46</v>
      </c>
      <c r="F274" t="s">
        <v>47</v>
      </c>
      <c r="G274" t="s">
        <v>48</v>
      </c>
      <c r="H274" t="s">
        <v>49</v>
      </c>
      <c r="I274">
        <v>4</v>
      </c>
      <c r="J274">
        <v>5</v>
      </c>
      <c r="K274">
        <v>20</v>
      </c>
      <c r="L274" t="s">
        <v>94</v>
      </c>
      <c r="M274" t="s">
        <v>69</v>
      </c>
      <c r="N274" t="s">
        <v>42</v>
      </c>
      <c r="O274">
        <v>3</v>
      </c>
      <c r="P274">
        <v>4</v>
      </c>
      <c r="Q274">
        <v>12</v>
      </c>
      <c r="R274" s="4" t="str">
        <f>IF(Table5[[#This Row],[Residual Risk Score]]&lt;Table5[[#This Row],[Initial Risk Score]],"Reduced","No Reduction")</f>
        <v>Reduced</v>
      </c>
      <c r="S274" t="s">
        <v>40</v>
      </c>
      <c r="T274" t="s">
        <v>43</v>
      </c>
      <c r="U274" t="s">
        <v>52</v>
      </c>
      <c r="V274" s="2">
        <v>46483</v>
      </c>
    </row>
    <row r="275" spans="1:22" x14ac:dyDescent="0.25">
      <c r="A275" t="s">
        <v>409</v>
      </c>
      <c r="B275" s="2">
        <v>46190</v>
      </c>
      <c r="C275" t="s">
        <v>35</v>
      </c>
      <c r="D275" t="s">
        <v>74</v>
      </c>
      <c r="E275" t="s">
        <v>120</v>
      </c>
      <c r="F275" t="s">
        <v>121</v>
      </c>
      <c r="G275" t="s">
        <v>35</v>
      </c>
      <c r="H275" t="s">
        <v>68</v>
      </c>
      <c r="I275">
        <v>3</v>
      </c>
      <c r="J275">
        <v>2</v>
      </c>
      <c r="K275">
        <v>6</v>
      </c>
      <c r="L275" t="s">
        <v>28</v>
      </c>
      <c r="M275" t="s">
        <v>83</v>
      </c>
      <c r="N275" t="s">
        <v>128</v>
      </c>
      <c r="O275">
        <v>2</v>
      </c>
      <c r="P275">
        <v>1</v>
      </c>
      <c r="Q275">
        <v>2</v>
      </c>
      <c r="R275" s="4" t="str">
        <f>IF(Table5[[#This Row],[Residual Risk Score]]&lt;Table5[[#This Row],[Initial Risk Score]],"Reduced","No Reduction")</f>
        <v>Reduced</v>
      </c>
      <c r="S275" t="s">
        <v>31</v>
      </c>
      <c r="T275" t="s">
        <v>43</v>
      </c>
      <c r="U275" t="s">
        <v>33</v>
      </c>
      <c r="V275" s="2">
        <v>46555</v>
      </c>
    </row>
    <row r="276" spans="1:22" x14ac:dyDescent="0.25">
      <c r="A276" t="s">
        <v>410</v>
      </c>
      <c r="B276" s="2">
        <v>46307</v>
      </c>
      <c r="C276" t="s">
        <v>54</v>
      </c>
      <c r="D276" t="s">
        <v>98</v>
      </c>
      <c r="E276" t="s">
        <v>56</v>
      </c>
      <c r="F276" t="s">
        <v>57</v>
      </c>
      <c r="G276" t="s">
        <v>58</v>
      </c>
      <c r="H276" t="s">
        <v>59</v>
      </c>
      <c r="I276">
        <v>3</v>
      </c>
      <c r="J276">
        <v>2</v>
      </c>
      <c r="K276">
        <v>6</v>
      </c>
      <c r="L276" t="s">
        <v>28</v>
      </c>
      <c r="M276" t="s">
        <v>101</v>
      </c>
      <c r="N276" t="s">
        <v>70</v>
      </c>
      <c r="O276">
        <v>1</v>
      </c>
      <c r="P276">
        <v>2</v>
      </c>
      <c r="Q276">
        <v>2</v>
      </c>
      <c r="R276" s="4" t="str">
        <f>IF(Table5[[#This Row],[Residual Risk Score]]&lt;Table5[[#This Row],[Initial Risk Score]],"Reduced","No Reduction")</f>
        <v>Reduced</v>
      </c>
      <c r="S276" t="s">
        <v>31</v>
      </c>
      <c r="T276" t="s">
        <v>32</v>
      </c>
      <c r="U276" t="s">
        <v>96</v>
      </c>
      <c r="V276" s="2">
        <v>47037</v>
      </c>
    </row>
    <row r="277" spans="1:22" x14ac:dyDescent="0.25">
      <c r="A277" t="s">
        <v>411</v>
      </c>
      <c r="B277" s="2">
        <v>46059</v>
      </c>
      <c r="C277" t="s">
        <v>64</v>
      </c>
      <c r="D277" t="s">
        <v>55</v>
      </c>
      <c r="E277" t="s">
        <v>66</v>
      </c>
      <c r="F277" t="s">
        <v>67</v>
      </c>
      <c r="G277" t="s">
        <v>35</v>
      </c>
      <c r="H277" t="s">
        <v>122</v>
      </c>
      <c r="I277">
        <v>3</v>
      </c>
      <c r="J277">
        <v>4</v>
      </c>
      <c r="K277">
        <v>12</v>
      </c>
      <c r="L277" t="s">
        <v>40</v>
      </c>
      <c r="M277" t="s">
        <v>41</v>
      </c>
      <c r="N277" t="s">
        <v>128</v>
      </c>
      <c r="O277">
        <v>3</v>
      </c>
      <c r="P277">
        <v>4</v>
      </c>
      <c r="Q277">
        <v>12</v>
      </c>
      <c r="R277" s="4" t="str">
        <f>IF(Table5[[#This Row],[Residual Risk Score]]&lt;Table5[[#This Row],[Initial Risk Score]],"Reduced","No Reduction")</f>
        <v>No Reduction</v>
      </c>
      <c r="S277" t="s">
        <v>40</v>
      </c>
      <c r="T277" t="s">
        <v>32</v>
      </c>
      <c r="U277" t="s">
        <v>71</v>
      </c>
      <c r="V277" s="2">
        <v>46424</v>
      </c>
    </row>
    <row r="278" spans="1:22" x14ac:dyDescent="0.25">
      <c r="A278" t="s">
        <v>412</v>
      </c>
      <c r="B278" s="2">
        <v>46109</v>
      </c>
      <c r="C278" t="s">
        <v>73</v>
      </c>
      <c r="D278" t="s">
        <v>55</v>
      </c>
      <c r="E278" t="s">
        <v>75</v>
      </c>
      <c r="F278" t="s">
        <v>76</v>
      </c>
      <c r="G278" t="s">
        <v>73</v>
      </c>
      <c r="H278" t="s">
        <v>68</v>
      </c>
      <c r="I278">
        <v>3</v>
      </c>
      <c r="J278">
        <v>4</v>
      </c>
      <c r="K278">
        <v>12</v>
      </c>
      <c r="L278" t="s">
        <v>40</v>
      </c>
      <c r="M278" t="s">
        <v>83</v>
      </c>
      <c r="N278" t="s">
        <v>124</v>
      </c>
      <c r="O278">
        <v>3</v>
      </c>
      <c r="P278">
        <v>3</v>
      </c>
      <c r="Q278">
        <v>9</v>
      </c>
      <c r="R278" t="str">
        <f>IF(Table5[[#This Row],[Residual Risk Score]]&gt;Table5[[#This Row],[Initial Risk Score]],"NO Reduction","Reduced")</f>
        <v>Reduced</v>
      </c>
      <c r="S278" t="s">
        <v>28</v>
      </c>
      <c r="T278" t="s">
        <v>43</v>
      </c>
      <c r="U278" t="s">
        <v>33</v>
      </c>
      <c r="V278" s="2">
        <v>46289</v>
      </c>
    </row>
    <row r="279" spans="1:22" x14ac:dyDescent="0.25">
      <c r="A279" t="s">
        <v>413</v>
      </c>
      <c r="B279" s="2">
        <v>46120</v>
      </c>
      <c r="C279" t="s">
        <v>85</v>
      </c>
      <c r="D279" t="s">
        <v>23</v>
      </c>
      <c r="E279" t="s">
        <v>86</v>
      </c>
      <c r="F279" t="s">
        <v>87</v>
      </c>
      <c r="G279" t="s">
        <v>48</v>
      </c>
      <c r="H279" t="s">
        <v>88</v>
      </c>
      <c r="I279">
        <v>5</v>
      </c>
      <c r="J279">
        <v>3</v>
      </c>
      <c r="K279">
        <v>15</v>
      </c>
      <c r="L279" t="s">
        <v>40</v>
      </c>
      <c r="M279" t="s">
        <v>78</v>
      </c>
      <c r="N279" t="s">
        <v>42</v>
      </c>
      <c r="O279">
        <v>5</v>
      </c>
      <c r="P279">
        <v>2</v>
      </c>
      <c r="Q279">
        <v>10</v>
      </c>
      <c r="R279" s="4" t="str">
        <f>IF(Table5[[#This Row],[Residual Risk Score]]&lt;Table5[[#This Row],[Initial Risk Score]],"Reduced","No Reduction")</f>
        <v>Reduced</v>
      </c>
      <c r="S279" t="s">
        <v>40</v>
      </c>
      <c r="T279" t="s">
        <v>32</v>
      </c>
      <c r="U279" t="s">
        <v>62</v>
      </c>
      <c r="V279" s="2">
        <v>46485</v>
      </c>
    </row>
    <row r="280" spans="1:22" x14ac:dyDescent="0.25">
      <c r="A280" t="s">
        <v>414</v>
      </c>
      <c r="B280" s="2">
        <v>46324</v>
      </c>
      <c r="C280" t="s">
        <v>22</v>
      </c>
      <c r="D280" t="s">
        <v>80</v>
      </c>
      <c r="E280" t="s">
        <v>135</v>
      </c>
      <c r="F280" t="s">
        <v>136</v>
      </c>
      <c r="G280" t="s">
        <v>35</v>
      </c>
      <c r="H280" t="s">
        <v>137</v>
      </c>
      <c r="I280">
        <v>4</v>
      </c>
      <c r="J280">
        <v>4</v>
      </c>
      <c r="K280">
        <v>16</v>
      </c>
      <c r="L280" t="s">
        <v>40</v>
      </c>
      <c r="M280" t="s">
        <v>78</v>
      </c>
      <c r="N280" t="s">
        <v>51</v>
      </c>
      <c r="O280">
        <v>3</v>
      </c>
      <c r="P280">
        <v>4</v>
      </c>
      <c r="Q280">
        <v>12</v>
      </c>
      <c r="R280" s="4" t="str">
        <f>IF(Table5[[#This Row],[Residual Risk Score]]&lt;Table5[[#This Row],[Initial Risk Score]],"Reduced","No Reduction")</f>
        <v>Reduced</v>
      </c>
      <c r="S280" t="s">
        <v>40</v>
      </c>
      <c r="T280" t="s">
        <v>32</v>
      </c>
      <c r="U280" t="s">
        <v>96</v>
      </c>
      <c r="V280" s="2">
        <v>46504</v>
      </c>
    </row>
    <row r="281" spans="1:22" x14ac:dyDescent="0.25">
      <c r="A281" t="s">
        <v>415</v>
      </c>
      <c r="B281" s="2">
        <v>45991</v>
      </c>
      <c r="C281" t="s">
        <v>45</v>
      </c>
      <c r="D281" t="s">
        <v>98</v>
      </c>
      <c r="E281" t="s">
        <v>46</v>
      </c>
      <c r="F281" t="s">
        <v>47</v>
      </c>
      <c r="G281" t="s">
        <v>48</v>
      </c>
      <c r="H281" t="s">
        <v>39</v>
      </c>
      <c r="I281">
        <v>2</v>
      </c>
      <c r="J281">
        <v>4</v>
      </c>
      <c r="K281">
        <v>8</v>
      </c>
      <c r="L281" t="s">
        <v>28</v>
      </c>
      <c r="M281" t="s">
        <v>83</v>
      </c>
      <c r="N281" t="s">
        <v>128</v>
      </c>
      <c r="O281">
        <v>1</v>
      </c>
      <c r="P281">
        <v>3</v>
      </c>
      <c r="Q281">
        <v>3</v>
      </c>
      <c r="R281" t="str">
        <f>IF(Table5[[#This Row],[Residual Risk Score]]&gt;Table5[[#This Row],[Initial Risk Score]],"NO Reduction","Reduced")</f>
        <v>Reduced</v>
      </c>
      <c r="S281" t="s">
        <v>31</v>
      </c>
      <c r="T281" t="s">
        <v>61</v>
      </c>
      <c r="U281" t="s">
        <v>62</v>
      </c>
      <c r="V281" s="2">
        <v>46171</v>
      </c>
    </row>
    <row r="282" spans="1:22" x14ac:dyDescent="0.25">
      <c r="A282" t="s">
        <v>416</v>
      </c>
      <c r="B282" s="2">
        <v>45690</v>
      </c>
      <c r="C282" t="s">
        <v>73</v>
      </c>
      <c r="D282" t="s">
        <v>98</v>
      </c>
      <c r="E282" t="s">
        <v>75</v>
      </c>
      <c r="F282" t="s">
        <v>76</v>
      </c>
      <c r="G282" t="s">
        <v>73</v>
      </c>
      <c r="H282" t="s">
        <v>77</v>
      </c>
      <c r="I282">
        <v>3</v>
      </c>
      <c r="J282">
        <v>3</v>
      </c>
      <c r="K282">
        <v>9</v>
      </c>
      <c r="L282" t="s">
        <v>28</v>
      </c>
      <c r="M282" t="s">
        <v>50</v>
      </c>
      <c r="N282" t="s">
        <v>124</v>
      </c>
      <c r="O282">
        <v>2</v>
      </c>
      <c r="P282">
        <v>2</v>
      </c>
      <c r="Q282">
        <v>4</v>
      </c>
      <c r="R282" s="4" t="str">
        <f>IF(Table5[[#This Row],[Residual Risk Score]]&lt;Table5[[#This Row],[Initial Risk Score]],"Reduced","No Reduction")</f>
        <v>Reduced</v>
      </c>
      <c r="S282" t="s">
        <v>31</v>
      </c>
      <c r="T282" t="s">
        <v>32</v>
      </c>
      <c r="U282" t="s">
        <v>96</v>
      </c>
      <c r="V282" s="2">
        <v>46420</v>
      </c>
    </row>
    <row r="283" spans="1:22" x14ac:dyDescent="0.25">
      <c r="A283" t="s">
        <v>417</v>
      </c>
      <c r="B283" s="2">
        <v>46129</v>
      </c>
      <c r="C283" t="s">
        <v>73</v>
      </c>
      <c r="D283" t="s">
        <v>108</v>
      </c>
      <c r="E283" t="s">
        <v>75</v>
      </c>
      <c r="F283" t="s">
        <v>76</v>
      </c>
      <c r="G283" t="s">
        <v>73</v>
      </c>
      <c r="H283" t="s">
        <v>77</v>
      </c>
      <c r="I283">
        <v>3</v>
      </c>
      <c r="J283">
        <v>5</v>
      </c>
      <c r="K283">
        <v>15</v>
      </c>
      <c r="L283" t="s">
        <v>40</v>
      </c>
      <c r="M283" t="s">
        <v>101</v>
      </c>
      <c r="N283" t="s">
        <v>124</v>
      </c>
      <c r="O283">
        <v>3</v>
      </c>
      <c r="P283">
        <v>5</v>
      </c>
      <c r="Q283">
        <v>15</v>
      </c>
      <c r="R283" s="4" t="str">
        <f>IF(Table5[[#This Row],[Residual Risk Score]]&lt;Table5[[#This Row],[Initial Risk Score]],"Reduced","No Reduction")</f>
        <v>No Reduction</v>
      </c>
      <c r="S283" t="s">
        <v>40</v>
      </c>
      <c r="T283" t="s">
        <v>61</v>
      </c>
      <c r="U283" t="s">
        <v>71</v>
      </c>
      <c r="V283" s="2">
        <v>46494</v>
      </c>
    </row>
    <row r="284" spans="1:22" x14ac:dyDescent="0.25">
      <c r="A284" t="s">
        <v>418</v>
      </c>
      <c r="B284" s="2">
        <v>46175</v>
      </c>
      <c r="C284" t="s">
        <v>22</v>
      </c>
      <c r="D284" t="s">
        <v>74</v>
      </c>
      <c r="E284" t="s">
        <v>24</v>
      </c>
      <c r="F284" t="s">
        <v>25</v>
      </c>
      <c r="G284" t="s">
        <v>26</v>
      </c>
      <c r="H284" t="s">
        <v>27</v>
      </c>
      <c r="I284">
        <v>5</v>
      </c>
      <c r="J284">
        <v>5</v>
      </c>
      <c r="K284">
        <v>25</v>
      </c>
      <c r="L284" t="s">
        <v>94</v>
      </c>
      <c r="M284" t="s">
        <v>83</v>
      </c>
      <c r="N284" t="s">
        <v>128</v>
      </c>
      <c r="O284">
        <v>4</v>
      </c>
      <c r="P284">
        <v>5</v>
      </c>
      <c r="Q284">
        <v>20</v>
      </c>
      <c r="R284" s="4" t="str">
        <f>IF(Table5[[#This Row],[Residual Risk Score]]&lt;Table5[[#This Row],[Initial Risk Score]],"Reduced","No Reduction")</f>
        <v>Reduced</v>
      </c>
      <c r="S284" t="s">
        <v>94</v>
      </c>
      <c r="T284" t="s">
        <v>43</v>
      </c>
      <c r="U284" t="s">
        <v>96</v>
      </c>
      <c r="V284" s="2">
        <v>46540</v>
      </c>
    </row>
    <row r="285" spans="1:22" x14ac:dyDescent="0.25">
      <c r="A285" t="s">
        <v>419</v>
      </c>
      <c r="B285" s="2">
        <v>46183</v>
      </c>
      <c r="C285" t="s">
        <v>35</v>
      </c>
      <c r="D285" t="s">
        <v>98</v>
      </c>
      <c r="E285" t="s">
        <v>36</v>
      </c>
      <c r="F285" t="s">
        <v>37</v>
      </c>
      <c r="G285" t="s">
        <v>38</v>
      </c>
      <c r="H285" t="s">
        <v>116</v>
      </c>
      <c r="I285">
        <v>2</v>
      </c>
      <c r="J285">
        <v>2</v>
      </c>
      <c r="K285">
        <v>4</v>
      </c>
      <c r="L285" t="s">
        <v>31</v>
      </c>
      <c r="M285" t="s">
        <v>41</v>
      </c>
      <c r="N285" t="s">
        <v>51</v>
      </c>
      <c r="O285">
        <v>2</v>
      </c>
      <c r="P285">
        <v>2</v>
      </c>
      <c r="Q285">
        <v>4</v>
      </c>
      <c r="R285" s="4" t="str">
        <f>IF(Table5[[#This Row],[Residual Risk Score]]&lt;Table5[[#This Row],[Initial Risk Score]],"Reduced","No Reduction")</f>
        <v>No Reduction</v>
      </c>
      <c r="S285" t="s">
        <v>31</v>
      </c>
      <c r="T285" t="s">
        <v>43</v>
      </c>
      <c r="U285" t="s">
        <v>96</v>
      </c>
      <c r="V285" s="2">
        <v>46548</v>
      </c>
    </row>
    <row r="286" spans="1:22" x14ac:dyDescent="0.25">
      <c r="A286" t="s">
        <v>420</v>
      </c>
      <c r="B286" s="2">
        <v>45778</v>
      </c>
      <c r="C286" t="s">
        <v>35</v>
      </c>
      <c r="D286" t="s">
        <v>80</v>
      </c>
      <c r="E286" t="s">
        <v>36</v>
      </c>
      <c r="F286" t="s">
        <v>37</v>
      </c>
      <c r="G286" t="s">
        <v>38</v>
      </c>
      <c r="H286" t="s">
        <v>113</v>
      </c>
      <c r="I286">
        <v>2</v>
      </c>
      <c r="J286">
        <v>2</v>
      </c>
      <c r="K286">
        <v>4</v>
      </c>
      <c r="L286" t="s">
        <v>31</v>
      </c>
      <c r="M286" t="s">
        <v>50</v>
      </c>
      <c r="N286" t="s">
        <v>89</v>
      </c>
      <c r="O286">
        <v>1</v>
      </c>
      <c r="P286">
        <v>2</v>
      </c>
      <c r="Q286">
        <v>2</v>
      </c>
      <c r="R286" t="str">
        <f>IF(Table5[[#This Row],[Residual Risk Score]]&gt;Table5[[#This Row],[Initial Risk Score]],"NO Reduction","Reduced")</f>
        <v>Reduced</v>
      </c>
      <c r="S286" t="s">
        <v>31</v>
      </c>
      <c r="T286" t="s">
        <v>43</v>
      </c>
      <c r="U286" t="s">
        <v>52</v>
      </c>
      <c r="V286" s="2">
        <v>46143</v>
      </c>
    </row>
    <row r="287" spans="1:22" x14ac:dyDescent="0.25">
      <c r="A287" t="s">
        <v>421</v>
      </c>
      <c r="B287" s="2">
        <v>45864</v>
      </c>
      <c r="C287" t="s">
        <v>45</v>
      </c>
      <c r="D287" t="s">
        <v>65</v>
      </c>
      <c r="E287" t="s">
        <v>46</v>
      </c>
      <c r="F287" t="s">
        <v>47</v>
      </c>
      <c r="G287" t="s">
        <v>48</v>
      </c>
      <c r="H287" t="s">
        <v>49</v>
      </c>
      <c r="I287">
        <v>4</v>
      </c>
      <c r="J287">
        <v>2</v>
      </c>
      <c r="K287">
        <v>8</v>
      </c>
      <c r="L287" t="s">
        <v>28</v>
      </c>
      <c r="M287" t="s">
        <v>69</v>
      </c>
      <c r="N287" t="s">
        <v>124</v>
      </c>
      <c r="O287">
        <v>2</v>
      </c>
      <c r="P287">
        <v>2</v>
      </c>
      <c r="Q287">
        <v>4</v>
      </c>
      <c r="R287" t="str">
        <f>IF(Table5[[#This Row],[Residual Risk Score]]&gt;Table5[[#This Row],[Initial Risk Score]],"NO Reduction","Reduced")</f>
        <v>Reduced</v>
      </c>
      <c r="S287" t="s">
        <v>31</v>
      </c>
      <c r="T287" t="s">
        <v>32</v>
      </c>
      <c r="U287" t="s">
        <v>33</v>
      </c>
      <c r="V287" s="2">
        <v>46229</v>
      </c>
    </row>
    <row r="288" spans="1:22" x14ac:dyDescent="0.25">
      <c r="A288" t="s">
        <v>422</v>
      </c>
      <c r="B288" s="2">
        <v>46230</v>
      </c>
      <c r="C288" t="s">
        <v>22</v>
      </c>
      <c r="D288" t="s">
        <v>65</v>
      </c>
      <c r="E288" t="s">
        <v>81</v>
      </c>
      <c r="F288" t="s">
        <v>82</v>
      </c>
      <c r="G288" t="s">
        <v>81</v>
      </c>
      <c r="H288" t="s">
        <v>143</v>
      </c>
      <c r="I288">
        <v>3</v>
      </c>
      <c r="J288">
        <v>4</v>
      </c>
      <c r="K288">
        <v>12</v>
      </c>
      <c r="L288" t="s">
        <v>40</v>
      </c>
      <c r="M288" t="s">
        <v>69</v>
      </c>
      <c r="N288" t="s">
        <v>30</v>
      </c>
      <c r="O288">
        <v>3</v>
      </c>
      <c r="P288">
        <v>3</v>
      </c>
      <c r="Q288">
        <v>9</v>
      </c>
      <c r="R288" s="4" t="str">
        <f>IF(Table5[[#This Row],[Residual Risk Score]]&lt;Table5[[#This Row],[Initial Risk Score]],"Reduced","No Reduction")</f>
        <v>Reduced</v>
      </c>
      <c r="S288" t="s">
        <v>28</v>
      </c>
      <c r="T288" t="s">
        <v>32</v>
      </c>
      <c r="U288" t="s">
        <v>52</v>
      </c>
      <c r="V288" s="2">
        <v>46410</v>
      </c>
    </row>
    <row r="289" spans="1:22" x14ac:dyDescent="0.25">
      <c r="A289" t="s">
        <v>423</v>
      </c>
      <c r="B289" s="2">
        <v>46250</v>
      </c>
      <c r="C289" t="s">
        <v>45</v>
      </c>
      <c r="D289" t="s">
        <v>98</v>
      </c>
      <c r="E289" t="s">
        <v>46</v>
      </c>
      <c r="F289" t="s">
        <v>47</v>
      </c>
      <c r="G289" t="s">
        <v>48</v>
      </c>
      <c r="H289" t="s">
        <v>49</v>
      </c>
      <c r="I289">
        <v>3</v>
      </c>
      <c r="J289">
        <v>3</v>
      </c>
      <c r="K289">
        <v>9</v>
      </c>
      <c r="L289" t="s">
        <v>28</v>
      </c>
      <c r="M289" t="s">
        <v>41</v>
      </c>
      <c r="N289" t="s">
        <v>106</v>
      </c>
      <c r="O289">
        <v>2</v>
      </c>
      <c r="P289">
        <v>3</v>
      </c>
      <c r="Q289">
        <v>6</v>
      </c>
      <c r="R289" s="4" t="str">
        <f>IF(Table5[[#This Row],[Residual Risk Score]]&lt;Table5[[#This Row],[Initial Risk Score]],"Reduced","No Reduction")</f>
        <v>Reduced</v>
      </c>
      <c r="S289" t="s">
        <v>28</v>
      </c>
      <c r="T289" t="s">
        <v>61</v>
      </c>
      <c r="U289" t="s">
        <v>52</v>
      </c>
      <c r="V289" s="2">
        <v>46980</v>
      </c>
    </row>
    <row r="290" spans="1:22" x14ac:dyDescent="0.25">
      <c r="A290" t="s">
        <v>424</v>
      </c>
      <c r="B290" s="2">
        <v>46082</v>
      </c>
      <c r="C290" t="s">
        <v>64</v>
      </c>
      <c r="D290" t="s">
        <v>65</v>
      </c>
      <c r="E290" t="s">
        <v>174</v>
      </c>
      <c r="F290" t="s">
        <v>175</v>
      </c>
      <c r="G290" t="s">
        <v>176</v>
      </c>
      <c r="H290" t="s">
        <v>177</v>
      </c>
      <c r="I290">
        <v>3</v>
      </c>
      <c r="J290">
        <v>5</v>
      </c>
      <c r="K290">
        <v>15</v>
      </c>
      <c r="L290" t="s">
        <v>40</v>
      </c>
      <c r="M290" t="s">
        <v>50</v>
      </c>
      <c r="N290" t="s">
        <v>102</v>
      </c>
      <c r="O290">
        <v>2</v>
      </c>
      <c r="P290">
        <v>4</v>
      </c>
      <c r="Q290">
        <v>8</v>
      </c>
      <c r="R290" t="str">
        <f>IF(Table5[[#This Row],[Residual Risk Score]]&gt;Table5[[#This Row],[Initial Risk Score]],"NO Reduction","Reduced")</f>
        <v>Reduced</v>
      </c>
      <c r="S290" t="s">
        <v>28</v>
      </c>
      <c r="T290" t="s">
        <v>43</v>
      </c>
      <c r="U290" t="s">
        <v>33</v>
      </c>
      <c r="V290" s="2">
        <v>46262</v>
      </c>
    </row>
    <row r="291" spans="1:22" x14ac:dyDescent="0.25">
      <c r="A291" t="s">
        <v>425</v>
      </c>
      <c r="B291" s="2">
        <v>45844</v>
      </c>
      <c r="C291" t="s">
        <v>85</v>
      </c>
      <c r="D291" t="s">
        <v>23</v>
      </c>
      <c r="E291" t="s">
        <v>86</v>
      </c>
      <c r="F291" t="s">
        <v>87</v>
      </c>
      <c r="G291" t="s">
        <v>48</v>
      </c>
      <c r="H291" t="s">
        <v>88</v>
      </c>
      <c r="I291">
        <v>4</v>
      </c>
      <c r="J291">
        <v>4</v>
      </c>
      <c r="K291">
        <v>16</v>
      </c>
      <c r="L291" t="s">
        <v>40</v>
      </c>
      <c r="M291" t="s">
        <v>69</v>
      </c>
      <c r="N291" t="s">
        <v>60</v>
      </c>
      <c r="O291">
        <v>3</v>
      </c>
      <c r="P291">
        <v>3</v>
      </c>
      <c r="Q291">
        <v>9</v>
      </c>
      <c r="R291" t="str">
        <f>IF(Table5[[#This Row],[Residual Risk Score]]&gt;Table5[[#This Row],[Initial Risk Score]],"NO Reduction","Reduced")</f>
        <v>Reduced</v>
      </c>
      <c r="S291" t="s">
        <v>28</v>
      </c>
      <c r="T291" t="s">
        <v>61</v>
      </c>
      <c r="U291" t="s">
        <v>33</v>
      </c>
      <c r="V291" s="2">
        <v>46209</v>
      </c>
    </row>
    <row r="292" spans="1:22" x14ac:dyDescent="0.25">
      <c r="A292" t="s">
        <v>426</v>
      </c>
      <c r="B292" s="2">
        <v>46106</v>
      </c>
      <c r="C292" t="s">
        <v>22</v>
      </c>
      <c r="D292" t="s">
        <v>74</v>
      </c>
      <c r="E292" t="s">
        <v>135</v>
      </c>
      <c r="F292" t="s">
        <v>136</v>
      </c>
      <c r="G292" t="s">
        <v>35</v>
      </c>
      <c r="H292" t="s">
        <v>93</v>
      </c>
      <c r="I292">
        <v>4</v>
      </c>
      <c r="J292">
        <v>2</v>
      </c>
      <c r="K292">
        <v>8</v>
      </c>
      <c r="L292" t="s">
        <v>28</v>
      </c>
      <c r="M292" t="s">
        <v>95</v>
      </c>
      <c r="N292" t="s">
        <v>51</v>
      </c>
      <c r="O292">
        <v>4</v>
      </c>
      <c r="P292">
        <v>2</v>
      </c>
      <c r="Q292">
        <v>8</v>
      </c>
      <c r="R292" t="str">
        <f>IF(Table5[[#This Row],[Residual Risk Score]]&gt;Table5[[#This Row],[Initial Risk Score]],"NO Reduction","Reduced")</f>
        <v>Reduced</v>
      </c>
      <c r="S292" t="s">
        <v>28</v>
      </c>
      <c r="T292" t="s">
        <v>61</v>
      </c>
      <c r="U292" t="s">
        <v>62</v>
      </c>
      <c r="V292" s="2">
        <v>46286</v>
      </c>
    </row>
    <row r="293" spans="1:22" x14ac:dyDescent="0.25">
      <c r="A293" t="s">
        <v>427</v>
      </c>
      <c r="B293" s="2">
        <v>46054</v>
      </c>
      <c r="C293" t="s">
        <v>45</v>
      </c>
      <c r="D293" t="s">
        <v>80</v>
      </c>
      <c r="E293" t="s">
        <v>46</v>
      </c>
      <c r="F293" t="s">
        <v>47</v>
      </c>
      <c r="G293" t="s">
        <v>48</v>
      </c>
      <c r="H293" t="s">
        <v>49</v>
      </c>
      <c r="I293">
        <v>3</v>
      </c>
      <c r="J293">
        <v>2</v>
      </c>
      <c r="K293">
        <v>6</v>
      </c>
      <c r="L293" t="s">
        <v>28</v>
      </c>
      <c r="M293" t="s">
        <v>95</v>
      </c>
      <c r="N293" t="s">
        <v>128</v>
      </c>
      <c r="O293">
        <v>3</v>
      </c>
      <c r="P293">
        <v>2</v>
      </c>
      <c r="Q293">
        <v>6</v>
      </c>
      <c r="R293" s="4" t="str">
        <f>IF(Table5[[#This Row],[Residual Risk Score]]&lt;Table5[[#This Row],[Initial Risk Score]],"Reduced","No Reduction")</f>
        <v>No Reduction</v>
      </c>
      <c r="S293" t="s">
        <v>28</v>
      </c>
      <c r="T293" t="s">
        <v>32</v>
      </c>
      <c r="U293" t="s">
        <v>96</v>
      </c>
      <c r="V293" s="2">
        <v>46784</v>
      </c>
    </row>
    <row r="294" spans="1:22" x14ac:dyDescent="0.25">
      <c r="A294" t="s">
        <v>428</v>
      </c>
      <c r="B294" s="2">
        <v>46057</v>
      </c>
      <c r="C294" t="s">
        <v>22</v>
      </c>
      <c r="D294" t="s">
        <v>55</v>
      </c>
      <c r="E294" t="s">
        <v>99</v>
      </c>
      <c r="F294" t="s">
        <v>100</v>
      </c>
      <c r="G294" t="s">
        <v>35</v>
      </c>
      <c r="H294" t="s">
        <v>137</v>
      </c>
      <c r="I294">
        <v>2</v>
      </c>
      <c r="J294">
        <v>3</v>
      </c>
      <c r="K294">
        <v>6</v>
      </c>
      <c r="L294" t="s">
        <v>28</v>
      </c>
      <c r="M294" t="s">
        <v>78</v>
      </c>
      <c r="N294" t="s">
        <v>60</v>
      </c>
      <c r="O294">
        <v>1</v>
      </c>
      <c r="P294">
        <v>3</v>
      </c>
      <c r="Q294">
        <v>3</v>
      </c>
      <c r="R294" t="str">
        <f>IF(Table5[[#This Row],[Residual Risk Score]]&gt;Table5[[#This Row],[Initial Risk Score]],"NO Reduction","Reduced")</f>
        <v>Reduced</v>
      </c>
      <c r="S294" t="s">
        <v>31</v>
      </c>
      <c r="T294" t="s">
        <v>43</v>
      </c>
      <c r="U294" t="s">
        <v>96</v>
      </c>
      <c r="V294" s="2">
        <v>46237</v>
      </c>
    </row>
    <row r="295" spans="1:22" x14ac:dyDescent="0.25">
      <c r="A295" t="s">
        <v>429</v>
      </c>
      <c r="B295" s="2">
        <v>45826</v>
      </c>
      <c r="C295" t="s">
        <v>35</v>
      </c>
      <c r="D295" t="s">
        <v>108</v>
      </c>
      <c r="E295" t="s">
        <v>36</v>
      </c>
      <c r="F295" t="s">
        <v>37</v>
      </c>
      <c r="G295" t="s">
        <v>38</v>
      </c>
      <c r="H295" t="s">
        <v>116</v>
      </c>
      <c r="I295">
        <v>4</v>
      </c>
      <c r="J295">
        <v>5</v>
      </c>
      <c r="K295">
        <v>20</v>
      </c>
      <c r="L295" t="s">
        <v>94</v>
      </c>
      <c r="M295" t="s">
        <v>78</v>
      </c>
      <c r="N295" t="s">
        <v>128</v>
      </c>
      <c r="O295">
        <v>2</v>
      </c>
      <c r="P295">
        <v>4</v>
      </c>
      <c r="Q295">
        <v>8</v>
      </c>
      <c r="R295" s="4" t="str">
        <f>IF(Table5[[#This Row],[Residual Risk Score]]&lt;Table5[[#This Row],[Initial Risk Score]],"Reduced","No Reduction")</f>
        <v>Reduced</v>
      </c>
      <c r="S295" t="s">
        <v>28</v>
      </c>
      <c r="T295" t="s">
        <v>61</v>
      </c>
      <c r="U295" t="s">
        <v>52</v>
      </c>
      <c r="V295" s="2">
        <v>46556</v>
      </c>
    </row>
    <row r="296" spans="1:22" x14ac:dyDescent="0.25">
      <c r="A296" t="s">
        <v>430</v>
      </c>
      <c r="B296" s="2">
        <v>46205</v>
      </c>
      <c r="C296" t="s">
        <v>64</v>
      </c>
      <c r="D296" t="s">
        <v>80</v>
      </c>
      <c r="E296" t="s">
        <v>91</v>
      </c>
      <c r="F296" t="s">
        <v>92</v>
      </c>
      <c r="G296" t="s">
        <v>35</v>
      </c>
      <c r="H296" t="s">
        <v>68</v>
      </c>
      <c r="I296">
        <v>3</v>
      </c>
      <c r="J296">
        <v>5</v>
      </c>
      <c r="K296">
        <v>15</v>
      </c>
      <c r="L296" t="s">
        <v>40</v>
      </c>
      <c r="M296" t="s">
        <v>78</v>
      </c>
      <c r="N296" t="s">
        <v>42</v>
      </c>
      <c r="O296">
        <v>1</v>
      </c>
      <c r="P296">
        <v>4</v>
      </c>
      <c r="Q296">
        <v>4</v>
      </c>
      <c r="R296" s="4" t="str">
        <f>IF(Table5[[#This Row],[Residual Risk Score]]&lt;Table5[[#This Row],[Initial Risk Score]],"Reduced","No Reduction")</f>
        <v>Reduced</v>
      </c>
      <c r="S296" t="s">
        <v>31</v>
      </c>
      <c r="T296" t="s">
        <v>43</v>
      </c>
      <c r="U296" t="s">
        <v>52</v>
      </c>
      <c r="V296" s="2">
        <v>46570</v>
      </c>
    </row>
    <row r="297" spans="1:22" x14ac:dyDescent="0.25">
      <c r="A297" t="s">
        <v>431</v>
      </c>
      <c r="B297" s="2">
        <v>46008</v>
      </c>
      <c r="C297" t="s">
        <v>85</v>
      </c>
      <c r="D297" t="s">
        <v>80</v>
      </c>
      <c r="E297" t="s">
        <v>86</v>
      </c>
      <c r="F297" t="s">
        <v>87</v>
      </c>
      <c r="G297" t="s">
        <v>48</v>
      </c>
      <c r="H297" t="s">
        <v>49</v>
      </c>
      <c r="I297">
        <v>2</v>
      </c>
      <c r="J297">
        <v>5</v>
      </c>
      <c r="K297">
        <v>10</v>
      </c>
      <c r="L297" t="s">
        <v>40</v>
      </c>
      <c r="M297" t="s">
        <v>41</v>
      </c>
      <c r="N297" t="s">
        <v>42</v>
      </c>
      <c r="O297">
        <v>1</v>
      </c>
      <c r="P297">
        <v>5</v>
      </c>
      <c r="Q297">
        <v>5</v>
      </c>
      <c r="R297" t="str">
        <f>IF(Table5[[#This Row],[Residual Risk Score]]&gt;Table5[[#This Row],[Initial Risk Score]],"NO Reduction","Reduced")</f>
        <v>Reduced</v>
      </c>
      <c r="S297" t="s">
        <v>28</v>
      </c>
      <c r="T297" t="s">
        <v>61</v>
      </c>
      <c r="U297" t="s">
        <v>71</v>
      </c>
      <c r="V297" s="2">
        <v>46373</v>
      </c>
    </row>
    <row r="298" spans="1:22" x14ac:dyDescent="0.25">
      <c r="A298" t="s">
        <v>432</v>
      </c>
      <c r="B298" s="2">
        <v>46322</v>
      </c>
      <c r="C298" t="s">
        <v>64</v>
      </c>
      <c r="D298" t="s">
        <v>55</v>
      </c>
      <c r="E298" t="s">
        <v>66</v>
      </c>
      <c r="F298" t="s">
        <v>67</v>
      </c>
      <c r="G298" t="s">
        <v>35</v>
      </c>
      <c r="H298" t="s">
        <v>68</v>
      </c>
      <c r="I298">
        <v>4</v>
      </c>
      <c r="J298">
        <v>3</v>
      </c>
      <c r="K298">
        <v>12</v>
      </c>
      <c r="L298" t="s">
        <v>40</v>
      </c>
      <c r="M298" t="s">
        <v>50</v>
      </c>
      <c r="N298" t="s">
        <v>89</v>
      </c>
      <c r="O298">
        <v>4</v>
      </c>
      <c r="P298">
        <v>3</v>
      </c>
      <c r="Q298">
        <v>12</v>
      </c>
      <c r="R298" s="4" t="str">
        <f>IF(Table5[[#This Row],[Residual Risk Score]]&lt;Table5[[#This Row],[Initial Risk Score]],"Reduced","No Reduction")</f>
        <v>No Reduction</v>
      </c>
      <c r="S298" t="s">
        <v>40</v>
      </c>
      <c r="T298" t="s">
        <v>61</v>
      </c>
      <c r="U298" t="s">
        <v>33</v>
      </c>
      <c r="V298" s="2">
        <v>47052</v>
      </c>
    </row>
    <row r="299" spans="1:22" x14ac:dyDescent="0.25">
      <c r="A299" t="s">
        <v>433</v>
      </c>
      <c r="B299" s="2">
        <v>45691</v>
      </c>
      <c r="C299" t="s">
        <v>35</v>
      </c>
      <c r="D299" t="s">
        <v>98</v>
      </c>
      <c r="E299" t="s">
        <v>36</v>
      </c>
      <c r="F299" t="s">
        <v>37</v>
      </c>
      <c r="G299" t="s">
        <v>38</v>
      </c>
      <c r="H299" t="s">
        <v>116</v>
      </c>
      <c r="I299">
        <v>5</v>
      </c>
      <c r="J299">
        <v>4</v>
      </c>
      <c r="K299">
        <v>20</v>
      </c>
      <c r="L299" t="s">
        <v>94</v>
      </c>
      <c r="M299" t="s">
        <v>69</v>
      </c>
      <c r="N299" t="s">
        <v>30</v>
      </c>
      <c r="O299">
        <v>3</v>
      </c>
      <c r="P299">
        <v>4</v>
      </c>
      <c r="Q299">
        <v>12</v>
      </c>
      <c r="R299" t="str">
        <f>IF(Table5[[#This Row],[Residual Risk Score]]&gt;Table5[[#This Row],[Initial Risk Score]],"NO Reduction","Reduced")</f>
        <v>Reduced</v>
      </c>
      <c r="S299" t="s">
        <v>40</v>
      </c>
      <c r="T299" t="s">
        <v>43</v>
      </c>
      <c r="U299" t="s">
        <v>62</v>
      </c>
      <c r="V299" s="2">
        <v>45871</v>
      </c>
    </row>
    <row r="300" spans="1:22" x14ac:dyDescent="0.25">
      <c r="A300" t="s">
        <v>434</v>
      </c>
      <c r="B300" s="2">
        <v>46294</v>
      </c>
      <c r="C300" t="s">
        <v>35</v>
      </c>
      <c r="D300" t="s">
        <v>55</v>
      </c>
      <c r="E300" t="s">
        <v>120</v>
      </c>
      <c r="F300" t="s">
        <v>121</v>
      </c>
      <c r="G300" t="s">
        <v>35</v>
      </c>
      <c r="H300" t="s">
        <v>122</v>
      </c>
      <c r="I300">
        <v>3</v>
      </c>
      <c r="J300">
        <v>2</v>
      </c>
      <c r="K300">
        <v>6</v>
      </c>
      <c r="L300" t="s">
        <v>28</v>
      </c>
      <c r="M300" t="s">
        <v>95</v>
      </c>
      <c r="N300" t="s">
        <v>42</v>
      </c>
      <c r="O300">
        <v>3</v>
      </c>
      <c r="P300">
        <v>2</v>
      </c>
      <c r="Q300">
        <v>6</v>
      </c>
      <c r="R300" s="4" t="str">
        <f>IF(Table5[[#This Row],[Residual Risk Score]]&lt;Table5[[#This Row],[Initial Risk Score]],"Reduced","No Reduction")</f>
        <v>No Reduction</v>
      </c>
      <c r="S300" t="s">
        <v>28</v>
      </c>
      <c r="T300" t="s">
        <v>32</v>
      </c>
      <c r="U300" t="s">
        <v>96</v>
      </c>
      <c r="V300" s="2">
        <v>47024</v>
      </c>
    </row>
    <row r="301" spans="1:22" x14ac:dyDescent="0.25">
      <c r="A301" t="s">
        <v>435</v>
      </c>
      <c r="B301" s="2">
        <v>45752</v>
      </c>
      <c r="C301" t="s">
        <v>85</v>
      </c>
      <c r="D301" t="s">
        <v>65</v>
      </c>
      <c r="E301" t="s">
        <v>86</v>
      </c>
      <c r="F301" t="s">
        <v>87</v>
      </c>
      <c r="G301" t="s">
        <v>48</v>
      </c>
      <c r="H301" t="s">
        <v>88</v>
      </c>
      <c r="I301">
        <v>4</v>
      </c>
      <c r="J301">
        <v>3</v>
      </c>
      <c r="K301">
        <v>12</v>
      </c>
      <c r="L301" t="s">
        <v>40</v>
      </c>
      <c r="M301" t="s">
        <v>78</v>
      </c>
      <c r="N301" t="s">
        <v>51</v>
      </c>
      <c r="O301">
        <v>3</v>
      </c>
      <c r="P301">
        <v>2</v>
      </c>
      <c r="Q301">
        <v>6</v>
      </c>
      <c r="R301" t="str">
        <f>IF(Table5[[#This Row],[Residual Risk Score]]&gt;Table5[[#This Row],[Initial Risk Score]],"NO Reduction","Reduced")</f>
        <v>Reduced</v>
      </c>
      <c r="S301" t="s">
        <v>28</v>
      </c>
      <c r="T301" t="s">
        <v>32</v>
      </c>
      <c r="U301" t="s">
        <v>33</v>
      </c>
      <c r="V301" s="2">
        <v>46117</v>
      </c>
    </row>
    <row r="302" spans="1:22" x14ac:dyDescent="0.25">
      <c r="A302" t="s">
        <v>436</v>
      </c>
      <c r="B302" s="2">
        <v>45891</v>
      </c>
      <c r="C302" t="s">
        <v>85</v>
      </c>
      <c r="D302" t="s">
        <v>80</v>
      </c>
      <c r="E302" t="s">
        <v>140</v>
      </c>
      <c r="F302" t="s">
        <v>141</v>
      </c>
      <c r="G302" t="s">
        <v>142</v>
      </c>
      <c r="H302" t="s">
        <v>153</v>
      </c>
      <c r="I302">
        <v>4</v>
      </c>
      <c r="J302">
        <v>3</v>
      </c>
      <c r="K302">
        <v>12</v>
      </c>
      <c r="L302" t="s">
        <v>40</v>
      </c>
      <c r="M302" t="s">
        <v>41</v>
      </c>
      <c r="N302" t="s">
        <v>51</v>
      </c>
      <c r="O302">
        <v>3</v>
      </c>
      <c r="P302">
        <v>3</v>
      </c>
      <c r="Q302">
        <v>9</v>
      </c>
      <c r="R302" s="4" t="str">
        <f>IF(Table5[[#This Row],[Residual Risk Score]]&lt;Table5[[#This Row],[Initial Risk Score]],"Reduced","No Reduction")</f>
        <v>Reduced</v>
      </c>
      <c r="S302" t="s">
        <v>28</v>
      </c>
      <c r="T302" t="s">
        <v>32</v>
      </c>
      <c r="U302" t="s">
        <v>96</v>
      </c>
      <c r="V302" s="2">
        <v>46621</v>
      </c>
    </row>
    <row r="303" spans="1:22" x14ac:dyDescent="0.25">
      <c r="A303" t="s">
        <v>437</v>
      </c>
      <c r="B303" s="2">
        <v>45694</v>
      </c>
      <c r="C303" t="s">
        <v>64</v>
      </c>
      <c r="D303" t="s">
        <v>108</v>
      </c>
      <c r="E303" t="s">
        <v>91</v>
      </c>
      <c r="F303" t="s">
        <v>92</v>
      </c>
      <c r="G303" t="s">
        <v>35</v>
      </c>
      <c r="H303" t="s">
        <v>68</v>
      </c>
      <c r="I303">
        <v>3</v>
      </c>
      <c r="J303">
        <v>2</v>
      </c>
      <c r="K303">
        <v>6</v>
      </c>
      <c r="L303" t="s">
        <v>28</v>
      </c>
      <c r="M303" t="s">
        <v>41</v>
      </c>
      <c r="N303" t="s">
        <v>89</v>
      </c>
      <c r="O303">
        <v>2</v>
      </c>
      <c r="P303">
        <v>1</v>
      </c>
      <c r="Q303">
        <v>2</v>
      </c>
      <c r="R303" t="str">
        <f>IF(Table5[[#This Row],[Residual Risk Score]]&gt;Table5[[#This Row],[Initial Risk Score]],"NO Reduction","Reduced")</f>
        <v>Reduced</v>
      </c>
      <c r="S303" t="s">
        <v>31</v>
      </c>
      <c r="T303" t="s">
        <v>61</v>
      </c>
      <c r="U303" t="s">
        <v>52</v>
      </c>
      <c r="V303" s="2">
        <v>45874</v>
      </c>
    </row>
    <row r="304" spans="1:22" x14ac:dyDescent="0.25">
      <c r="A304" t="s">
        <v>438</v>
      </c>
      <c r="B304" s="2">
        <v>46195</v>
      </c>
      <c r="C304" t="s">
        <v>35</v>
      </c>
      <c r="D304" t="s">
        <v>65</v>
      </c>
      <c r="E304" t="s">
        <v>120</v>
      </c>
      <c r="F304" t="s">
        <v>121</v>
      </c>
      <c r="G304" t="s">
        <v>35</v>
      </c>
      <c r="H304" t="s">
        <v>93</v>
      </c>
      <c r="I304">
        <v>4</v>
      </c>
      <c r="J304">
        <v>4</v>
      </c>
      <c r="K304">
        <v>16</v>
      </c>
      <c r="L304" t="s">
        <v>40</v>
      </c>
      <c r="M304" t="s">
        <v>29</v>
      </c>
      <c r="N304" t="s">
        <v>106</v>
      </c>
      <c r="O304">
        <v>3</v>
      </c>
      <c r="P304">
        <v>4</v>
      </c>
      <c r="Q304">
        <v>12</v>
      </c>
      <c r="R304" s="4" t="str">
        <f>IF(Table5[[#This Row],[Residual Risk Score]]&lt;Table5[[#This Row],[Initial Risk Score]],"Reduced","No Reduction")</f>
        <v>Reduced</v>
      </c>
      <c r="S304" t="s">
        <v>40</v>
      </c>
      <c r="T304" t="s">
        <v>32</v>
      </c>
      <c r="U304" t="s">
        <v>71</v>
      </c>
      <c r="V304" s="2">
        <v>46560</v>
      </c>
    </row>
    <row r="305" spans="1:22" x14ac:dyDescent="0.25">
      <c r="A305" t="s">
        <v>439</v>
      </c>
      <c r="B305" s="2">
        <v>46149</v>
      </c>
      <c r="C305" t="s">
        <v>35</v>
      </c>
      <c r="D305" t="s">
        <v>98</v>
      </c>
      <c r="E305" t="s">
        <v>120</v>
      </c>
      <c r="F305" t="s">
        <v>121</v>
      </c>
      <c r="G305" t="s">
        <v>35</v>
      </c>
      <c r="H305" t="s">
        <v>68</v>
      </c>
      <c r="I305">
        <v>4</v>
      </c>
      <c r="J305">
        <v>3</v>
      </c>
      <c r="K305">
        <v>12</v>
      </c>
      <c r="L305" t="s">
        <v>40</v>
      </c>
      <c r="M305" t="s">
        <v>29</v>
      </c>
      <c r="N305" t="s">
        <v>102</v>
      </c>
      <c r="O305">
        <v>4</v>
      </c>
      <c r="P305">
        <v>3</v>
      </c>
      <c r="Q305">
        <v>12</v>
      </c>
      <c r="R305" s="4" t="str">
        <f>IF(Table5[[#This Row],[Residual Risk Score]]&lt;Table5[[#This Row],[Initial Risk Score]],"Reduced","No Reduction")</f>
        <v>No Reduction</v>
      </c>
      <c r="S305" t="s">
        <v>40</v>
      </c>
      <c r="T305" t="s">
        <v>32</v>
      </c>
      <c r="U305" t="s">
        <v>33</v>
      </c>
      <c r="V305" s="2">
        <v>46879</v>
      </c>
    </row>
    <row r="306" spans="1:22" x14ac:dyDescent="0.25">
      <c r="A306" t="s">
        <v>440</v>
      </c>
      <c r="B306" s="2">
        <v>45771</v>
      </c>
      <c r="C306" t="s">
        <v>22</v>
      </c>
      <c r="D306" t="s">
        <v>65</v>
      </c>
      <c r="E306" t="s">
        <v>81</v>
      </c>
      <c r="F306" t="s">
        <v>82</v>
      </c>
      <c r="G306" t="s">
        <v>81</v>
      </c>
      <c r="H306" t="s">
        <v>127</v>
      </c>
      <c r="I306">
        <v>3</v>
      </c>
      <c r="J306">
        <v>5</v>
      </c>
      <c r="K306">
        <v>15</v>
      </c>
      <c r="L306" t="s">
        <v>40</v>
      </c>
      <c r="M306" t="s">
        <v>29</v>
      </c>
      <c r="N306" t="s">
        <v>60</v>
      </c>
      <c r="O306">
        <v>2</v>
      </c>
      <c r="P306">
        <v>4</v>
      </c>
      <c r="Q306">
        <v>8</v>
      </c>
      <c r="R306" t="str">
        <f>IF(Table5[[#This Row],[Residual Risk Score]]&gt;Table5[[#This Row],[Initial Risk Score]],"NO Reduction","Reduced")</f>
        <v>Reduced</v>
      </c>
      <c r="S306" t="s">
        <v>28</v>
      </c>
      <c r="T306" t="s">
        <v>32</v>
      </c>
      <c r="U306" t="s">
        <v>52</v>
      </c>
      <c r="V306" s="2">
        <v>46136</v>
      </c>
    </row>
    <row r="307" spans="1:22" x14ac:dyDescent="0.25">
      <c r="A307" t="s">
        <v>441</v>
      </c>
      <c r="B307" s="2">
        <v>45721</v>
      </c>
      <c r="C307" t="s">
        <v>64</v>
      </c>
      <c r="D307" t="s">
        <v>55</v>
      </c>
      <c r="E307" t="s">
        <v>174</v>
      </c>
      <c r="F307" t="s">
        <v>175</v>
      </c>
      <c r="G307" t="s">
        <v>176</v>
      </c>
      <c r="H307" t="s">
        <v>68</v>
      </c>
      <c r="I307">
        <v>3</v>
      </c>
      <c r="J307">
        <v>2</v>
      </c>
      <c r="K307">
        <v>6</v>
      </c>
      <c r="L307" t="s">
        <v>28</v>
      </c>
      <c r="M307" t="s">
        <v>78</v>
      </c>
      <c r="N307" t="s">
        <v>60</v>
      </c>
      <c r="O307">
        <v>3</v>
      </c>
      <c r="P307">
        <v>2</v>
      </c>
      <c r="Q307">
        <v>6</v>
      </c>
      <c r="R307" t="str">
        <f>IF(Table5[[#This Row],[Residual Risk Score]]&gt;Table5[[#This Row],[Initial Risk Score]],"NO Reduction","Reduced")</f>
        <v>Reduced</v>
      </c>
      <c r="S307" t="s">
        <v>28</v>
      </c>
      <c r="T307" t="s">
        <v>32</v>
      </c>
      <c r="U307" t="s">
        <v>62</v>
      </c>
      <c r="V307" s="2">
        <v>46086</v>
      </c>
    </row>
    <row r="308" spans="1:22" x14ac:dyDescent="0.25">
      <c r="A308" t="s">
        <v>442</v>
      </c>
      <c r="B308" s="2">
        <v>45877</v>
      </c>
      <c r="C308" t="s">
        <v>64</v>
      </c>
      <c r="D308" t="s">
        <v>74</v>
      </c>
      <c r="E308" t="s">
        <v>91</v>
      </c>
      <c r="F308" t="s">
        <v>92</v>
      </c>
      <c r="G308" t="s">
        <v>35</v>
      </c>
      <c r="H308" t="s">
        <v>68</v>
      </c>
      <c r="I308">
        <v>5</v>
      </c>
      <c r="J308">
        <v>2</v>
      </c>
      <c r="K308">
        <v>10</v>
      </c>
      <c r="L308" t="s">
        <v>40</v>
      </c>
      <c r="M308" t="s">
        <v>83</v>
      </c>
      <c r="N308" t="s">
        <v>30</v>
      </c>
      <c r="O308">
        <v>3</v>
      </c>
      <c r="P308">
        <v>2</v>
      </c>
      <c r="Q308">
        <v>6</v>
      </c>
      <c r="R308" t="str">
        <f>IF(Table5[[#This Row],[Residual Risk Score]]&gt;Table5[[#This Row],[Initial Risk Score]],"NO Reduction","Reduced")</f>
        <v>Reduced</v>
      </c>
      <c r="S308" t="s">
        <v>28</v>
      </c>
      <c r="T308" t="s">
        <v>43</v>
      </c>
      <c r="U308" t="s">
        <v>71</v>
      </c>
      <c r="V308" s="2">
        <v>46242</v>
      </c>
    </row>
    <row r="309" spans="1:22" x14ac:dyDescent="0.25">
      <c r="A309" t="s">
        <v>443</v>
      </c>
      <c r="B309" s="2">
        <v>46089</v>
      </c>
      <c r="C309" t="s">
        <v>108</v>
      </c>
      <c r="D309" t="s">
        <v>80</v>
      </c>
      <c r="E309" t="s">
        <v>162</v>
      </c>
      <c r="F309" t="s">
        <v>163</v>
      </c>
      <c r="G309" t="s">
        <v>164</v>
      </c>
      <c r="H309" t="s">
        <v>219</v>
      </c>
      <c r="I309">
        <v>3</v>
      </c>
      <c r="J309">
        <v>2</v>
      </c>
      <c r="K309">
        <v>6</v>
      </c>
      <c r="L309" t="s">
        <v>28</v>
      </c>
      <c r="M309" t="s">
        <v>83</v>
      </c>
      <c r="N309" t="s">
        <v>124</v>
      </c>
      <c r="O309">
        <v>2</v>
      </c>
      <c r="P309">
        <v>1</v>
      </c>
      <c r="Q309">
        <v>2</v>
      </c>
      <c r="R309" s="4" t="str">
        <f>IF(Table5[[#This Row],[Residual Risk Score]]&lt;Table5[[#This Row],[Initial Risk Score]],"Reduced","No Reduction")</f>
        <v>Reduced</v>
      </c>
      <c r="S309" t="s">
        <v>31</v>
      </c>
      <c r="T309" t="s">
        <v>61</v>
      </c>
      <c r="U309" t="s">
        <v>33</v>
      </c>
      <c r="V309" s="2">
        <v>46819</v>
      </c>
    </row>
    <row r="310" spans="1:22" x14ac:dyDescent="0.25">
      <c r="A310" t="s">
        <v>444</v>
      </c>
      <c r="B310" s="2">
        <v>46052</v>
      </c>
      <c r="C310" t="s">
        <v>22</v>
      </c>
      <c r="D310" t="s">
        <v>98</v>
      </c>
      <c r="E310" t="s">
        <v>99</v>
      </c>
      <c r="F310" t="s">
        <v>100</v>
      </c>
      <c r="G310" t="s">
        <v>35</v>
      </c>
      <c r="H310" t="s">
        <v>93</v>
      </c>
      <c r="I310">
        <v>4</v>
      </c>
      <c r="J310">
        <v>3</v>
      </c>
      <c r="K310">
        <v>12</v>
      </c>
      <c r="L310" t="s">
        <v>40</v>
      </c>
      <c r="M310" t="s">
        <v>101</v>
      </c>
      <c r="N310" t="s">
        <v>42</v>
      </c>
      <c r="O310">
        <v>3</v>
      </c>
      <c r="P310">
        <v>3</v>
      </c>
      <c r="Q310">
        <v>9</v>
      </c>
      <c r="R310" s="4" t="str">
        <f>IF(Table5[[#This Row],[Residual Risk Score]]&lt;Table5[[#This Row],[Initial Risk Score]],"Reduced","No Reduction")</f>
        <v>Reduced</v>
      </c>
      <c r="S310" t="s">
        <v>28</v>
      </c>
      <c r="T310" t="s">
        <v>43</v>
      </c>
      <c r="U310" t="s">
        <v>33</v>
      </c>
      <c r="V310" s="2">
        <v>46417</v>
      </c>
    </row>
    <row r="311" spans="1:22" x14ac:dyDescent="0.25">
      <c r="A311" t="s">
        <v>445</v>
      </c>
      <c r="B311" s="2">
        <v>45891</v>
      </c>
      <c r="C311" t="s">
        <v>22</v>
      </c>
      <c r="D311" t="s">
        <v>108</v>
      </c>
      <c r="E311" t="s">
        <v>135</v>
      </c>
      <c r="F311" t="s">
        <v>136</v>
      </c>
      <c r="G311" t="s">
        <v>35</v>
      </c>
      <c r="H311" t="s">
        <v>93</v>
      </c>
      <c r="I311">
        <v>5</v>
      </c>
      <c r="J311">
        <v>4</v>
      </c>
      <c r="K311">
        <v>20</v>
      </c>
      <c r="L311" t="s">
        <v>94</v>
      </c>
      <c r="M311" t="s">
        <v>69</v>
      </c>
      <c r="N311" t="s">
        <v>128</v>
      </c>
      <c r="O311">
        <v>4</v>
      </c>
      <c r="P311">
        <v>4</v>
      </c>
      <c r="Q311">
        <v>16</v>
      </c>
      <c r="R311" s="4" t="str">
        <f>IF(Table5[[#This Row],[Residual Risk Score]]&lt;Table5[[#This Row],[Initial Risk Score]],"Reduced","No Reduction")</f>
        <v>Reduced</v>
      </c>
      <c r="S311" t="s">
        <v>40</v>
      </c>
      <c r="T311" t="s">
        <v>43</v>
      </c>
      <c r="U311" t="s">
        <v>96</v>
      </c>
      <c r="V311" s="2">
        <v>46621</v>
      </c>
    </row>
    <row r="312" spans="1:22" x14ac:dyDescent="0.25">
      <c r="A312" t="s">
        <v>446</v>
      </c>
      <c r="B312" s="2">
        <v>45833</v>
      </c>
      <c r="C312" t="s">
        <v>85</v>
      </c>
      <c r="D312" t="s">
        <v>55</v>
      </c>
      <c r="E312" t="s">
        <v>140</v>
      </c>
      <c r="F312" t="s">
        <v>141</v>
      </c>
      <c r="G312" t="s">
        <v>142</v>
      </c>
      <c r="H312" t="s">
        <v>143</v>
      </c>
      <c r="I312">
        <v>5</v>
      </c>
      <c r="J312">
        <v>3</v>
      </c>
      <c r="K312">
        <v>15</v>
      </c>
      <c r="L312" t="s">
        <v>40</v>
      </c>
      <c r="M312" t="s">
        <v>101</v>
      </c>
      <c r="N312" t="s">
        <v>42</v>
      </c>
      <c r="O312">
        <v>4</v>
      </c>
      <c r="P312">
        <v>2</v>
      </c>
      <c r="Q312">
        <v>8</v>
      </c>
      <c r="R312" t="str">
        <f>IF(Table5[[#This Row],[Residual Risk Score]]&gt;Table5[[#This Row],[Initial Risk Score]],"NO Reduction","Reduced")</f>
        <v>Reduced</v>
      </c>
      <c r="S312" t="s">
        <v>28</v>
      </c>
      <c r="T312" t="s">
        <v>32</v>
      </c>
      <c r="U312" t="s">
        <v>52</v>
      </c>
      <c r="V312" s="2">
        <v>46198</v>
      </c>
    </row>
    <row r="313" spans="1:22" x14ac:dyDescent="0.25">
      <c r="A313" t="s">
        <v>447</v>
      </c>
      <c r="B313" s="2">
        <v>45941</v>
      </c>
      <c r="C313" t="s">
        <v>22</v>
      </c>
      <c r="D313" t="s">
        <v>65</v>
      </c>
      <c r="E313" t="s">
        <v>135</v>
      </c>
      <c r="F313" t="s">
        <v>136</v>
      </c>
      <c r="G313" t="s">
        <v>35</v>
      </c>
      <c r="H313" t="s">
        <v>68</v>
      </c>
      <c r="I313">
        <v>2</v>
      </c>
      <c r="J313">
        <v>5</v>
      </c>
      <c r="K313">
        <v>10</v>
      </c>
      <c r="L313" t="s">
        <v>40</v>
      </c>
      <c r="M313" t="s">
        <v>83</v>
      </c>
      <c r="N313" t="s">
        <v>42</v>
      </c>
      <c r="O313">
        <v>1</v>
      </c>
      <c r="P313">
        <v>5</v>
      </c>
      <c r="Q313">
        <v>5</v>
      </c>
      <c r="R313" t="str">
        <f>IF(Table5[[#This Row],[Residual Risk Score]]&gt;Table5[[#This Row],[Initial Risk Score]],"NO Reduction","Reduced")</f>
        <v>Reduced</v>
      </c>
      <c r="S313" t="s">
        <v>28</v>
      </c>
      <c r="T313" t="s">
        <v>32</v>
      </c>
      <c r="U313" t="s">
        <v>62</v>
      </c>
      <c r="V313" s="2">
        <v>46306</v>
      </c>
    </row>
    <row r="314" spans="1:22" x14ac:dyDescent="0.25">
      <c r="A314" t="s">
        <v>448</v>
      </c>
      <c r="B314" s="2">
        <v>46340</v>
      </c>
      <c r="C314" t="s">
        <v>64</v>
      </c>
      <c r="D314" t="s">
        <v>23</v>
      </c>
      <c r="E314" t="s">
        <v>174</v>
      </c>
      <c r="F314" t="s">
        <v>175</v>
      </c>
      <c r="G314" t="s">
        <v>176</v>
      </c>
      <c r="H314" t="s">
        <v>68</v>
      </c>
      <c r="I314">
        <v>2</v>
      </c>
      <c r="J314">
        <v>5</v>
      </c>
      <c r="K314">
        <v>10</v>
      </c>
      <c r="L314" t="s">
        <v>40</v>
      </c>
      <c r="M314" t="s">
        <v>95</v>
      </c>
      <c r="N314" t="s">
        <v>70</v>
      </c>
      <c r="O314">
        <v>1</v>
      </c>
      <c r="P314">
        <v>5</v>
      </c>
      <c r="Q314">
        <v>5</v>
      </c>
      <c r="R314" s="4" t="str">
        <f>IF(Table5[[#This Row],[Residual Risk Score]]&lt;Table5[[#This Row],[Initial Risk Score]],"Reduced","No Reduction")</f>
        <v>Reduced</v>
      </c>
      <c r="S314" t="s">
        <v>28</v>
      </c>
      <c r="T314" t="s">
        <v>61</v>
      </c>
      <c r="U314" t="s">
        <v>62</v>
      </c>
      <c r="V314" s="2">
        <v>46520</v>
      </c>
    </row>
    <row r="315" spans="1:22" x14ac:dyDescent="0.25">
      <c r="A315" t="s">
        <v>449</v>
      </c>
      <c r="B315" s="2">
        <v>45682</v>
      </c>
      <c r="C315" t="s">
        <v>54</v>
      </c>
      <c r="D315" t="s">
        <v>108</v>
      </c>
      <c r="E315" t="s">
        <v>56</v>
      </c>
      <c r="F315" t="s">
        <v>57</v>
      </c>
      <c r="G315" t="s">
        <v>58</v>
      </c>
      <c r="H315" t="s">
        <v>59</v>
      </c>
      <c r="I315">
        <v>5</v>
      </c>
      <c r="J315">
        <v>2</v>
      </c>
      <c r="K315">
        <v>10</v>
      </c>
      <c r="L315" t="s">
        <v>40</v>
      </c>
      <c r="M315" t="s">
        <v>29</v>
      </c>
      <c r="N315" t="s">
        <v>89</v>
      </c>
      <c r="O315">
        <v>4</v>
      </c>
      <c r="P315">
        <v>2</v>
      </c>
      <c r="Q315">
        <v>8</v>
      </c>
      <c r="R315" s="4" t="str">
        <f>IF(Table5[[#This Row],[Residual Risk Score]]&lt;Table5[[#This Row],[Initial Risk Score]],"Reduced","No Reduction")</f>
        <v>Reduced</v>
      </c>
      <c r="S315" t="s">
        <v>28</v>
      </c>
      <c r="T315" t="s">
        <v>43</v>
      </c>
      <c r="U315" t="s">
        <v>96</v>
      </c>
      <c r="V315" s="2">
        <v>46412</v>
      </c>
    </row>
    <row r="316" spans="1:22" x14ac:dyDescent="0.25">
      <c r="A316" t="s">
        <v>450</v>
      </c>
      <c r="B316" s="2">
        <v>46287</v>
      </c>
      <c r="C316" t="s">
        <v>64</v>
      </c>
      <c r="D316" t="s">
        <v>80</v>
      </c>
      <c r="E316" t="s">
        <v>66</v>
      </c>
      <c r="F316" t="s">
        <v>67</v>
      </c>
      <c r="G316" t="s">
        <v>35</v>
      </c>
      <c r="H316" t="s">
        <v>68</v>
      </c>
      <c r="I316">
        <v>5</v>
      </c>
      <c r="J316">
        <v>3</v>
      </c>
      <c r="K316">
        <v>15</v>
      </c>
      <c r="L316" t="s">
        <v>40</v>
      </c>
      <c r="M316" t="s">
        <v>95</v>
      </c>
      <c r="N316" t="s">
        <v>124</v>
      </c>
      <c r="O316">
        <v>4</v>
      </c>
      <c r="P316">
        <v>3</v>
      </c>
      <c r="Q316">
        <v>12</v>
      </c>
      <c r="R316" s="4" t="str">
        <f>IF(Table5[[#This Row],[Residual Risk Score]]&lt;Table5[[#This Row],[Initial Risk Score]],"Reduced","No Reduction")</f>
        <v>Reduced</v>
      </c>
      <c r="S316" t="s">
        <v>40</v>
      </c>
      <c r="T316" t="s">
        <v>61</v>
      </c>
      <c r="U316" t="s">
        <v>33</v>
      </c>
      <c r="V316" s="2">
        <v>46652</v>
      </c>
    </row>
    <row r="317" spans="1:22" x14ac:dyDescent="0.25">
      <c r="A317" t="s">
        <v>451</v>
      </c>
      <c r="B317" s="2">
        <v>46118</v>
      </c>
      <c r="C317" t="s">
        <v>108</v>
      </c>
      <c r="D317" t="s">
        <v>74</v>
      </c>
      <c r="E317" t="s">
        <v>162</v>
      </c>
      <c r="F317" t="s">
        <v>163</v>
      </c>
      <c r="G317" t="s">
        <v>164</v>
      </c>
      <c r="H317" t="s">
        <v>68</v>
      </c>
      <c r="I317">
        <v>4</v>
      </c>
      <c r="J317">
        <v>4</v>
      </c>
      <c r="K317">
        <v>16</v>
      </c>
      <c r="L317" t="s">
        <v>40</v>
      </c>
      <c r="M317" t="s">
        <v>95</v>
      </c>
      <c r="N317" t="s">
        <v>51</v>
      </c>
      <c r="O317">
        <v>3</v>
      </c>
      <c r="P317">
        <v>3</v>
      </c>
      <c r="Q317">
        <v>9</v>
      </c>
      <c r="R317" s="4" t="str">
        <f>IF(Table5[[#This Row],[Residual Risk Score]]&lt;Table5[[#This Row],[Initial Risk Score]],"Reduced","No Reduction")</f>
        <v>Reduced</v>
      </c>
      <c r="S317" t="s">
        <v>28</v>
      </c>
      <c r="T317" t="s">
        <v>32</v>
      </c>
      <c r="U317" t="s">
        <v>33</v>
      </c>
      <c r="V317" s="2">
        <v>46848</v>
      </c>
    </row>
    <row r="318" spans="1:22" x14ac:dyDescent="0.25">
      <c r="A318" t="s">
        <v>452</v>
      </c>
      <c r="B318" s="2">
        <v>45896</v>
      </c>
      <c r="C318" t="s">
        <v>108</v>
      </c>
      <c r="D318" t="s">
        <v>23</v>
      </c>
      <c r="E318" t="s">
        <v>149</v>
      </c>
      <c r="F318" t="s">
        <v>150</v>
      </c>
      <c r="G318" t="s">
        <v>151</v>
      </c>
      <c r="H318" t="s">
        <v>225</v>
      </c>
      <c r="I318">
        <v>5</v>
      </c>
      <c r="J318">
        <v>2</v>
      </c>
      <c r="K318">
        <v>10</v>
      </c>
      <c r="L318" t="s">
        <v>40</v>
      </c>
      <c r="M318" t="s">
        <v>83</v>
      </c>
      <c r="N318" t="s">
        <v>102</v>
      </c>
      <c r="O318">
        <v>4</v>
      </c>
      <c r="P318">
        <v>2</v>
      </c>
      <c r="Q318">
        <v>8</v>
      </c>
      <c r="R318" t="str">
        <f>IF(Table5[[#This Row],[Residual Risk Score]]&gt;Table5[[#This Row],[Initial Risk Score]],"NO Reduction","Reduced")</f>
        <v>Reduced</v>
      </c>
      <c r="S318" t="s">
        <v>28</v>
      </c>
      <c r="T318" t="s">
        <v>61</v>
      </c>
      <c r="U318" t="s">
        <v>33</v>
      </c>
      <c r="V318" s="2">
        <v>46076</v>
      </c>
    </row>
    <row r="319" spans="1:22" x14ac:dyDescent="0.25">
      <c r="A319" t="s">
        <v>453</v>
      </c>
      <c r="B319" s="2">
        <v>45832</v>
      </c>
      <c r="C319" t="s">
        <v>22</v>
      </c>
      <c r="D319" t="s">
        <v>80</v>
      </c>
      <c r="E319" t="s">
        <v>135</v>
      </c>
      <c r="F319" t="s">
        <v>136</v>
      </c>
      <c r="G319" t="s">
        <v>35</v>
      </c>
      <c r="H319" t="s">
        <v>137</v>
      </c>
      <c r="I319">
        <v>5</v>
      </c>
      <c r="J319">
        <v>3</v>
      </c>
      <c r="K319">
        <v>15</v>
      </c>
      <c r="L319" t="s">
        <v>40</v>
      </c>
      <c r="M319" t="s">
        <v>78</v>
      </c>
      <c r="N319" t="s">
        <v>51</v>
      </c>
      <c r="O319">
        <v>4</v>
      </c>
      <c r="P319">
        <v>3</v>
      </c>
      <c r="Q319">
        <v>12</v>
      </c>
      <c r="R319" t="str">
        <f>IF(Table5[[#This Row],[Residual Risk Score]]&gt;Table5[[#This Row],[Initial Risk Score]],"NO Reduction","Reduced")</f>
        <v>Reduced</v>
      </c>
      <c r="S319" t="s">
        <v>40</v>
      </c>
      <c r="T319" t="s">
        <v>43</v>
      </c>
      <c r="U319" t="s">
        <v>52</v>
      </c>
      <c r="V319" s="2">
        <v>46197</v>
      </c>
    </row>
    <row r="320" spans="1:22" x14ac:dyDescent="0.25">
      <c r="A320" t="s">
        <v>454</v>
      </c>
      <c r="B320" s="2">
        <v>45942</v>
      </c>
      <c r="C320" t="s">
        <v>73</v>
      </c>
      <c r="D320" t="s">
        <v>74</v>
      </c>
      <c r="E320" t="s">
        <v>75</v>
      </c>
      <c r="F320" t="s">
        <v>76</v>
      </c>
      <c r="G320" t="s">
        <v>73</v>
      </c>
      <c r="H320" t="s">
        <v>77</v>
      </c>
      <c r="I320">
        <v>5</v>
      </c>
      <c r="J320">
        <v>5</v>
      </c>
      <c r="K320">
        <v>25</v>
      </c>
      <c r="L320" t="s">
        <v>94</v>
      </c>
      <c r="M320" t="s">
        <v>69</v>
      </c>
      <c r="N320" t="s">
        <v>70</v>
      </c>
      <c r="O320">
        <v>4</v>
      </c>
      <c r="P320">
        <v>4</v>
      </c>
      <c r="Q320">
        <v>16</v>
      </c>
      <c r="R320" t="str">
        <f>IF(Table5[[#This Row],[Residual Risk Score]]&gt;Table5[[#This Row],[Initial Risk Score]],"NO Reduction","Reduced")</f>
        <v>Reduced</v>
      </c>
      <c r="S320" t="s">
        <v>40</v>
      </c>
      <c r="T320" t="s">
        <v>43</v>
      </c>
      <c r="U320" t="s">
        <v>96</v>
      </c>
      <c r="V320" s="2">
        <v>46307</v>
      </c>
    </row>
    <row r="321" spans="1:22" x14ac:dyDescent="0.25">
      <c r="A321" t="s">
        <v>455</v>
      </c>
      <c r="B321" s="2">
        <v>45730</v>
      </c>
      <c r="C321" t="s">
        <v>22</v>
      </c>
      <c r="D321" t="s">
        <v>98</v>
      </c>
      <c r="E321" t="s">
        <v>135</v>
      </c>
      <c r="F321" t="s">
        <v>136</v>
      </c>
      <c r="G321" t="s">
        <v>35</v>
      </c>
      <c r="H321" t="s">
        <v>122</v>
      </c>
      <c r="I321">
        <v>5</v>
      </c>
      <c r="J321">
        <v>3</v>
      </c>
      <c r="K321">
        <v>15</v>
      </c>
      <c r="L321" t="s">
        <v>40</v>
      </c>
      <c r="M321" t="s">
        <v>83</v>
      </c>
      <c r="N321" t="s">
        <v>89</v>
      </c>
      <c r="O321">
        <v>3</v>
      </c>
      <c r="P321">
        <v>3</v>
      </c>
      <c r="Q321">
        <v>9</v>
      </c>
      <c r="R321" t="str">
        <f>IF(Table5[[#This Row],[Residual Risk Score]]&gt;Table5[[#This Row],[Initial Risk Score]],"NO Reduction","Reduced")</f>
        <v>Reduced</v>
      </c>
      <c r="S321" t="s">
        <v>28</v>
      </c>
      <c r="T321" t="s">
        <v>61</v>
      </c>
      <c r="U321" t="s">
        <v>96</v>
      </c>
      <c r="V321" s="2">
        <v>46095</v>
      </c>
    </row>
    <row r="322" spans="1:22" x14ac:dyDescent="0.25">
      <c r="A322" t="s">
        <v>456</v>
      </c>
      <c r="B322" s="2">
        <v>45788</v>
      </c>
      <c r="C322" t="s">
        <v>22</v>
      </c>
      <c r="D322" t="s">
        <v>108</v>
      </c>
      <c r="E322" t="s">
        <v>135</v>
      </c>
      <c r="F322" t="s">
        <v>136</v>
      </c>
      <c r="G322" t="s">
        <v>35</v>
      </c>
      <c r="H322" t="s">
        <v>122</v>
      </c>
      <c r="I322">
        <v>2</v>
      </c>
      <c r="J322">
        <v>4</v>
      </c>
      <c r="K322">
        <v>8</v>
      </c>
      <c r="L322" t="s">
        <v>28</v>
      </c>
      <c r="M322" t="s">
        <v>95</v>
      </c>
      <c r="N322" t="s">
        <v>106</v>
      </c>
      <c r="O322">
        <v>1</v>
      </c>
      <c r="P322">
        <v>4</v>
      </c>
      <c r="Q322">
        <v>4</v>
      </c>
      <c r="R322" s="4" t="str">
        <f>IF(Table5[[#This Row],[Residual Risk Score]]&lt;Table5[[#This Row],[Initial Risk Score]],"Reduced","No Reduction")</f>
        <v>Reduced</v>
      </c>
      <c r="S322" t="s">
        <v>31</v>
      </c>
      <c r="T322" t="s">
        <v>61</v>
      </c>
      <c r="U322" t="s">
        <v>62</v>
      </c>
      <c r="V322" s="2">
        <v>46518</v>
      </c>
    </row>
    <row r="323" spans="1:22" x14ac:dyDescent="0.25">
      <c r="A323" t="s">
        <v>457</v>
      </c>
      <c r="B323" s="2">
        <v>45738</v>
      </c>
      <c r="C323" t="s">
        <v>64</v>
      </c>
      <c r="D323" t="s">
        <v>65</v>
      </c>
      <c r="E323" t="s">
        <v>91</v>
      </c>
      <c r="F323" t="s">
        <v>92</v>
      </c>
      <c r="G323" t="s">
        <v>35</v>
      </c>
      <c r="H323" t="s">
        <v>122</v>
      </c>
      <c r="I323">
        <v>3</v>
      </c>
      <c r="J323">
        <v>2</v>
      </c>
      <c r="K323">
        <v>6</v>
      </c>
      <c r="L323" t="s">
        <v>28</v>
      </c>
      <c r="M323" t="s">
        <v>83</v>
      </c>
      <c r="N323" t="s">
        <v>60</v>
      </c>
      <c r="O323">
        <v>2</v>
      </c>
      <c r="P323">
        <v>2</v>
      </c>
      <c r="Q323">
        <v>4</v>
      </c>
      <c r="R323" t="str">
        <f>IF(Table5[[#This Row],[Residual Risk Score]]&gt;Table5[[#This Row],[Initial Risk Score]],"NO Reduction","Reduced")</f>
        <v>Reduced</v>
      </c>
      <c r="S323" t="s">
        <v>31</v>
      </c>
      <c r="T323" t="s">
        <v>32</v>
      </c>
      <c r="U323" t="s">
        <v>52</v>
      </c>
      <c r="V323" s="2">
        <v>45918</v>
      </c>
    </row>
    <row r="324" spans="1:22" x14ac:dyDescent="0.25">
      <c r="A324" t="s">
        <v>458</v>
      </c>
      <c r="B324" s="2">
        <v>46281</v>
      </c>
      <c r="C324" t="s">
        <v>22</v>
      </c>
      <c r="D324" t="s">
        <v>23</v>
      </c>
      <c r="E324" t="s">
        <v>81</v>
      </c>
      <c r="F324" t="s">
        <v>82</v>
      </c>
      <c r="G324" t="s">
        <v>81</v>
      </c>
      <c r="H324" t="s">
        <v>143</v>
      </c>
      <c r="I324">
        <v>4</v>
      </c>
      <c r="J324">
        <v>4</v>
      </c>
      <c r="K324">
        <v>16</v>
      </c>
      <c r="L324" t="s">
        <v>40</v>
      </c>
      <c r="M324" t="s">
        <v>78</v>
      </c>
      <c r="N324" t="s">
        <v>51</v>
      </c>
      <c r="O324">
        <v>2</v>
      </c>
      <c r="P324">
        <v>3</v>
      </c>
      <c r="Q324">
        <v>6</v>
      </c>
      <c r="R324" s="4" t="str">
        <f>IF(Table5[[#This Row],[Residual Risk Score]]&lt;Table5[[#This Row],[Initial Risk Score]],"Reduced","No Reduction")</f>
        <v>Reduced</v>
      </c>
      <c r="S324" t="s">
        <v>28</v>
      </c>
      <c r="T324" t="s">
        <v>61</v>
      </c>
      <c r="U324" t="s">
        <v>52</v>
      </c>
      <c r="V324" s="2">
        <v>46646</v>
      </c>
    </row>
    <row r="325" spans="1:22" x14ac:dyDescent="0.25">
      <c r="A325" t="s">
        <v>459</v>
      </c>
      <c r="B325" s="2">
        <v>45979</v>
      </c>
      <c r="C325" t="s">
        <v>35</v>
      </c>
      <c r="D325" t="s">
        <v>55</v>
      </c>
      <c r="E325" t="s">
        <v>120</v>
      </c>
      <c r="F325" t="s">
        <v>121</v>
      </c>
      <c r="G325" t="s">
        <v>35</v>
      </c>
      <c r="H325" t="s">
        <v>93</v>
      </c>
      <c r="I325">
        <v>5</v>
      </c>
      <c r="J325">
        <v>5</v>
      </c>
      <c r="K325">
        <v>25</v>
      </c>
      <c r="L325" t="s">
        <v>94</v>
      </c>
      <c r="M325" t="s">
        <v>95</v>
      </c>
      <c r="N325" t="s">
        <v>128</v>
      </c>
      <c r="O325">
        <v>3</v>
      </c>
      <c r="P325">
        <v>4</v>
      </c>
      <c r="Q325">
        <v>12</v>
      </c>
      <c r="R325" t="str">
        <f>IF(Table5[[#This Row],[Residual Risk Score]]&gt;Table5[[#This Row],[Initial Risk Score]],"NO Reduction","Reduced")</f>
        <v>Reduced</v>
      </c>
      <c r="S325" t="s">
        <v>40</v>
      </c>
      <c r="T325" t="s">
        <v>43</v>
      </c>
      <c r="U325" t="s">
        <v>96</v>
      </c>
      <c r="V325" s="2">
        <v>46344</v>
      </c>
    </row>
    <row r="326" spans="1:22" x14ac:dyDescent="0.25">
      <c r="A326" t="s">
        <v>460</v>
      </c>
      <c r="B326" s="2">
        <v>46045</v>
      </c>
      <c r="C326" t="s">
        <v>45</v>
      </c>
      <c r="D326" t="s">
        <v>98</v>
      </c>
      <c r="E326" t="s">
        <v>46</v>
      </c>
      <c r="F326" t="s">
        <v>47</v>
      </c>
      <c r="G326" t="s">
        <v>48</v>
      </c>
      <c r="H326" t="s">
        <v>49</v>
      </c>
      <c r="I326">
        <v>3</v>
      </c>
      <c r="J326">
        <v>3</v>
      </c>
      <c r="K326">
        <v>9</v>
      </c>
      <c r="L326" t="s">
        <v>28</v>
      </c>
      <c r="M326" t="s">
        <v>50</v>
      </c>
      <c r="N326" t="s">
        <v>89</v>
      </c>
      <c r="O326">
        <v>2</v>
      </c>
      <c r="P326">
        <v>3</v>
      </c>
      <c r="Q326">
        <v>6</v>
      </c>
      <c r="R326" t="str">
        <f>IF(Table5[[#This Row],[Residual Risk Score]]&gt;Table5[[#This Row],[Initial Risk Score]],"NO Reduction","Reduced")</f>
        <v>Reduced</v>
      </c>
      <c r="S326" t="s">
        <v>28</v>
      </c>
      <c r="T326" t="s">
        <v>61</v>
      </c>
      <c r="U326" t="s">
        <v>62</v>
      </c>
      <c r="V326" s="2">
        <v>46225</v>
      </c>
    </row>
    <row r="327" spans="1:22" x14ac:dyDescent="0.25">
      <c r="A327" t="s">
        <v>461</v>
      </c>
      <c r="B327" s="2">
        <v>45849</v>
      </c>
      <c r="C327" t="s">
        <v>35</v>
      </c>
      <c r="D327" t="s">
        <v>65</v>
      </c>
      <c r="E327" t="s">
        <v>36</v>
      </c>
      <c r="F327" t="s">
        <v>37</v>
      </c>
      <c r="G327" t="s">
        <v>38</v>
      </c>
      <c r="H327" t="s">
        <v>116</v>
      </c>
      <c r="I327">
        <v>5</v>
      </c>
      <c r="J327">
        <v>5</v>
      </c>
      <c r="K327">
        <v>25</v>
      </c>
      <c r="L327" t="s">
        <v>94</v>
      </c>
      <c r="M327" t="s">
        <v>29</v>
      </c>
      <c r="N327" t="s">
        <v>106</v>
      </c>
      <c r="O327">
        <v>4</v>
      </c>
      <c r="P327">
        <v>4</v>
      </c>
      <c r="Q327">
        <v>16</v>
      </c>
      <c r="R327" s="4" t="str">
        <f>IF(Table5[[#This Row],[Residual Risk Score]]&lt;Table5[[#This Row],[Initial Risk Score]],"Reduced","No Reduction")</f>
        <v>Reduced</v>
      </c>
      <c r="S327" t="s">
        <v>40</v>
      </c>
      <c r="T327" t="s">
        <v>61</v>
      </c>
      <c r="U327" t="s">
        <v>96</v>
      </c>
      <c r="V327" s="2">
        <v>46579</v>
      </c>
    </row>
    <row r="328" spans="1:22" x14ac:dyDescent="0.25">
      <c r="A328" t="s">
        <v>462</v>
      </c>
      <c r="B328" s="2">
        <v>46281</v>
      </c>
      <c r="C328" t="s">
        <v>64</v>
      </c>
      <c r="D328" t="s">
        <v>74</v>
      </c>
      <c r="E328" t="s">
        <v>174</v>
      </c>
      <c r="F328" t="s">
        <v>175</v>
      </c>
      <c r="G328" t="s">
        <v>176</v>
      </c>
      <c r="H328" t="s">
        <v>201</v>
      </c>
      <c r="I328">
        <v>5</v>
      </c>
      <c r="J328">
        <v>2</v>
      </c>
      <c r="K328">
        <v>10</v>
      </c>
      <c r="L328" t="s">
        <v>40</v>
      </c>
      <c r="M328" t="s">
        <v>83</v>
      </c>
      <c r="N328" t="s">
        <v>51</v>
      </c>
      <c r="O328">
        <v>4</v>
      </c>
      <c r="P328">
        <v>2</v>
      </c>
      <c r="Q328">
        <v>8</v>
      </c>
      <c r="R328" s="4" t="str">
        <f>IF(Table5[[#This Row],[Residual Risk Score]]&lt;Table5[[#This Row],[Initial Risk Score]],"Reduced","No Reduction")</f>
        <v>Reduced</v>
      </c>
      <c r="S328" t="s">
        <v>28</v>
      </c>
      <c r="T328" t="s">
        <v>43</v>
      </c>
      <c r="U328" t="s">
        <v>33</v>
      </c>
      <c r="V328" s="2">
        <v>46646</v>
      </c>
    </row>
    <row r="329" spans="1:22" x14ac:dyDescent="0.25">
      <c r="A329" t="s">
        <v>463</v>
      </c>
      <c r="B329" s="2">
        <v>45717</v>
      </c>
      <c r="C329" t="s">
        <v>45</v>
      </c>
      <c r="D329" t="s">
        <v>23</v>
      </c>
      <c r="E329" t="s">
        <v>46</v>
      </c>
      <c r="F329" t="s">
        <v>47</v>
      </c>
      <c r="G329" t="s">
        <v>48</v>
      </c>
      <c r="H329" t="s">
        <v>39</v>
      </c>
      <c r="I329">
        <v>3</v>
      </c>
      <c r="J329">
        <v>4</v>
      </c>
      <c r="K329">
        <v>12</v>
      </c>
      <c r="L329" t="s">
        <v>40</v>
      </c>
      <c r="M329" t="s">
        <v>101</v>
      </c>
      <c r="N329" t="s">
        <v>89</v>
      </c>
      <c r="O329">
        <v>2</v>
      </c>
      <c r="P329">
        <v>3</v>
      </c>
      <c r="Q329">
        <v>6</v>
      </c>
      <c r="R329" s="4" t="str">
        <f>IF(Table5[[#This Row],[Residual Risk Score]]&lt;Table5[[#This Row],[Initial Risk Score]],"Reduced","No Reduction")</f>
        <v>Reduced</v>
      </c>
      <c r="S329" t="s">
        <v>28</v>
      </c>
      <c r="T329" t="s">
        <v>32</v>
      </c>
      <c r="U329" t="s">
        <v>62</v>
      </c>
      <c r="V329" s="2">
        <v>46447</v>
      </c>
    </row>
    <row r="330" spans="1:22" x14ac:dyDescent="0.25">
      <c r="A330" t="s">
        <v>464</v>
      </c>
      <c r="B330" s="2">
        <v>45894</v>
      </c>
      <c r="C330" t="s">
        <v>54</v>
      </c>
      <c r="D330" t="s">
        <v>98</v>
      </c>
      <c r="E330" t="s">
        <v>56</v>
      </c>
      <c r="F330" t="s">
        <v>57</v>
      </c>
      <c r="G330" t="s">
        <v>58</v>
      </c>
      <c r="H330" t="s">
        <v>59</v>
      </c>
      <c r="I330">
        <v>2</v>
      </c>
      <c r="J330">
        <v>4</v>
      </c>
      <c r="K330">
        <v>8</v>
      </c>
      <c r="L330" t="s">
        <v>28</v>
      </c>
      <c r="M330" t="s">
        <v>50</v>
      </c>
      <c r="N330" t="s">
        <v>128</v>
      </c>
      <c r="O330">
        <v>1</v>
      </c>
      <c r="P330">
        <v>3</v>
      </c>
      <c r="Q330">
        <v>3</v>
      </c>
      <c r="R330" t="str">
        <f>IF(Table5[[#This Row],[Residual Risk Score]]&gt;Table5[[#This Row],[Initial Risk Score]],"NO Reduction","Reduced")</f>
        <v>Reduced</v>
      </c>
      <c r="S330" t="s">
        <v>31</v>
      </c>
      <c r="T330" t="s">
        <v>43</v>
      </c>
      <c r="U330" t="s">
        <v>62</v>
      </c>
      <c r="V330" s="2">
        <v>46259</v>
      </c>
    </row>
    <row r="331" spans="1:22" x14ac:dyDescent="0.25">
      <c r="A331" t="s">
        <v>465</v>
      </c>
      <c r="B331" s="2">
        <v>46257</v>
      </c>
      <c r="C331" t="s">
        <v>73</v>
      </c>
      <c r="D331" t="s">
        <v>98</v>
      </c>
      <c r="E331" t="s">
        <v>75</v>
      </c>
      <c r="F331" t="s">
        <v>76</v>
      </c>
      <c r="G331" t="s">
        <v>73</v>
      </c>
      <c r="H331" t="s">
        <v>68</v>
      </c>
      <c r="I331">
        <v>4</v>
      </c>
      <c r="J331">
        <v>2</v>
      </c>
      <c r="K331">
        <v>8</v>
      </c>
      <c r="L331" t="s">
        <v>28</v>
      </c>
      <c r="M331" t="s">
        <v>101</v>
      </c>
      <c r="N331" t="s">
        <v>106</v>
      </c>
      <c r="O331">
        <v>3</v>
      </c>
      <c r="P331">
        <v>1</v>
      </c>
      <c r="Q331">
        <v>3</v>
      </c>
      <c r="R331" s="4" t="str">
        <f>IF(Table5[[#This Row],[Residual Risk Score]]&lt;Table5[[#This Row],[Initial Risk Score]],"Reduced","No Reduction")</f>
        <v>Reduced</v>
      </c>
      <c r="S331" t="s">
        <v>31</v>
      </c>
      <c r="T331" t="s">
        <v>61</v>
      </c>
      <c r="U331" t="s">
        <v>62</v>
      </c>
      <c r="V331" s="2">
        <v>46622</v>
      </c>
    </row>
    <row r="332" spans="1:22" x14ac:dyDescent="0.25">
      <c r="A332" t="s">
        <v>466</v>
      </c>
      <c r="B332" s="2">
        <v>45923</v>
      </c>
      <c r="C332" t="s">
        <v>45</v>
      </c>
      <c r="D332" t="s">
        <v>23</v>
      </c>
      <c r="E332" t="s">
        <v>46</v>
      </c>
      <c r="F332" t="s">
        <v>47</v>
      </c>
      <c r="G332" t="s">
        <v>48</v>
      </c>
      <c r="H332" t="s">
        <v>88</v>
      </c>
      <c r="I332">
        <v>2</v>
      </c>
      <c r="J332">
        <v>5</v>
      </c>
      <c r="K332">
        <v>10</v>
      </c>
      <c r="L332" t="s">
        <v>40</v>
      </c>
      <c r="M332" t="s">
        <v>29</v>
      </c>
      <c r="N332" t="s">
        <v>128</v>
      </c>
      <c r="O332">
        <v>1</v>
      </c>
      <c r="P332">
        <v>5</v>
      </c>
      <c r="Q332">
        <v>5</v>
      </c>
      <c r="R332" t="str">
        <f>IF(Table5[[#This Row],[Residual Risk Score]]&gt;Table5[[#This Row],[Initial Risk Score]],"NO Reduction","Reduced")</f>
        <v>Reduced</v>
      </c>
      <c r="S332" t="s">
        <v>28</v>
      </c>
      <c r="T332" t="s">
        <v>61</v>
      </c>
      <c r="U332" t="s">
        <v>71</v>
      </c>
      <c r="V332" s="2">
        <v>46288</v>
      </c>
    </row>
    <row r="333" spans="1:22" x14ac:dyDescent="0.25">
      <c r="A333" t="s">
        <v>467</v>
      </c>
      <c r="B333" s="2">
        <v>46058</v>
      </c>
      <c r="C333" t="s">
        <v>64</v>
      </c>
      <c r="D333" t="s">
        <v>65</v>
      </c>
      <c r="E333" t="s">
        <v>66</v>
      </c>
      <c r="F333" t="s">
        <v>67</v>
      </c>
      <c r="G333" t="s">
        <v>35</v>
      </c>
      <c r="H333" t="s">
        <v>122</v>
      </c>
      <c r="I333">
        <v>4</v>
      </c>
      <c r="J333">
        <v>5</v>
      </c>
      <c r="K333">
        <v>20</v>
      </c>
      <c r="L333" t="s">
        <v>94</v>
      </c>
      <c r="M333" t="s">
        <v>78</v>
      </c>
      <c r="N333" t="s">
        <v>42</v>
      </c>
      <c r="O333">
        <v>3</v>
      </c>
      <c r="P333">
        <v>4</v>
      </c>
      <c r="Q333">
        <v>12</v>
      </c>
      <c r="R333" s="4" t="str">
        <f>IF(Table5[[#This Row],[Residual Risk Score]]&lt;Table5[[#This Row],[Initial Risk Score]],"Reduced","No Reduction")</f>
        <v>Reduced</v>
      </c>
      <c r="S333" t="s">
        <v>40</v>
      </c>
      <c r="T333" t="s">
        <v>61</v>
      </c>
      <c r="U333" t="s">
        <v>96</v>
      </c>
      <c r="V333" s="2">
        <v>46423</v>
      </c>
    </row>
    <row r="334" spans="1:22" x14ac:dyDescent="0.25">
      <c r="A334" t="s">
        <v>468</v>
      </c>
      <c r="B334" s="2">
        <v>45853</v>
      </c>
      <c r="C334" t="s">
        <v>64</v>
      </c>
      <c r="D334" t="s">
        <v>74</v>
      </c>
      <c r="E334" t="s">
        <v>66</v>
      </c>
      <c r="F334" t="s">
        <v>67</v>
      </c>
      <c r="G334" t="s">
        <v>35</v>
      </c>
      <c r="H334" t="s">
        <v>122</v>
      </c>
      <c r="I334">
        <v>2</v>
      </c>
      <c r="J334">
        <v>3</v>
      </c>
      <c r="K334">
        <v>6</v>
      </c>
      <c r="L334" t="s">
        <v>28</v>
      </c>
      <c r="M334" t="s">
        <v>101</v>
      </c>
      <c r="N334" t="s">
        <v>128</v>
      </c>
      <c r="O334">
        <v>1</v>
      </c>
      <c r="P334">
        <v>2</v>
      </c>
      <c r="Q334">
        <v>2</v>
      </c>
      <c r="R334" t="str">
        <f>IF(Table5[[#This Row],[Residual Risk Score]]&gt;Table5[[#This Row],[Initial Risk Score]],"NO Reduction","Reduced")</f>
        <v>Reduced</v>
      </c>
      <c r="S334" t="s">
        <v>31</v>
      </c>
      <c r="T334" t="s">
        <v>32</v>
      </c>
      <c r="U334" t="s">
        <v>33</v>
      </c>
      <c r="V334" s="2">
        <v>46218</v>
      </c>
    </row>
    <row r="335" spans="1:22" x14ac:dyDescent="0.25">
      <c r="A335" t="s">
        <v>469</v>
      </c>
      <c r="B335" s="2">
        <v>46002</v>
      </c>
      <c r="C335" t="s">
        <v>73</v>
      </c>
      <c r="D335" t="s">
        <v>98</v>
      </c>
      <c r="E335" t="s">
        <v>104</v>
      </c>
      <c r="F335" t="s">
        <v>105</v>
      </c>
      <c r="G335" t="s">
        <v>73</v>
      </c>
      <c r="H335" t="s">
        <v>116</v>
      </c>
      <c r="I335">
        <v>5</v>
      </c>
      <c r="J335">
        <v>2</v>
      </c>
      <c r="K335">
        <v>10</v>
      </c>
      <c r="L335" t="s">
        <v>40</v>
      </c>
      <c r="M335" t="s">
        <v>50</v>
      </c>
      <c r="N335" t="s">
        <v>70</v>
      </c>
      <c r="O335">
        <v>4</v>
      </c>
      <c r="P335">
        <v>2</v>
      </c>
      <c r="Q335">
        <v>8</v>
      </c>
      <c r="R335" s="4" t="str">
        <f>IF(Table5[[#This Row],[Residual Risk Score]]&lt;Table5[[#This Row],[Initial Risk Score]],"Reduced","No Reduction")</f>
        <v>Reduced</v>
      </c>
      <c r="S335" t="s">
        <v>28</v>
      </c>
      <c r="T335" t="s">
        <v>61</v>
      </c>
      <c r="U335" t="s">
        <v>62</v>
      </c>
      <c r="V335" s="2">
        <v>46732</v>
      </c>
    </row>
    <row r="336" spans="1:22" x14ac:dyDescent="0.25">
      <c r="A336" t="s">
        <v>470</v>
      </c>
      <c r="B336" s="2">
        <v>45717</v>
      </c>
      <c r="C336" t="s">
        <v>73</v>
      </c>
      <c r="D336" t="s">
        <v>80</v>
      </c>
      <c r="E336" t="s">
        <v>75</v>
      </c>
      <c r="F336" t="s">
        <v>76</v>
      </c>
      <c r="G336" t="s">
        <v>73</v>
      </c>
      <c r="H336" t="s">
        <v>116</v>
      </c>
      <c r="I336">
        <v>3</v>
      </c>
      <c r="J336">
        <v>2</v>
      </c>
      <c r="K336">
        <v>6</v>
      </c>
      <c r="L336" t="s">
        <v>28</v>
      </c>
      <c r="M336" t="s">
        <v>78</v>
      </c>
      <c r="N336" t="s">
        <v>102</v>
      </c>
      <c r="O336">
        <v>2</v>
      </c>
      <c r="P336">
        <v>1</v>
      </c>
      <c r="Q336">
        <v>2</v>
      </c>
      <c r="R336" s="4" t="str">
        <f>IF(Table5[[#This Row],[Residual Risk Score]]&lt;Table5[[#This Row],[Initial Risk Score]],"Reduced","No Reduction")</f>
        <v>Reduced</v>
      </c>
      <c r="S336" t="s">
        <v>31</v>
      </c>
      <c r="T336" t="s">
        <v>61</v>
      </c>
      <c r="U336" t="s">
        <v>33</v>
      </c>
      <c r="V336" s="2">
        <v>46447</v>
      </c>
    </row>
    <row r="337" spans="1:22" x14ac:dyDescent="0.25">
      <c r="A337" t="s">
        <v>471</v>
      </c>
      <c r="B337" s="2">
        <v>46118</v>
      </c>
      <c r="C337" t="s">
        <v>35</v>
      </c>
      <c r="D337" t="s">
        <v>80</v>
      </c>
      <c r="E337" t="s">
        <v>120</v>
      </c>
      <c r="F337" t="s">
        <v>121</v>
      </c>
      <c r="G337" t="s">
        <v>35</v>
      </c>
      <c r="H337" t="s">
        <v>68</v>
      </c>
      <c r="I337">
        <v>2</v>
      </c>
      <c r="J337">
        <v>5</v>
      </c>
      <c r="K337">
        <v>10</v>
      </c>
      <c r="L337" t="s">
        <v>40</v>
      </c>
      <c r="M337" t="s">
        <v>29</v>
      </c>
      <c r="N337" t="s">
        <v>30</v>
      </c>
      <c r="O337">
        <v>1</v>
      </c>
      <c r="P337">
        <v>4</v>
      </c>
      <c r="Q337">
        <v>4</v>
      </c>
      <c r="R337" s="4" t="str">
        <f>IF(Table5[[#This Row],[Residual Risk Score]]&lt;Table5[[#This Row],[Initial Risk Score]],"Reduced","No Reduction")</f>
        <v>Reduced</v>
      </c>
      <c r="S337" t="s">
        <v>31</v>
      </c>
      <c r="T337" t="s">
        <v>32</v>
      </c>
      <c r="U337" t="s">
        <v>62</v>
      </c>
      <c r="V337" s="2">
        <v>46483</v>
      </c>
    </row>
    <row r="338" spans="1:22" x14ac:dyDescent="0.25">
      <c r="A338" t="s">
        <v>472</v>
      </c>
      <c r="B338" s="2">
        <v>45789</v>
      </c>
      <c r="C338" t="s">
        <v>85</v>
      </c>
      <c r="D338" t="s">
        <v>108</v>
      </c>
      <c r="E338" t="s">
        <v>230</v>
      </c>
      <c r="F338" t="s">
        <v>231</v>
      </c>
      <c r="G338" t="s">
        <v>232</v>
      </c>
      <c r="H338" t="s">
        <v>116</v>
      </c>
      <c r="I338">
        <v>2</v>
      </c>
      <c r="J338">
        <v>3</v>
      </c>
      <c r="K338">
        <v>6</v>
      </c>
      <c r="L338" t="s">
        <v>28</v>
      </c>
      <c r="M338" t="s">
        <v>95</v>
      </c>
      <c r="N338" t="s">
        <v>42</v>
      </c>
      <c r="O338">
        <v>1</v>
      </c>
      <c r="P338">
        <v>2</v>
      </c>
      <c r="Q338">
        <v>2</v>
      </c>
      <c r="R338" t="str">
        <f>IF(Table5[[#This Row],[Residual Risk Score]]&gt;Table5[[#This Row],[Initial Risk Score]],"NO Reduction","Reduced")</f>
        <v>Reduced</v>
      </c>
      <c r="S338" t="s">
        <v>31</v>
      </c>
      <c r="T338" t="s">
        <v>43</v>
      </c>
      <c r="U338" t="s">
        <v>62</v>
      </c>
      <c r="V338" s="2">
        <v>45969</v>
      </c>
    </row>
    <row r="339" spans="1:22" x14ac:dyDescent="0.25">
      <c r="A339" t="s">
        <v>473</v>
      </c>
      <c r="B339" s="2">
        <v>45693</v>
      </c>
      <c r="C339" t="s">
        <v>108</v>
      </c>
      <c r="D339" t="s">
        <v>80</v>
      </c>
      <c r="E339" t="s">
        <v>149</v>
      </c>
      <c r="F339" t="s">
        <v>150</v>
      </c>
      <c r="G339" t="s">
        <v>151</v>
      </c>
      <c r="H339" t="s">
        <v>68</v>
      </c>
      <c r="I339">
        <v>4</v>
      </c>
      <c r="J339">
        <v>2</v>
      </c>
      <c r="K339">
        <v>8</v>
      </c>
      <c r="L339" t="s">
        <v>28</v>
      </c>
      <c r="M339" t="s">
        <v>101</v>
      </c>
      <c r="N339" t="s">
        <v>30</v>
      </c>
      <c r="O339">
        <v>2</v>
      </c>
      <c r="P339">
        <v>2</v>
      </c>
      <c r="Q339">
        <v>4</v>
      </c>
      <c r="R339" s="4" t="str">
        <f>IF(Table5[[#This Row],[Residual Risk Score]]&lt;Table5[[#This Row],[Initial Risk Score]],"Reduced","No Reduction")</f>
        <v>Reduced</v>
      </c>
      <c r="S339" t="s">
        <v>31</v>
      </c>
      <c r="T339" t="s">
        <v>32</v>
      </c>
      <c r="U339" t="s">
        <v>33</v>
      </c>
      <c r="V339" s="2">
        <v>46423</v>
      </c>
    </row>
    <row r="340" spans="1:22" x14ac:dyDescent="0.25">
      <c r="A340" t="s">
        <v>474</v>
      </c>
      <c r="B340" s="2">
        <v>45958</v>
      </c>
      <c r="C340" t="s">
        <v>64</v>
      </c>
      <c r="D340" t="s">
        <v>108</v>
      </c>
      <c r="E340" t="s">
        <v>174</v>
      </c>
      <c r="F340" t="s">
        <v>175</v>
      </c>
      <c r="G340" t="s">
        <v>176</v>
      </c>
      <c r="H340" t="s">
        <v>201</v>
      </c>
      <c r="I340">
        <v>5</v>
      </c>
      <c r="J340">
        <v>3</v>
      </c>
      <c r="K340">
        <v>15</v>
      </c>
      <c r="L340" t="s">
        <v>40</v>
      </c>
      <c r="M340" t="s">
        <v>95</v>
      </c>
      <c r="N340" t="s">
        <v>124</v>
      </c>
      <c r="O340">
        <v>5</v>
      </c>
      <c r="P340">
        <v>3</v>
      </c>
      <c r="Q340">
        <v>15</v>
      </c>
      <c r="R340" t="str">
        <f>IF(Table5[[#This Row],[Residual Risk Score]]&gt;Table5[[#This Row],[Initial Risk Score]],"NO Reduction","Reduced")</f>
        <v>Reduced</v>
      </c>
      <c r="S340" t="s">
        <v>40</v>
      </c>
      <c r="T340" t="s">
        <v>32</v>
      </c>
      <c r="U340" t="s">
        <v>96</v>
      </c>
      <c r="V340" s="2">
        <v>46138</v>
      </c>
    </row>
    <row r="341" spans="1:22" x14ac:dyDescent="0.25">
      <c r="A341" t="s">
        <v>475</v>
      </c>
      <c r="B341" s="2">
        <v>45759</v>
      </c>
      <c r="C341" t="s">
        <v>22</v>
      </c>
      <c r="D341" t="s">
        <v>55</v>
      </c>
      <c r="E341" t="s">
        <v>81</v>
      </c>
      <c r="F341" t="s">
        <v>82</v>
      </c>
      <c r="G341" t="s">
        <v>81</v>
      </c>
      <c r="H341" t="s">
        <v>68</v>
      </c>
      <c r="I341">
        <v>4</v>
      </c>
      <c r="J341">
        <v>3</v>
      </c>
      <c r="K341">
        <v>12</v>
      </c>
      <c r="L341" t="s">
        <v>40</v>
      </c>
      <c r="M341" t="s">
        <v>83</v>
      </c>
      <c r="N341" t="s">
        <v>30</v>
      </c>
      <c r="O341">
        <v>4</v>
      </c>
      <c r="P341">
        <v>2</v>
      </c>
      <c r="Q341">
        <v>8</v>
      </c>
      <c r="R341" t="str">
        <f>IF(Table5[[#This Row],[Residual Risk Score]]&gt;Table5[[#This Row],[Initial Risk Score]],"NO Reduction","Reduced")</f>
        <v>Reduced</v>
      </c>
      <c r="S341" t="s">
        <v>28</v>
      </c>
      <c r="T341" t="s">
        <v>61</v>
      </c>
      <c r="U341" t="s">
        <v>62</v>
      </c>
      <c r="V341" s="2">
        <v>46124</v>
      </c>
    </row>
    <row r="342" spans="1:22" x14ac:dyDescent="0.25">
      <c r="A342" t="s">
        <v>476</v>
      </c>
      <c r="B342" s="2">
        <v>46105</v>
      </c>
      <c r="C342" t="s">
        <v>22</v>
      </c>
      <c r="D342" t="s">
        <v>80</v>
      </c>
      <c r="E342" t="s">
        <v>109</v>
      </c>
      <c r="F342" t="s">
        <v>110</v>
      </c>
      <c r="G342" t="s">
        <v>111</v>
      </c>
      <c r="H342" t="s">
        <v>197</v>
      </c>
      <c r="I342">
        <v>4</v>
      </c>
      <c r="J342">
        <v>4</v>
      </c>
      <c r="K342">
        <v>16</v>
      </c>
      <c r="L342" t="s">
        <v>40</v>
      </c>
      <c r="M342" t="s">
        <v>95</v>
      </c>
      <c r="N342" t="s">
        <v>128</v>
      </c>
      <c r="O342">
        <v>2</v>
      </c>
      <c r="P342">
        <v>4</v>
      </c>
      <c r="Q342">
        <v>8</v>
      </c>
      <c r="R342" s="4" t="str">
        <f>IF(Table5[[#This Row],[Residual Risk Score]]&lt;Table5[[#This Row],[Initial Risk Score]],"Reduced","No Reduction")</f>
        <v>Reduced</v>
      </c>
      <c r="S342" t="s">
        <v>28</v>
      </c>
      <c r="T342" t="s">
        <v>61</v>
      </c>
      <c r="U342" t="s">
        <v>71</v>
      </c>
      <c r="V342" s="2">
        <v>46470</v>
      </c>
    </row>
    <row r="343" spans="1:22" x14ac:dyDescent="0.25">
      <c r="A343" t="s">
        <v>477</v>
      </c>
      <c r="B343" s="2">
        <v>45966</v>
      </c>
      <c r="C343" t="s">
        <v>35</v>
      </c>
      <c r="D343" t="s">
        <v>98</v>
      </c>
      <c r="E343" t="s">
        <v>36</v>
      </c>
      <c r="F343" t="s">
        <v>37</v>
      </c>
      <c r="G343" t="s">
        <v>38</v>
      </c>
      <c r="H343" t="s">
        <v>39</v>
      </c>
      <c r="I343">
        <v>4</v>
      </c>
      <c r="J343">
        <v>4</v>
      </c>
      <c r="K343">
        <v>16</v>
      </c>
      <c r="L343" t="s">
        <v>40</v>
      </c>
      <c r="M343" t="s">
        <v>83</v>
      </c>
      <c r="N343" t="s">
        <v>106</v>
      </c>
      <c r="O343">
        <v>4</v>
      </c>
      <c r="P343">
        <v>3</v>
      </c>
      <c r="Q343">
        <v>12</v>
      </c>
      <c r="R343" t="str">
        <f>IF(Table5[[#This Row],[Residual Risk Score]]&gt;Table5[[#This Row],[Initial Risk Score]],"NO Reduction","Reduced")</f>
        <v>Reduced</v>
      </c>
      <c r="S343" t="s">
        <v>40</v>
      </c>
      <c r="T343" t="s">
        <v>61</v>
      </c>
      <c r="U343" t="s">
        <v>96</v>
      </c>
      <c r="V343" s="2">
        <v>46331</v>
      </c>
    </row>
    <row r="344" spans="1:22" x14ac:dyDescent="0.25">
      <c r="A344" t="s">
        <v>478</v>
      </c>
      <c r="B344" s="2">
        <v>45772</v>
      </c>
      <c r="C344" t="s">
        <v>35</v>
      </c>
      <c r="D344" t="s">
        <v>55</v>
      </c>
      <c r="E344" t="s">
        <v>36</v>
      </c>
      <c r="F344" t="s">
        <v>37</v>
      </c>
      <c r="G344" t="s">
        <v>38</v>
      </c>
      <c r="H344" t="s">
        <v>113</v>
      </c>
      <c r="I344">
        <v>2</v>
      </c>
      <c r="J344">
        <v>2</v>
      </c>
      <c r="K344">
        <v>4</v>
      </c>
      <c r="L344" t="s">
        <v>31</v>
      </c>
      <c r="M344" t="s">
        <v>95</v>
      </c>
      <c r="N344" t="s">
        <v>106</v>
      </c>
      <c r="O344">
        <v>1</v>
      </c>
      <c r="P344">
        <v>1</v>
      </c>
      <c r="Q344">
        <v>1</v>
      </c>
      <c r="R344" t="str">
        <f>IF(Table5[[#This Row],[Residual Risk Score]]&gt;Table5[[#This Row],[Initial Risk Score]],"NO Reduction","Reduced")</f>
        <v>Reduced</v>
      </c>
      <c r="S344" t="s">
        <v>31</v>
      </c>
      <c r="T344" t="s">
        <v>43</v>
      </c>
      <c r="U344" t="s">
        <v>71</v>
      </c>
      <c r="V344" s="2">
        <v>46137</v>
      </c>
    </row>
    <row r="345" spans="1:22" x14ac:dyDescent="0.25">
      <c r="A345" t="s">
        <v>479</v>
      </c>
      <c r="B345" s="2">
        <v>45748</v>
      </c>
      <c r="C345" t="s">
        <v>35</v>
      </c>
      <c r="D345" t="s">
        <v>80</v>
      </c>
      <c r="E345" t="s">
        <v>36</v>
      </c>
      <c r="F345" t="s">
        <v>37</v>
      </c>
      <c r="G345" t="s">
        <v>38</v>
      </c>
      <c r="H345" t="s">
        <v>116</v>
      </c>
      <c r="I345">
        <v>2</v>
      </c>
      <c r="J345">
        <v>5</v>
      </c>
      <c r="K345">
        <v>10</v>
      </c>
      <c r="L345" t="s">
        <v>40</v>
      </c>
      <c r="M345" t="s">
        <v>29</v>
      </c>
      <c r="N345" t="s">
        <v>124</v>
      </c>
      <c r="O345">
        <v>1</v>
      </c>
      <c r="P345">
        <v>4</v>
      </c>
      <c r="Q345">
        <v>4</v>
      </c>
      <c r="R345" t="str">
        <f>IF(Table5[[#This Row],[Residual Risk Score]]&gt;Table5[[#This Row],[Initial Risk Score]],"NO Reduction","Reduced")</f>
        <v>Reduced</v>
      </c>
      <c r="S345" t="s">
        <v>31</v>
      </c>
      <c r="T345" t="s">
        <v>32</v>
      </c>
      <c r="U345" t="s">
        <v>71</v>
      </c>
      <c r="V345" s="2">
        <v>46113</v>
      </c>
    </row>
    <row r="346" spans="1:22" x14ac:dyDescent="0.25">
      <c r="A346" t="s">
        <v>480</v>
      </c>
      <c r="B346" s="2">
        <v>45845</v>
      </c>
      <c r="C346" t="s">
        <v>35</v>
      </c>
      <c r="D346" t="s">
        <v>65</v>
      </c>
      <c r="E346" t="s">
        <v>36</v>
      </c>
      <c r="F346" t="s">
        <v>37</v>
      </c>
      <c r="G346" t="s">
        <v>38</v>
      </c>
      <c r="H346" t="s">
        <v>39</v>
      </c>
      <c r="I346">
        <v>3</v>
      </c>
      <c r="J346">
        <v>5</v>
      </c>
      <c r="K346">
        <v>15</v>
      </c>
      <c r="L346" t="s">
        <v>40</v>
      </c>
      <c r="M346" t="s">
        <v>69</v>
      </c>
      <c r="N346" t="s">
        <v>124</v>
      </c>
      <c r="O346">
        <v>2</v>
      </c>
      <c r="P346">
        <v>4</v>
      </c>
      <c r="Q346">
        <v>8</v>
      </c>
      <c r="R346" t="str">
        <f>IF(Table5[[#This Row],[Residual Risk Score]]&gt;Table5[[#This Row],[Initial Risk Score]],"NO Reduction","Reduced")</f>
        <v>Reduced</v>
      </c>
      <c r="S346" t="s">
        <v>28</v>
      </c>
      <c r="T346" t="s">
        <v>32</v>
      </c>
      <c r="U346" t="s">
        <v>62</v>
      </c>
      <c r="V346" s="2">
        <v>46025</v>
      </c>
    </row>
    <row r="347" spans="1:22" x14ac:dyDescent="0.25">
      <c r="A347" t="s">
        <v>481</v>
      </c>
      <c r="B347" s="2">
        <v>45837</v>
      </c>
      <c r="C347" t="s">
        <v>64</v>
      </c>
      <c r="D347" t="s">
        <v>80</v>
      </c>
      <c r="E347" t="s">
        <v>66</v>
      </c>
      <c r="F347" t="s">
        <v>67</v>
      </c>
      <c r="G347" t="s">
        <v>35</v>
      </c>
      <c r="H347" t="s">
        <v>68</v>
      </c>
      <c r="I347">
        <v>4</v>
      </c>
      <c r="J347">
        <v>2</v>
      </c>
      <c r="K347">
        <v>8</v>
      </c>
      <c r="L347" t="s">
        <v>28</v>
      </c>
      <c r="M347" t="s">
        <v>29</v>
      </c>
      <c r="N347" t="s">
        <v>124</v>
      </c>
      <c r="O347">
        <v>3</v>
      </c>
      <c r="P347">
        <v>1</v>
      </c>
      <c r="Q347">
        <v>3</v>
      </c>
      <c r="R347" t="str">
        <f>IF(Table5[[#This Row],[Residual Risk Score]]&gt;Table5[[#This Row],[Initial Risk Score]],"NO Reduction","Reduced")</f>
        <v>Reduced</v>
      </c>
      <c r="S347" t="s">
        <v>31</v>
      </c>
      <c r="T347" t="s">
        <v>43</v>
      </c>
      <c r="U347" t="s">
        <v>52</v>
      </c>
      <c r="V347" s="2">
        <v>46202</v>
      </c>
    </row>
    <row r="348" spans="1:22" x14ac:dyDescent="0.25">
      <c r="A348" t="s">
        <v>482</v>
      </c>
      <c r="B348" s="2">
        <v>46169</v>
      </c>
      <c r="C348" t="s">
        <v>22</v>
      </c>
      <c r="D348" t="s">
        <v>108</v>
      </c>
      <c r="E348" t="s">
        <v>135</v>
      </c>
      <c r="F348" t="s">
        <v>136</v>
      </c>
      <c r="G348" t="s">
        <v>35</v>
      </c>
      <c r="H348" t="s">
        <v>122</v>
      </c>
      <c r="I348">
        <v>3</v>
      </c>
      <c r="J348">
        <v>4</v>
      </c>
      <c r="K348">
        <v>12</v>
      </c>
      <c r="L348" t="s">
        <v>40</v>
      </c>
      <c r="M348" t="s">
        <v>29</v>
      </c>
      <c r="N348" t="s">
        <v>89</v>
      </c>
      <c r="O348">
        <v>1</v>
      </c>
      <c r="P348">
        <v>4</v>
      </c>
      <c r="Q348">
        <v>4</v>
      </c>
      <c r="R348" s="4" t="str">
        <f>IF(Table5[[#This Row],[Residual Risk Score]]&lt;Table5[[#This Row],[Initial Risk Score]],"Reduced","No Reduction")</f>
        <v>Reduced</v>
      </c>
      <c r="S348" t="s">
        <v>31</v>
      </c>
      <c r="T348" t="s">
        <v>61</v>
      </c>
      <c r="U348" t="s">
        <v>62</v>
      </c>
      <c r="V348" s="2">
        <v>46899</v>
      </c>
    </row>
    <row r="349" spans="1:22" x14ac:dyDescent="0.25">
      <c r="A349" t="s">
        <v>483</v>
      </c>
      <c r="B349" s="2">
        <v>46152</v>
      </c>
      <c r="C349" t="s">
        <v>64</v>
      </c>
      <c r="D349" t="s">
        <v>65</v>
      </c>
      <c r="E349" t="s">
        <v>66</v>
      </c>
      <c r="F349" t="s">
        <v>67</v>
      </c>
      <c r="G349" t="s">
        <v>35</v>
      </c>
      <c r="H349" t="s">
        <v>68</v>
      </c>
      <c r="I349">
        <v>5</v>
      </c>
      <c r="J349">
        <v>5</v>
      </c>
      <c r="K349">
        <v>25</v>
      </c>
      <c r="L349" t="s">
        <v>94</v>
      </c>
      <c r="M349" t="s">
        <v>50</v>
      </c>
      <c r="N349" t="s">
        <v>106</v>
      </c>
      <c r="O349">
        <v>4</v>
      </c>
      <c r="P349">
        <v>5</v>
      </c>
      <c r="Q349">
        <v>20</v>
      </c>
      <c r="R349" s="4" t="str">
        <f>IF(Table5[[#This Row],[Residual Risk Score]]&lt;Table5[[#This Row],[Initial Risk Score]],"Reduced","No Reduction")</f>
        <v>Reduced</v>
      </c>
      <c r="S349" t="s">
        <v>94</v>
      </c>
      <c r="T349" t="s">
        <v>43</v>
      </c>
      <c r="U349" t="s">
        <v>33</v>
      </c>
      <c r="V349" s="2">
        <v>46882</v>
      </c>
    </row>
    <row r="350" spans="1:22" x14ac:dyDescent="0.25">
      <c r="A350" t="s">
        <v>484</v>
      </c>
      <c r="B350" s="2">
        <v>45875</v>
      </c>
      <c r="C350" t="s">
        <v>35</v>
      </c>
      <c r="D350" t="s">
        <v>74</v>
      </c>
      <c r="E350" t="s">
        <v>36</v>
      </c>
      <c r="F350" t="s">
        <v>37</v>
      </c>
      <c r="G350" t="s">
        <v>38</v>
      </c>
      <c r="H350" t="s">
        <v>113</v>
      </c>
      <c r="I350">
        <v>4</v>
      </c>
      <c r="J350">
        <v>4</v>
      </c>
      <c r="K350">
        <v>16</v>
      </c>
      <c r="L350" t="s">
        <v>40</v>
      </c>
      <c r="M350" t="s">
        <v>101</v>
      </c>
      <c r="N350" t="s">
        <v>60</v>
      </c>
      <c r="O350">
        <v>4</v>
      </c>
      <c r="P350">
        <v>4</v>
      </c>
      <c r="Q350">
        <v>16</v>
      </c>
      <c r="R350" t="str">
        <f>IF(Table5[[#This Row],[Residual Risk Score]]&gt;Table5[[#This Row],[Initial Risk Score]],"NO Reduction","Reduced")</f>
        <v>Reduced</v>
      </c>
      <c r="S350" t="s">
        <v>40</v>
      </c>
      <c r="T350" t="s">
        <v>32</v>
      </c>
      <c r="U350" t="s">
        <v>71</v>
      </c>
      <c r="V350" s="2">
        <v>46240</v>
      </c>
    </row>
    <row r="351" spans="1:22" x14ac:dyDescent="0.25">
      <c r="A351" t="s">
        <v>485</v>
      </c>
      <c r="B351" s="2">
        <v>45939</v>
      </c>
      <c r="C351" t="s">
        <v>45</v>
      </c>
      <c r="D351" t="s">
        <v>65</v>
      </c>
      <c r="E351" t="s">
        <v>46</v>
      </c>
      <c r="F351" t="s">
        <v>47</v>
      </c>
      <c r="G351" t="s">
        <v>48</v>
      </c>
      <c r="H351" t="s">
        <v>39</v>
      </c>
      <c r="I351">
        <v>4</v>
      </c>
      <c r="J351">
        <v>4</v>
      </c>
      <c r="K351">
        <v>16</v>
      </c>
      <c r="L351" t="s">
        <v>40</v>
      </c>
      <c r="M351" t="s">
        <v>50</v>
      </c>
      <c r="N351" t="s">
        <v>30</v>
      </c>
      <c r="O351">
        <v>2</v>
      </c>
      <c r="P351">
        <v>3</v>
      </c>
      <c r="Q351">
        <v>6</v>
      </c>
      <c r="R351" s="4" t="str">
        <f>IF(Table5[[#This Row],[Residual Risk Score]]&lt;Table5[[#This Row],[Initial Risk Score]],"Reduced","No Reduction")</f>
        <v>Reduced</v>
      </c>
      <c r="S351" t="s">
        <v>28</v>
      </c>
      <c r="T351" t="s">
        <v>32</v>
      </c>
      <c r="U351" t="s">
        <v>52</v>
      </c>
      <c r="V351" s="2">
        <v>46669</v>
      </c>
    </row>
    <row r="352" spans="1:22" x14ac:dyDescent="0.25">
      <c r="A352" t="s">
        <v>486</v>
      </c>
      <c r="B352" s="2">
        <v>45936</v>
      </c>
      <c r="C352" t="s">
        <v>85</v>
      </c>
      <c r="D352" t="s">
        <v>23</v>
      </c>
      <c r="E352" t="s">
        <v>230</v>
      </c>
      <c r="F352" t="s">
        <v>231</v>
      </c>
      <c r="G352" t="s">
        <v>232</v>
      </c>
      <c r="H352" t="s">
        <v>233</v>
      </c>
      <c r="I352">
        <v>2</v>
      </c>
      <c r="J352">
        <v>2</v>
      </c>
      <c r="K352">
        <v>4</v>
      </c>
      <c r="L352" t="s">
        <v>31</v>
      </c>
      <c r="M352" t="s">
        <v>101</v>
      </c>
      <c r="N352" t="s">
        <v>60</v>
      </c>
      <c r="O352">
        <v>1</v>
      </c>
      <c r="P352">
        <v>1</v>
      </c>
      <c r="Q352">
        <v>1</v>
      </c>
      <c r="R352" t="str">
        <f>IF(Table5[[#This Row],[Residual Risk Score]]&gt;Table5[[#This Row],[Initial Risk Score]],"NO Reduction","Reduced")</f>
        <v>Reduced</v>
      </c>
      <c r="S352" t="s">
        <v>31</v>
      </c>
      <c r="T352" t="s">
        <v>43</v>
      </c>
      <c r="U352" t="s">
        <v>71</v>
      </c>
      <c r="V352" s="2">
        <v>46301</v>
      </c>
    </row>
    <row r="353" spans="1:22" x14ac:dyDescent="0.25">
      <c r="A353" t="s">
        <v>487</v>
      </c>
      <c r="B353" s="2">
        <v>45677</v>
      </c>
      <c r="C353" t="s">
        <v>85</v>
      </c>
      <c r="D353" t="s">
        <v>74</v>
      </c>
      <c r="E353" t="s">
        <v>230</v>
      </c>
      <c r="F353" t="s">
        <v>231</v>
      </c>
      <c r="G353" t="s">
        <v>232</v>
      </c>
      <c r="H353" t="s">
        <v>233</v>
      </c>
      <c r="I353">
        <v>4</v>
      </c>
      <c r="J353">
        <v>4</v>
      </c>
      <c r="K353">
        <v>16</v>
      </c>
      <c r="L353" t="s">
        <v>40</v>
      </c>
      <c r="M353" t="s">
        <v>41</v>
      </c>
      <c r="N353" t="s">
        <v>102</v>
      </c>
      <c r="O353">
        <v>2</v>
      </c>
      <c r="P353">
        <v>4</v>
      </c>
      <c r="Q353">
        <v>8</v>
      </c>
      <c r="R353" s="4" t="str">
        <f>IF(Table5[[#This Row],[Residual Risk Score]]&lt;Table5[[#This Row],[Initial Risk Score]],"Reduced","No Reduction")</f>
        <v>Reduced</v>
      </c>
      <c r="S353" t="s">
        <v>28</v>
      </c>
      <c r="T353" t="s">
        <v>43</v>
      </c>
      <c r="U353" t="s">
        <v>62</v>
      </c>
      <c r="V353" s="2">
        <v>46407</v>
      </c>
    </row>
    <row r="354" spans="1:22" x14ac:dyDescent="0.25">
      <c r="A354" t="s">
        <v>488</v>
      </c>
      <c r="B354" s="2">
        <v>46263</v>
      </c>
      <c r="C354" t="s">
        <v>64</v>
      </c>
      <c r="D354" t="s">
        <v>74</v>
      </c>
      <c r="E354" t="s">
        <v>66</v>
      </c>
      <c r="F354" t="s">
        <v>67</v>
      </c>
      <c r="G354" t="s">
        <v>35</v>
      </c>
      <c r="H354" t="s">
        <v>68</v>
      </c>
      <c r="I354">
        <v>4</v>
      </c>
      <c r="J354">
        <v>3</v>
      </c>
      <c r="K354">
        <v>12</v>
      </c>
      <c r="L354" t="s">
        <v>40</v>
      </c>
      <c r="M354" t="s">
        <v>83</v>
      </c>
      <c r="N354" t="s">
        <v>30</v>
      </c>
      <c r="O354">
        <v>4</v>
      </c>
      <c r="P354">
        <v>3</v>
      </c>
      <c r="Q354">
        <v>12</v>
      </c>
      <c r="R354" s="4" t="str">
        <f>IF(Table5[[#This Row],[Residual Risk Score]]&lt;Table5[[#This Row],[Initial Risk Score]],"Reduced","No Reduction")</f>
        <v>No Reduction</v>
      </c>
      <c r="S354" t="s">
        <v>40</v>
      </c>
      <c r="T354" t="s">
        <v>61</v>
      </c>
      <c r="U354" t="s">
        <v>52</v>
      </c>
      <c r="V354" s="2">
        <v>46443</v>
      </c>
    </row>
    <row r="355" spans="1:22" x14ac:dyDescent="0.25">
      <c r="A355" t="s">
        <v>489</v>
      </c>
      <c r="B355" s="2">
        <v>46099</v>
      </c>
      <c r="C355" t="s">
        <v>73</v>
      </c>
      <c r="D355" t="s">
        <v>65</v>
      </c>
      <c r="E355" t="s">
        <v>75</v>
      </c>
      <c r="F355" t="s">
        <v>76</v>
      </c>
      <c r="G355" t="s">
        <v>73</v>
      </c>
      <c r="H355" t="s">
        <v>68</v>
      </c>
      <c r="I355">
        <v>4</v>
      </c>
      <c r="J355">
        <v>3</v>
      </c>
      <c r="K355">
        <v>12</v>
      </c>
      <c r="L355" t="s">
        <v>40</v>
      </c>
      <c r="M355" t="s">
        <v>83</v>
      </c>
      <c r="N355" t="s">
        <v>51</v>
      </c>
      <c r="O355">
        <v>3</v>
      </c>
      <c r="P355">
        <v>3</v>
      </c>
      <c r="Q355">
        <v>9</v>
      </c>
      <c r="R355" s="4" t="str">
        <f>IF(Table5[[#This Row],[Residual Risk Score]]&lt;Table5[[#This Row],[Initial Risk Score]],"Reduced","No Reduction")</f>
        <v>Reduced</v>
      </c>
      <c r="S355" t="s">
        <v>28</v>
      </c>
      <c r="T355" t="s">
        <v>61</v>
      </c>
      <c r="U355" t="s">
        <v>62</v>
      </c>
      <c r="V355" s="2">
        <v>46464</v>
      </c>
    </row>
    <row r="356" spans="1:22" x14ac:dyDescent="0.25">
      <c r="A356" t="s">
        <v>490</v>
      </c>
      <c r="B356" s="2">
        <v>46254</v>
      </c>
      <c r="C356" t="s">
        <v>54</v>
      </c>
      <c r="D356" t="s">
        <v>23</v>
      </c>
      <c r="E356" t="s">
        <v>56</v>
      </c>
      <c r="F356" t="s">
        <v>57</v>
      </c>
      <c r="G356" t="s">
        <v>58</v>
      </c>
      <c r="H356" t="s">
        <v>59</v>
      </c>
      <c r="I356">
        <v>3</v>
      </c>
      <c r="J356">
        <v>4</v>
      </c>
      <c r="K356">
        <v>12</v>
      </c>
      <c r="L356" t="s">
        <v>40</v>
      </c>
      <c r="M356" t="s">
        <v>78</v>
      </c>
      <c r="N356" t="s">
        <v>102</v>
      </c>
      <c r="O356">
        <v>3</v>
      </c>
      <c r="P356">
        <v>4</v>
      </c>
      <c r="Q356">
        <v>12</v>
      </c>
      <c r="R356" s="4" t="str">
        <f>IF(Table5[[#This Row],[Residual Risk Score]]&lt;Table5[[#This Row],[Initial Risk Score]],"Reduced","No Reduction")</f>
        <v>No Reduction</v>
      </c>
      <c r="S356" t="s">
        <v>40</v>
      </c>
      <c r="T356" t="s">
        <v>43</v>
      </c>
      <c r="U356" t="s">
        <v>71</v>
      </c>
      <c r="V356" s="2">
        <v>46434</v>
      </c>
    </row>
    <row r="357" spans="1:22" x14ac:dyDescent="0.25">
      <c r="A357" t="s">
        <v>491</v>
      </c>
      <c r="B357" s="2">
        <v>45942</v>
      </c>
      <c r="C357" t="s">
        <v>64</v>
      </c>
      <c r="D357" t="s">
        <v>98</v>
      </c>
      <c r="E357" t="s">
        <v>66</v>
      </c>
      <c r="F357" t="s">
        <v>67</v>
      </c>
      <c r="G357" t="s">
        <v>35</v>
      </c>
      <c r="H357" t="s">
        <v>122</v>
      </c>
      <c r="I357">
        <v>4</v>
      </c>
      <c r="J357">
        <v>5</v>
      </c>
      <c r="K357">
        <v>20</v>
      </c>
      <c r="L357" t="s">
        <v>94</v>
      </c>
      <c r="M357" t="s">
        <v>101</v>
      </c>
      <c r="N357" t="s">
        <v>124</v>
      </c>
      <c r="O357">
        <v>4</v>
      </c>
      <c r="P357">
        <v>5</v>
      </c>
      <c r="Q357">
        <v>20</v>
      </c>
      <c r="R357" t="str">
        <f>IF(Table5[[#This Row],[Residual Risk Score]]&gt;Table5[[#This Row],[Initial Risk Score]],"NO Reduction","Reduced")</f>
        <v>Reduced</v>
      </c>
      <c r="S357" t="s">
        <v>94</v>
      </c>
      <c r="T357" t="s">
        <v>43</v>
      </c>
      <c r="U357" t="s">
        <v>96</v>
      </c>
      <c r="V357" s="2">
        <v>46307</v>
      </c>
    </row>
    <row r="358" spans="1:22" x14ac:dyDescent="0.25">
      <c r="A358" t="s">
        <v>492</v>
      </c>
      <c r="B358" s="2">
        <v>45670</v>
      </c>
      <c r="C358" t="s">
        <v>22</v>
      </c>
      <c r="D358" t="s">
        <v>55</v>
      </c>
      <c r="E358" t="s">
        <v>24</v>
      </c>
      <c r="F358" t="s">
        <v>25</v>
      </c>
      <c r="G358" t="s">
        <v>26</v>
      </c>
      <c r="H358" t="s">
        <v>223</v>
      </c>
      <c r="I358">
        <v>2</v>
      </c>
      <c r="J358">
        <v>2</v>
      </c>
      <c r="K358">
        <v>4</v>
      </c>
      <c r="L358" t="s">
        <v>31</v>
      </c>
      <c r="M358" t="s">
        <v>69</v>
      </c>
      <c r="N358" t="s">
        <v>42</v>
      </c>
      <c r="O358">
        <v>1</v>
      </c>
      <c r="P358">
        <v>1</v>
      </c>
      <c r="Q358">
        <v>1</v>
      </c>
      <c r="R358" s="4" t="str">
        <f>IF(Table5[[#This Row],[Residual Risk Score]]&lt;Table5[[#This Row],[Initial Risk Score]],"Reduced","No Reduction")</f>
        <v>Reduced</v>
      </c>
      <c r="S358" t="s">
        <v>31</v>
      </c>
      <c r="T358" t="s">
        <v>61</v>
      </c>
      <c r="U358" t="s">
        <v>62</v>
      </c>
      <c r="V358" s="2">
        <v>46400</v>
      </c>
    </row>
    <row r="359" spans="1:22" x14ac:dyDescent="0.25">
      <c r="A359" t="s">
        <v>493</v>
      </c>
      <c r="B359" s="2">
        <v>46213</v>
      </c>
      <c r="C359" t="s">
        <v>22</v>
      </c>
      <c r="D359" t="s">
        <v>74</v>
      </c>
      <c r="E359" t="s">
        <v>135</v>
      </c>
      <c r="F359" t="s">
        <v>136</v>
      </c>
      <c r="G359" t="s">
        <v>35</v>
      </c>
      <c r="H359" t="s">
        <v>137</v>
      </c>
      <c r="I359">
        <v>2</v>
      </c>
      <c r="J359">
        <v>3</v>
      </c>
      <c r="K359">
        <v>6</v>
      </c>
      <c r="L359" t="s">
        <v>28</v>
      </c>
      <c r="M359" t="s">
        <v>95</v>
      </c>
      <c r="N359" t="s">
        <v>128</v>
      </c>
      <c r="O359">
        <v>1</v>
      </c>
      <c r="P359">
        <v>2</v>
      </c>
      <c r="Q359">
        <v>2</v>
      </c>
      <c r="R359" s="4" t="str">
        <f>IF(Table5[[#This Row],[Residual Risk Score]]&lt;Table5[[#This Row],[Initial Risk Score]],"Reduced","No Reduction")</f>
        <v>Reduced</v>
      </c>
      <c r="S359" t="s">
        <v>31</v>
      </c>
      <c r="T359" t="s">
        <v>61</v>
      </c>
      <c r="U359" t="s">
        <v>96</v>
      </c>
      <c r="V359" s="2">
        <v>46943</v>
      </c>
    </row>
    <row r="360" spans="1:22" x14ac:dyDescent="0.25">
      <c r="A360" t="s">
        <v>494</v>
      </c>
      <c r="B360" s="2">
        <v>46322</v>
      </c>
      <c r="C360" t="s">
        <v>108</v>
      </c>
      <c r="D360" t="s">
        <v>80</v>
      </c>
      <c r="E360" t="s">
        <v>162</v>
      </c>
      <c r="F360" t="s">
        <v>163</v>
      </c>
      <c r="G360" t="s">
        <v>164</v>
      </c>
      <c r="H360" t="s">
        <v>219</v>
      </c>
      <c r="I360">
        <v>4</v>
      </c>
      <c r="J360">
        <v>4</v>
      </c>
      <c r="K360">
        <v>16</v>
      </c>
      <c r="L360" t="s">
        <v>40</v>
      </c>
      <c r="M360" t="s">
        <v>50</v>
      </c>
      <c r="N360" t="s">
        <v>70</v>
      </c>
      <c r="O360">
        <v>3</v>
      </c>
      <c r="P360">
        <v>4</v>
      </c>
      <c r="Q360">
        <v>12</v>
      </c>
      <c r="R360" s="4" t="str">
        <f>IF(Table5[[#This Row],[Residual Risk Score]]&lt;Table5[[#This Row],[Initial Risk Score]],"Reduced","No Reduction")</f>
        <v>Reduced</v>
      </c>
      <c r="S360" t="s">
        <v>40</v>
      </c>
      <c r="T360" t="s">
        <v>43</v>
      </c>
      <c r="U360" t="s">
        <v>33</v>
      </c>
      <c r="V360" s="2">
        <v>46502</v>
      </c>
    </row>
    <row r="361" spans="1:22" x14ac:dyDescent="0.25">
      <c r="A361" t="s">
        <v>495</v>
      </c>
      <c r="B361" s="2">
        <v>45822</v>
      </c>
      <c r="C361" t="s">
        <v>73</v>
      </c>
      <c r="D361" t="s">
        <v>55</v>
      </c>
      <c r="E361" t="s">
        <v>75</v>
      </c>
      <c r="F361" t="s">
        <v>76</v>
      </c>
      <c r="G361" t="s">
        <v>73</v>
      </c>
      <c r="H361" t="s">
        <v>77</v>
      </c>
      <c r="I361">
        <v>5</v>
      </c>
      <c r="J361">
        <v>3</v>
      </c>
      <c r="K361">
        <v>15</v>
      </c>
      <c r="L361" t="s">
        <v>40</v>
      </c>
      <c r="M361" t="s">
        <v>78</v>
      </c>
      <c r="N361" t="s">
        <v>42</v>
      </c>
      <c r="O361">
        <v>4</v>
      </c>
      <c r="P361">
        <v>3</v>
      </c>
      <c r="Q361">
        <v>12</v>
      </c>
      <c r="R361" s="4" t="str">
        <f>IF(Table5[[#This Row],[Residual Risk Score]]&lt;Table5[[#This Row],[Initial Risk Score]],"Reduced","No Reduction")</f>
        <v>Reduced</v>
      </c>
      <c r="S361" t="s">
        <v>40</v>
      </c>
      <c r="T361" t="s">
        <v>43</v>
      </c>
      <c r="U361" t="s">
        <v>96</v>
      </c>
      <c r="V361" s="2">
        <v>46552</v>
      </c>
    </row>
    <row r="362" spans="1:22" x14ac:dyDescent="0.25">
      <c r="A362" t="s">
        <v>496</v>
      </c>
      <c r="B362" s="2">
        <v>46240</v>
      </c>
      <c r="C362" t="s">
        <v>22</v>
      </c>
      <c r="D362" t="s">
        <v>74</v>
      </c>
      <c r="E362" t="s">
        <v>81</v>
      </c>
      <c r="F362" t="s">
        <v>82</v>
      </c>
      <c r="G362" t="s">
        <v>81</v>
      </c>
      <c r="H362" t="s">
        <v>143</v>
      </c>
      <c r="I362">
        <v>3</v>
      </c>
      <c r="J362">
        <v>5</v>
      </c>
      <c r="K362">
        <v>15</v>
      </c>
      <c r="L362" t="s">
        <v>40</v>
      </c>
      <c r="M362" t="s">
        <v>29</v>
      </c>
      <c r="N362" t="s">
        <v>51</v>
      </c>
      <c r="O362">
        <v>2</v>
      </c>
      <c r="P362">
        <v>4</v>
      </c>
      <c r="Q362">
        <v>8</v>
      </c>
      <c r="R362" s="4" t="str">
        <f>IF(Table5[[#This Row],[Residual Risk Score]]&lt;Table5[[#This Row],[Initial Risk Score]],"Reduced","No Reduction")</f>
        <v>Reduced</v>
      </c>
      <c r="S362" t="s">
        <v>28</v>
      </c>
      <c r="T362" t="s">
        <v>61</v>
      </c>
      <c r="U362" t="s">
        <v>62</v>
      </c>
      <c r="V362" s="2">
        <v>46605</v>
      </c>
    </row>
    <row r="363" spans="1:22" x14ac:dyDescent="0.25">
      <c r="A363" t="s">
        <v>497</v>
      </c>
      <c r="B363" s="2">
        <v>45938</v>
      </c>
      <c r="C363" t="s">
        <v>64</v>
      </c>
      <c r="D363" t="s">
        <v>55</v>
      </c>
      <c r="E363" t="s">
        <v>66</v>
      </c>
      <c r="F363" t="s">
        <v>67</v>
      </c>
      <c r="G363" t="s">
        <v>35</v>
      </c>
      <c r="H363" t="s">
        <v>93</v>
      </c>
      <c r="I363">
        <v>4</v>
      </c>
      <c r="J363">
        <v>5</v>
      </c>
      <c r="K363">
        <v>20</v>
      </c>
      <c r="L363" t="s">
        <v>94</v>
      </c>
      <c r="M363" t="s">
        <v>50</v>
      </c>
      <c r="N363" t="s">
        <v>30</v>
      </c>
      <c r="O363">
        <v>3</v>
      </c>
      <c r="P363">
        <v>5</v>
      </c>
      <c r="Q363">
        <v>15</v>
      </c>
      <c r="R363" t="str">
        <f>IF(Table5[[#This Row],[Residual Risk Score]]&gt;Table5[[#This Row],[Initial Risk Score]],"NO Reduction","Reduced")</f>
        <v>Reduced</v>
      </c>
      <c r="S363" t="s">
        <v>40</v>
      </c>
      <c r="T363" t="s">
        <v>43</v>
      </c>
      <c r="U363" t="s">
        <v>62</v>
      </c>
      <c r="V363" s="2">
        <v>46303</v>
      </c>
    </row>
    <row r="364" spans="1:22" x14ac:dyDescent="0.25">
      <c r="A364" t="s">
        <v>498</v>
      </c>
      <c r="B364" s="2">
        <v>46239</v>
      </c>
      <c r="C364" t="s">
        <v>64</v>
      </c>
      <c r="D364" t="s">
        <v>80</v>
      </c>
      <c r="E364" t="s">
        <v>174</v>
      </c>
      <c r="F364" t="s">
        <v>175</v>
      </c>
      <c r="G364" t="s">
        <v>176</v>
      </c>
      <c r="H364" t="s">
        <v>201</v>
      </c>
      <c r="I364">
        <v>5</v>
      </c>
      <c r="J364">
        <v>5</v>
      </c>
      <c r="K364">
        <v>25</v>
      </c>
      <c r="L364" t="s">
        <v>94</v>
      </c>
      <c r="M364" t="s">
        <v>83</v>
      </c>
      <c r="N364" t="s">
        <v>30</v>
      </c>
      <c r="O364">
        <v>4</v>
      </c>
      <c r="P364">
        <v>5</v>
      </c>
      <c r="Q364">
        <v>20</v>
      </c>
      <c r="R364" s="4" t="str">
        <f>IF(Table5[[#This Row],[Residual Risk Score]]&lt;Table5[[#This Row],[Initial Risk Score]],"Reduced","No Reduction")</f>
        <v>Reduced</v>
      </c>
      <c r="S364" t="s">
        <v>94</v>
      </c>
      <c r="T364" t="s">
        <v>43</v>
      </c>
      <c r="U364" t="s">
        <v>33</v>
      </c>
      <c r="V364" s="2">
        <v>46604</v>
      </c>
    </row>
    <row r="365" spans="1:22" x14ac:dyDescent="0.25">
      <c r="A365" t="s">
        <v>499</v>
      </c>
      <c r="B365" s="2">
        <v>45900</v>
      </c>
      <c r="C365" t="s">
        <v>64</v>
      </c>
      <c r="D365" t="s">
        <v>74</v>
      </c>
      <c r="E365" t="s">
        <v>66</v>
      </c>
      <c r="F365" t="s">
        <v>67</v>
      </c>
      <c r="G365" t="s">
        <v>35</v>
      </c>
      <c r="H365" t="s">
        <v>122</v>
      </c>
      <c r="I365">
        <v>4</v>
      </c>
      <c r="J365">
        <v>5</v>
      </c>
      <c r="K365">
        <v>20</v>
      </c>
      <c r="L365" t="s">
        <v>94</v>
      </c>
      <c r="M365" t="s">
        <v>69</v>
      </c>
      <c r="N365" t="s">
        <v>106</v>
      </c>
      <c r="O365">
        <v>3</v>
      </c>
      <c r="P365">
        <v>4</v>
      </c>
      <c r="Q365">
        <v>12</v>
      </c>
      <c r="R365" s="4" t="str">
        <f>IF(Table5[[#This Row],[Residual Risk Score]]&lt;Table5[[#This Row],[Initial Risk Score]],"Reduced","No Reduction")</f>
        <v>Reduced</v>
      </c>
      <c r="S365" t="s">
        <v>40</v>
      </c>
      <c r="T365" t="s">
        <v>61</v>
      </c>
      <c r="U365" t="s">
        <v>52</v>
      </c>
      <c r="V365" s="2">
        <v>46630</v>
      </c>
    </row>
    <row r="366" spans="1:22" x14ac:dyDescent="0.25">
      <c r="A366" t="s">
        <v>500</v>
      </c>
      <c r="B366" s="2">
        <v>45753</v>
      </c>
      <c r="C366" t="s">
        <v>35</v>
      </c>
      <c r="D366" t="s">
        <v>65</v>
      </c>
      <c r="E366" t="s">
        <v>120</v>
      </c>
      <c r="F366" t="s">
        <v>121</v>
      </c>
      <c r="G366" t="s">
        <v>35</v>
      </c>
      <c r="H366" t="s">
        <v>68</v>
      </c>
      <c r="I366">
        <v>5</v>
      </c>
      <c r="J366">
        <v>3</v>
      </c>
      <c r="K366">
        <v>15</v>
      </c>
      <c r="L366" t="s">
        <v>40</v>
      </c>
      <c r="M366" t="s">
        <v>78</v>
      </c>
      <c r="N366" t="s">
        <v>128</v>
      </c>
      <c r="O366">
        <v>5</v>
      </c>
      <c r="P366">
        <v>3</v>
      </c>
      <c r="Q366">
        <v>15</v>
      </c>
      <c r="R366" t="str">
        <f>IF(Table5[[#This Row],[Residual Risk Score]]&gt;Table5[[#This Row],[Initial Risk Score]],"NO Reduction","Reduced")</f>
        <v>Reduced</v>
      </c>
      <c r="S366" t="s">
        <v>40</v>
      </c>
      <c r="T366" t="s">
        <v>43</v>
      </c>
      <c r="U366" t="s">
        <v>62</v>
      </c>
      <c r="V366" s="2">
        <v>45933</v>
      </c>
    </row>
    <row r="367" spans="1:22" x14ac:dyDescent="0.25">
      <c r="A367" t="s">
        <v>501</v>
      </c>
      <c r="B367" s="2">
        <v>46244</v>
      </c>
      <c r="C367" t="s">
        <v>64</v>
      </c>
      <c r="D367" t="s">
        <v>23</v>
      </c>
      <c r="E367" t="s">
        <v>66</v>
      </c>
      <c r="F367" t="s">
        <v>67</v>
      </c>
      <c r="G367" t="s">
        <v>35</v>
      </c>
      <c r="H367" t="s">
        <v>93</v>
      </c>
      <c r="I367">
        <v>5</v>
      </c>
      <c r="J367">
        <v>4</v>
      </c>
      <c r="K367">
        <v>20</v>
      </c>
      <c r="L367" t="s">
        <v>94</v>
      </c>
      <c r="M367" t="s">
        <v>50</v>
      </c>
      <c r="N367" t="s">
        <v>42</v>
      </c>
      <c r="O367">
        <v>3</v>
      </c>
      <c r="P367">
        <v>3</v>
      </c>
      <c r="Q367">
        <v>9</v>
      </c>
      <c r="R367" s="4" t="str">
        <f>IF(Table5[[#This Row],[Residual Risk Score]]&lt;Table5[[#This Row],[Initial Risk Score]],"Reduced","No Reduction")</f>
        <v>Reduced</v>
      </c>
      <c r="S367" t="s">
        <v>28</v>
      </c>
      <c r="T367" t="s">
        <v>32</v>
      </c>
      <c r="U367" t="s">
        <v>52</v>
      </c>
      <c r="V367" s="2">
        <v>46424</v>
      </c>
    </row>
    <row r="368" spans="1:22" x14ac:dyDescent="0.25">
      <c r="A368" t="s">
        <v>502</v>
      </c>
      <c r="B368" s="2">
        <v>45763</v>
      </c>
      <c r="C368" t="s">
        <v>85</v>
      </c>
      <c r="D368" t="s">
        <v>23</v>
      </c>
      <c r="E368" t="s">
        <v>140</v>
      </c>
      <c r="F368" t="s">
        <v>141</v>
      </c>
      <c r="G368" t="s">
        <v>142</v>
      </c>
      <c r="H368" t="s">
        <v>143</v>
      </c>
      <c r="I368">
        <v>3</v>
      </c>
      <c r="J368">
        <v>5</v>
      </c>
      <c r="K368">
        <v>15</v>
      </c>
      <c r="L368" t="s">
        <v>40</v>
      </c>
      <c r="M368" t="s">
        <v>29</v>
      </c>
      <c r="N368" t="s">
        <v>128</v>
      </c>
      <c r="O368">
        <v>3</v>
      </c>
      <c r="P368">
        <v>5</v>
      </c>
      <c r="Q368">
        <v>15</v>
      </c>
      <c r="R368" t="str">
        <f>IF(Table5[[#This Row],[Residual Risk Score]]&gt;Table5[[#This Row],[Initial Risk Score]],"NO Reduction","Reduced")</f>
        <v>Reduced</v>
      </c>
      <c r="S368" t="s">
        <v>40</v>
      </c>
      <c r="T368" t="s">
        <v>43</v>
      </c>
      <c r="U368" t="s">
        <v>96</v>
      </c>
      <c r="V368" s="2">
        <v>46128</v>
      </c>
    </row>
    <row r="369" spans="1:22" x14ac:dyDescent="0.25">
      <c r="A369" t="s">
        <v>503</v>
      </c>
      <c r="B369" s="2">
        <v>46295</v>
      </c>
      <c r="C369" t="s">
        <v>73</v>
      </c>
      <c r="D369" t="s">
        <v>55</v>
      </c>
      <c r="E369" t="s">
        <v>75</v>
      </c>
      <c r="F369" t="s">
        <v>76</v>
      </c>
      <c r="G369" t="s">
        <v>73</v>
      </c>
      <c r="H369" t="s">
        <v>116</v>
      </c>
      <c r="I369">
        <v>5</v>
      </c>
      <c r="J369">
        <v>4</v>
      </c>
      <c r="K369">
        <v>20</v>
      </c>
      <c r="L369" t="s">
        <v>94</v>
      </c>
      <c r="M369" t="s">
        <v>29</v>
      </c>
      <c r="N369" t="s">
        <v>128</v>
      </c>
      <c r="O369">
        <v>5</v>
      </c>
      <c r="P369">
        <v>3</v>
      </c>
      <c r="Q369">
        <v>15</v>
      </c>
      <c r="R369" s="4" t="str">
        <f>IF(Table5[[#This Row],[Residual Risk Score]]&lt;Table5[[#This Row],[Initial Risk Score]],"Reduced","No Reduction")</f>
        <v>Reduced</v>
      </c>
      <c r="S369" t="s">
        <v>40</v>
      </c>
      <c r="T369" t="s">
        <v>43</v>
      </c>
      <c r="U369" t="s">
        <v>71</v>
      </c>
      <c r="V369" s="2">
        <v>46660</v>
      </c>
    </row>
    <row r="370" spans="1:22" x14ac:dyDescent="0.25">
      <c r="A370" t="s">
        <v>504</v>
      </c>
      <c r="B370" s="2">
        <v>45908</v>
      </c>
      <c r="C370" t="s">
        <v>108</v>
      </c>
      <c r="D370" t="s">
        <v>55</v>
      </c>
      <c r="E370" t="s">
        <v>162</v>
      </c>
      <c r="F370" t="s">
        <v>163</v>
      </c>
      <c r="G370" t="s">
        <v>164</v>
      </c>
      <c r="H370" t="s">
        <v>219</v>
      </c>
      <c r="I370">
        <v>4</v>
      </c>
      <c r="J370">
        <v>3</v>
      </c>
      <c r="K370">
        <v>12</v>
      </c>
      <c r="L370" t="s">
        <v>40</v>
      </c>
      <c r="M370" t="s">
        <v>101</v>
      </c>
      <c r="N370" t="s">
        <v>106</v>
      </c>
      <c r="O370">
        <v>3</v>
      </c>
      <c r="P370">
        <v>2</v>
      </c>
      <c r="Q370">
        <v>6</v>
      </c>
      <c r="R370" t="str">
        <f>IF(Table5[[#This Row],[Residual Risk Score]]&gt;Table5[[#This Row],[Initial Risk Score]],"NO Reduction","Reduced")</f>
        <v>Reduced</v>
      </c>
      <c r="S370" t="s">
        <v>28</v>
      </c>
      <c r="T370" t="s">
        <v>32</v>
      </c>
      <c r="U370" t="s">
        <v>33</v>
      </c>
      <c r="V370" s="2">
        <v>46088</v>
      </c>
    </row>
    <row r="371" spans="1:22" x14ac:dyDescent="0.25">
      <c r="A371" t="s">
        <v>505</v>
      </c>
      <c r="B371" s="2">
        <v>45741</v>
      </c>
      <c r="C371" t="s">
        <v>22</v>
      </c>
      <c r="D371" t="s">
        <v>23</v>
      </c>
      <c r="E371" t="s">
        <v>99</v>
      </c>
      <c r="F371" t="s">
        <v>100</v>
      </c>
      <c r="G371" t="s">
        <v>35</v>
      </c>
      <c r="H371" t="s">
        <v>137</v>
      </c>
      <c r="I371">
        <v>3</v>
      </c>
      <c r="J371">
        <v>2</v>
      </c>
      <c r="K371">
        <v>6</v>
      </c>
      <c r="L371" t="s">
        <v>28</v>
      </c>
      <c r="M371" t="s">
        <v>69</v>
      </c>
      <c r="N371" t="s">
        <v>42</v>
      </c>
      <c r="O371">
        <v>2</v>
      </c>
      <c r="P371">
        <v>1</v>
      </c>
      <c r="Q371">
        <v>2</v>
      </c>
      <c r="R371" t="str">
        <f>IF(Table5[[#This Row],[Residual Risk Score]]&gt;Table5[[#This Row],[Initial Risk Score]],"NO Reduction","Reduced")</f>
        <v>Reduced</v>
      </c>
      <c r="S371" t="s">
        <v>31</v>
      </c>
      <c r="T371" t="s">
        <v>32</v>
      </c>
      <c r="U371" t="s">
        <v>96</v>
      </c>
      <c r="V371" s="2">
        <v>45921</v>
      </c>
    </row>
    <row r="372" spans="1:22" x14ac:dyDescent="0.25">
      <c r="A372" t="s">
        <v>506</v>
      </c>
      <c r="B372" s="2">
        <v>46146</v>
      </c>
      <c r="C372" t="s">
        <v>54</v>
      </c>
      <c r="D372" t="s">
        <v>98</v>
      </c>
      <c r="E372" t="s">
        <v>56</v>
      </c>
      <c r="F372" t="s">
        <v>57</v>
      </c>
      <c r="G372" t="s">
        <v>58</v>
      </c>
      <c r="H372" t="s">
        <v>59</v>
      </c>
      <c r="I372">
        <v>5</v>
      </c>
      <c r="J372">
        <v>2</v>
      </c>
      <c r="K372">
        <v>10</v>
      </c>
      <c r="L372" t="s">
        <v>40</v>
      </c>
      <c r="M372" t="s">
        <v>101</v>
      </c>
      <c r="N372" t="s">
        <v>128</v>
      </c>
      <c r="O372">
        <v>5</v>
      </c>
      <c r="P372">
        <v>1</v>
      </c>
      <c r="Q372">
        <v>5</v>
      </c>
      <c r="R372" s="4" t="str">
        <f>IF(Table5[[#This Row],[Residual Risk Score]]&lt;Table5[[#This Row],[Initial Risk Score]],"Reduced","No Reduction")</f>
        <v>Reduced</v>
      </c>
      <c r="S372" t="s">
        <v>28</v>
      </c>
      <c r="T372" t="s">
        <v>32</v>
      </c>
      <c r="U372" t="s">
        <v>96</v>
      </c>
      <c r="V372" s="2">
        <v>46511</v>
      </c>
    </row>
    <row r="373" spans="1:22" x14ac:dyDescent="0.25">
      <c r="A373" t="s">
        <v>507</v>
      </c>
      <c r="B373" s="2">
        <v>45858</v>
      </c>
      <c r="C373" t="s">
        <v>45</v>
      </c>
      <c r="D373" t="s">
        <v>74</v>
      </c>
      <c r="E373" t="s">
        <v>46</v>
      </c>
      <c r="F373" t="s">
        <v>47</v>
      </c>
      <c r="G373" t="s">
        <v>48</v>
      </c>
      <c r="H373" t="s">
        <v>49</v>
      </c>
      <c r="I373">
        <v>3</v>
      </c>
      <c r="J373">
        <v>2</v>
      </c>
      <c r="K373">
        <v>6</v>
      </c>
      <c r="L373" t="s">
        <v>28</v>
      </c>
      <c r="M373" t="s">
        <v>41</v>
      </c>
      <c r="N373" t="s">
        <v>89</v>
      </c>
      <c r="O373">
        <v>2</v>
      </c>
      <c r="P373">
        <v>2</v>
      </c>
      <c r="Q373">
        <v>4</v>
      </c>
      <c r="R373" t="str">
        <f>IF(Table5[[#This Row],[Residual Risk Score]]&gt;Table5[[#This Row],[Initial Risk Score]],"NO Reduction","Reduced")</f>
        <v>Reduced</v>
      </c>
      <c r="S373" t="s">
        <v>31</v>
      </c>
      <c r="T373" t="s">
        <v>32</v>
      </c>
      <c r="U373" t="s">
        <v>62</v>
      </c>
      <c r="V373" s="2">
        <v>46223</v>
      </c>
    </row>
    <row r="374" spans="1:22" x14ac:dyDescent="0.25">
      <c r="A374" t="s">
        <v>508</v>
      </c>
      <c r="B374" s="2">
        <v>46319</v>
      </c>
      <c r="C374" t="s">
        <v>85</v>
      </c>
      <c r="D374" t="s">
        <v>80</v>
      </c>
      <c r="E374" t="s">
        <v>140</v>
      </c>
      <c r="F374" t="s">
        <v>141</v>
      </c>
      <c r="G374" t="s">
        <v>142</v>
      </c>
      <c r="H374" t="s">
        <v>143</v>
      </c>
      <c r="I374">
        <v>4</v>
      </c>
      <c r="J374">
        <v>5</v>
      </c>
      <c r="K374">
        <v>20</v>
      </c>
      <c r="L374" t="s">
        <v>94</v>
      </c>
      <c r="M374" t="s">
        <v>78</v>
      </c>
      <c r="N374" t="s">
        <v>51</v>
      </c>
      <c r="O374">
        <v>2</v>
      </c>
      <c r="P374">
        <v>5</v>
      </c>
      <c r="Q374">
        <v>10</v>
      </c>
      <c r="R374" s="4" t="str">
        <f>IF(Table5[[#This Row],[Residual Risk Score]]&lt;Table5[[#This Row],[Initial Risk Score]],"Reduced","No Reduction")</f>
        <v>Reduced</v>
      </c>
      <c r="S374" t="s">
        <v>40</v>
      </c>
      <c r="T374" t="s">
        <v>43</v>
      </c>
      <c r="U374" t="s">
        <v>71</v>
      </c>
      <c r="V374" s="2">
        <v>46684</v>
      </c>
    </row>
    <row r="375" spans="1:22" x14ac:dyDescent="0.25">
      <c r="A375" t="s">
        <v>509</v>
      </c>
      <c r="B375" s="2">
        <v>45755</v>
      </c>
      <c r="C375" t="s">
        <v>108</v>
      </c>
      <c r="D375" t="s">
        <v>23</v>
      </c>
      <c r="E375" t="s">
        <v>162</v>
      </c>
      <c r="F375" t="s">
        <v>163</v>
      </c>
      <c r="G375" t="s">
        <v>164</v>
      </c>
      <c r="H375" t="s">
        <v>68</v>
      </c>
      <c r="I375">
        <v>2</v>
      </c>
      <c r="J375">
        <v>3</v>
      </c>
      <c r="K375">
        <v>6</v>
      </c>
      <c r="L375" t="s">
        <v>28</v>
      </c>
      <c r="M375" t="s">
        <v>50</v>
      </c>
      <c r="N375" t="s">
        <v>42</v>
      </c>
      <c r="O375">
        <v>1</v>
      </c>
      <c r="P375">
        <v>3</v>
      </c>
      <c r="Q375">
        <v>3</v>
      </c>
      <c r="R375" t="str">
        <f>IF(Table5[[#This Row],[Residual Risk Score]]&gt;Table5[[#This Row],[Initial Risk Score]],"NO Reduction","Reduced")</f>
        <v>Reduced</v>
      </c>
      <c r="S375" t="s">
        <v>31</v>
      </c>
      <c r="T375" t="s">
        <v>43</v>
      </c>
      <c r="U375" t="s">
        <v>52</v>
      </c>
      <c r="V375" s="2">
        <v>46120</v>
      </c>
    </row>
    <row r="376" spans="1:22" x14ac:dyDescent="0.25">
      <c r="A376" t="s">
        <v>510</v>
      </c>
      <c r="B376" s="2">
        <v>45882</v>
      </c>
      <c r="C376" t="s">
        <v>85</v>
      </c>
      <c r="D376" t="s">
        <v>98</v>
      </c>
      <c r="E376" t="s">
        <v>86</v>
      </c>
      <c r="F376" t="s">
        <v>87</v>
      </c>
      <c r="G376" t="s">
        <v>48</v>
      </c>
      <c r="H376" t="s">
        <v>39</v>
      </c>
      <c r="I376">
        <v>3</v>
      </c>
      <c r="J376">
        <v>2</v>
      </c>
      <c r="K376">
        <v>6</v>
      </c>
      <c r="L376" t="s">
        <v>28</v>
      </c>
      <c r="M376" t="s">
        <v>101</v>
      </c>
      <c r="N376" t="s">
        <v>124</v>
      </c>
      <c r="O376">
        <v>2</v>
      </c>
      <c r="P376">
        <v>2</v>
      </c>
      <c r="Q376">
        <v>4</v>
      </c>
      <c r="R376" t="str">
        <f>IF(Table5[[#This Row],[Residual Risk Score]]&gt;Table5[[#This Row],[Initial Risk Score]],"NO Reduction","Reduced")</f>
        <v>Reduced</v>
      </c>
      <c r="S376" t="s">
        <v>31</v>
      </c>
      <c r="T376" t="s">
        <v>32</v>
      </c>
      <c r="U376" t="s">
        <v>96</v>
      </c>
      <c r="V376" s="2">
        <v>46247</v>
      </c>
    </row>
    <row r="377" spans="1:22" x14ac:dyDescent="0.25">
      <c r="A377" t="s">
        <v>511</v>
      </c>
      <c r="B377" s="2">
        <v>46069</v>
      </c>
      <c r="C377" t="s">
        <v>108</v>
      </c>
      <c r="D377" t="s">
        <v>23</v>
      </c>
      <c r="E377" t="s">
        <v>162</v>
      </c>
      <c r="F377" t="s">
        <v>163</v>
      </c>
      <c r="G377" t="s">
        <v>164</v>
      </c>
      <c r="H377" t="s">
        <v>219</v>
      </c>
      <c r="I377">
        <v>3</v>
      </c>
      <c r="J377">
        <v>5</v>
      </c>
      <c r="K377">
        <v>15</v>
      </c>
      <c r="L377" t="s">
        <v>40</v>
      </c>
      <c r="M377" t="s">
        <v>95</v>
      </c>
      <c r="N377" t="s">
        <v>70</v>
      </c>
      <c r="O377">
        <v>2</v>
      </c>
      <c r="P377">
        <v>4</v>
      </c>
      <c r="Q377">
        <v>8</v>
      </c>
      <c r="R377" s="4" t="str">
        <f>IF(Table5[[#This Row],[Residual Risk Score]]&lt;Table5[[#This Row],[Initial Risk Score]],"Reduced","No Reduction")</f>
        <v>Reduced</v>
      </c>
      <c r="S377" t="s">
        <v>28</v>
      </c>
      <c r="T377" t="s">
        <v>32</v>
      </c>
      <c r="U377" t="s">
        <v>52</v>
      </c>
      <c r="V377" s="2">
        <v>46799</v>
      </c>
    </row>
    <row r="378" spans="1:22" x14ac:dyDescent="0.25">
      <c r="A378" t="s">
        <v>512</v>
      </c>
      <c r="B378" s="2">
        <v>46328</v>
      </c>
      <c r="C378" t="s">
        <v>22</v>
      </c>
      <c r="D378" t="s">
        <v>55</v>
      </c>
      <c r="E378" t="s">
        <v>24</v>
      </c>
      <c r="F378" t="s">
        <v>25</v>
      </c>
      <c r="G378" t="s">
        <v>26</v>
      </c>
      <c r="H378" t="s">
        <v>27</v>
      </c>
      <c r="I378">
        <v>2</v>
      </c>
      <c r="J378">
        <v>3</v>
      </c>
      <c r="K378">
        <v>6</v>
      </c>
      <c r="L378" t="s">
        <v>28</v>
      </c>
      <c r="M378" t="s">
        <v>50</v>
      </c>
      <c r="N378" t="s">
        <v>70</v>
      </c>
      <c r="O378">
        <v>1</v>
      </c>
      <c r="P378">
        <v>3</v>
      </c>
      <c r="Q378">
        <v>3</v>
      </c>
      <c r="R378" s="4" t="str">
        <f>IF(Table5[[#This Row],[Residual Risk Score]]&lt;Table5[[#This Row],[Initial Risk Score]],"Reduced","No Reduction")</f>
        <v>Reduced</v>
      </c>
      <c r="S378" t="s">
        <v>31</v>
      </c>
      <c r="T378" t="s">
        <v>32</v>
      </c>
      <c r="U378" t="s">
        <v>96</v>
      </c>
      <c r="V378" s="2">
        <v>46508</v>
      </c>
    </row>
    <row r="379" spans="1:22" x14ac:dyDescent="0.25">
      <c r="A379" t="s">
        <v>513</v>
      </c>
      <c r="B379" s="2">
        <v>46155</v>
      </c>
      <c r="C379" t="s">
        <v>45</v>
      </c>
      <c r="D379" t="s">
        <v>55</v>
      </c>
      <c r="E379" t="s">
        <v>46</v>
      </c>
      <c r="F379" t="s">
        <v>47</v>
      </c>
      <c r="G379" t="s">
        <v>48</v>
      </c>
      <c r="H379" t="s">
        <v>88</v>
      </c>
      <c r="I379">
        <v>2</v>
      </c>
      <c r="J379">
        <v>4</v>
      </c>
      <c r="K379">
        <v>8</v>
      </c>
      <c r="L379" t="s">
        <v>28</v>
      </c>
      <c r="M379" t="s">
        <v>78</v>
      </c>
      <c r="N379" t="s">
        <v>128</v>
      </c>
      <c r="O379">
        <v>1</v>
      </c>
      <c r="P379">
        <v>4</v>
      </c>
      <c r="Q379">
        <v>4</v>
      </c>
      <c r="R379" t="str">
        <f>IF(Table5[[#This Row],[Residual Risk Score]]&gt;Table5[[#This Row],[Initial Risk Score]],"NO Reduction","Reduced")</f>
        <v>Reduced</v>
      </c>
      <c r="S379" t="s">
        <v>31</v>
      </c>
      <c r="T379" t="s">
        <v>61</v>
      </c>
      <c r="U379" t="s">
        <v>52</v>
      </c>
      <c r="V379" s="2">
        <v>46335</v>
      </c>
    </row>
    <row r="380" spans="1:22" x14ac:dyDescent="0.25">
      <c r="A380" t="s">
        <v>514</v>
      </c>
      <c r="B380" s="2">
        <v>46015</v>
      </c>
      <c r="C380" t="s">
        <v>64</v>
      </c>
      <c r="D380" t="s">
        <v>65</v>
      </c>
      <c r="E380" t="s">
        <v>174</v>
      </c>
      <c r="F380" t="s">
        <v>175</v>
      </c>
      <c r="G380" t="s">
        <v>176</v>
      </c>
      <c r="H380" t="s">
        <v>177</v>
      </c>
      <c r="I380">
        <v>3</v>
      </c>
      <c r="J380">
        <v>4</v>
      </c>
      <c r="K380">
        <v>12</v>
      </c>
      <c r="L380" t="s">
        <v>40</v>
      </c>
      <c r="M380" t="s">
        <v>101</v>
      </c>
      <c r="N380" t="s">
        <v>42</v>
      </c>
      <c r="O380">
        <v>2</v>
      </c>
      <c r="P380">
        <v>4</v>
      </c>
      <c r="Q380">
        <v>8</v>
      </c>
      <c r="R380" t="str">
        <f>IF(Table5[[#This Row],[Residual Risk Score]]&gt;Table5[[#This Row],[Initial Risk Score]],"NO Reduction","Reduced")</f>
        <v>Reduced</v>
      </c>
      <c r="S380" t="s">
        <v>28</v>
      </c>
      <c r="T380" t="s">
        <v>61</v>
      </c>
      <c r="U380" t="s">
        <v>33</v>
      </c>
      <c r="V380" s="2">
        <v>46380</v>
      </c>
    </row>
    <row r="381" spans="1:22" x14ac:dyDescent="0.25">
      <c r="A381" t="s">
        <v>515</v>
      </c>
      <c r="B381" s="2">
        <v>45854</v>
      </c>
      <c r="C381" t="s">
        <v>108</v>
      </c>
      <c r="D381" t="s">
        <v>98</v>
      </c>
      <c r="E381" t="s">
        <v>162</v>
      </c>
      <c r="F381" t="s">
        <v>163</v>
      </c>
      <c r="G381" t="s">
        <v>164</v>
      </c>
      <c r="H381" t="s">
        <v>219</v>
      </c>
      <c r="I381">
        <v>4</v>
      </c>
      <c r="J381">
        <v>2</v>
      </c>
      <c r="K381">
        <v>8</v>
      </c>
      <c r="L381" t="s">
        <v>28</v>
      </c>
      <c r="M381" t="s">
        <v>78</v>
      </c>
      <c r="N381" t="s">
        <v>128</v>
      </c>
      <c r="O381">
        <v>4</v>
      </c>
      <c r="P381">
        <v>2</v>
      </c>
      <c r="Q381">
        <v>8</v>
      </c>
      <c r="R381" s="4" t="str">
        <f>IF(Table5[[#This Row],[Residual Risk Score]]&lt;Table5[[#This Row],[Initial Risk Score]],"Reduced","No Reduction")</f>
        <v>No Reduction</v>
      </c>
      <c r="S381" t="s">
        <v>28</v>
      </c>
      <c r="T381" t="s">
        <v>32</v>
      </c>
      <c r="U381" t="s">
        <v>96</v>
      </c>
      <c r="V381" s="2">
        <v>46584</v>
      </c>
    </row>
    <row r="382" spans="1:22" x14ac:dyDescent="0.25">
      <c r="A382" t="s">
        <v>516</v>
      </c>
      <c r="B382" s="2">
        <v>46274</v>
      </c>
      <c r="C382" t="s">
        <v>54</v>
      </c>
      <c r="D382" t="s">
        <v>80</v>
      </c>
      <c r="E382" t="s">
        <v>56</v>
      </c>
      <c r="F382" t="s">
        <v>57</v>
      </c>
      <c r="G382" t="s">
        <v>58</v>
      </c>
      <c r="H382" t="s">
        <v>209</v>
      </c>
      <c r="I382">
        <v>3</v>
      </c>
      <c r="J382">
        <v>5</v>
      </c>
      <c r="K382">
        <v>15</v>
      </c>
      <c r="L382" t="s">
        <v>40</v>
      </c>
      <c r="M382" t="s">
        <v>41</v>
      </c>
      <c r="N382" t="s">
        <v>89</v>
      </c>
      <c r="O382">
        <v>1</v>
      </c>
      <c r="P382">
        <v>4</v>
      </c>
      <c r="Q382">
        <v>4</v>
      </c>
      <c r="R382" s="4" t="str">
        <f>IF(Table5[[#This Row],[Residual Risk Score]]&lt;Table5[[#This Row],[Initial Risk Score]],"Reduced","No Reduction")</f>
        <v>Reduced</v>
      </c>
      <c r="S382" t="s">
        <v>31</v>
      </c>
      <c r="T382" t="s">
        <v>43</v>
      </c>
      <c r="U382" t="s">
        <v>71</v>
      </c>
      <c r="V382" s="2">
        <v>46639</v>
      </c>
    </row>
    <row r="383" spans="1:22" x14ac:dyDescent="0.25">
      <c r="A383" t="s">
        <v>517</v>
      </c>
      <c r="B383" s="2">
        <v>45991</v>
      </c>
      <c r="C383" t="s">
        <v>108</v>
      </c>
      <c r="D383" t="s">
        <v>65</v>
      </c>
      <c r="E383" t="s">
        <v>149</v>
      </c>
      <c r="F383" t="s">
        <v>150</v>
      </c>
      <c r="G383" t="s">
        <v>151</v>
      </c>
      <c r="H383" t="s">
        <v>68</v>
      </c>
      <c r="I383">
        <v>3</v>
      </c>
      <c r="J383">
        <v>5</v>
      </c>
      <c r="K383">
        <v>15</v>
      </c>
      <c r="L383" t="s">
        <v>40</v>
      </c>
      <c r="M383" t="s">
        <v>83</v>
      </c>
      <c r="N383" t="s">
        <v>70</v>
      </c>
      <c r="O383">
        <v>1</v>
      </c>
      <c r="P383">
        <v>5</v>
      </c>
      <c r="Q383">
        <v>5</v>
      </c>
      <c r="R383" s="4" t="str">
        <f>IF(Table5[[#This Row],[Residual Risk Score]]&lt;Table5[[#This Row],[Initial Risk Score]],"Reduced","No Reduction")</f>
        <v>Reduced</v>
      </c>
      <c r="S383" t="s">
        <v>28</v>
      </c>
      <c r="T383" t="s">
        <v>61</v>
      </c>
      <c r="U383" t="s">
        <v>33</v>
      </c>
      <c r="V383" s="2">
        <v>46721</v>
      </c>
    </row>
    <row r="384" spans="1:22" x14ac:dyDescent="0.25">
      <c r="A384" t="s">
        <v>518</v>
      </c>
      <c r="B384" s="2">
        <v>46253</v>
      </c>
      <c r="C384" t="s">
        <v>22</v>
      </c>
      <c r="D384" t="s">
        <v>23</v>
      </c>
      <c r="E384" t="s">
        <v>24</v>
      </c>
      <c r="F384" t="s">
        <v>25</v>
      </c>
      <c r="G384" t="s">
        <v>26</v>
      </c>
      <c r="H384" t="s">
        <v>27</v>
      </c>
      <c r="I384">
        <v>4</v>
      </c>
      <c r="J384">
        <v>5</v>
      </c>
      <c r="K384">
        <v>20</v>
      </c>
      <c r="L384" t="s">
        <v>94</v>
      </c>
      <c r="M384" t="s">
        <v>29</v>
      </c>
      <c r="N384" t="s">
        <v>102</v>
      </c>
      <c r="O384">
        <v>3</v>
      </c>
      <c r="P384">
        <v>4</v>
      </c>
      <c r="Q384">
        <v>12</v>
      </c>
      <c r="R384" s="4" t="str">
        <f>IF(Table5[[#This Row],[Residual Risk Score]]&lt;Table5[[#This Row],[Initial Risk Score]],"Reduced","No Reduction")</f>
        <v>Reduced</v>
      </c>
      <c r="S384" t="s">
        <v>40</v>
      </c>
      <c r="T384" t="s">
        <v>43</v>
      </c>
      <c r="U384" t="s">
        <v>96</v>
      </c>
      <c r="V384" s="2">
        <v>46618</v>
      </c>
    </row>
    <row r="385" spans="1:22" x14ac:dyDescent="0.25">
      <c r="A385" t="s">
        <v>519</v>
      </c>
      <c r="B385" s="2">
        <v>45869</v>
      </c>
      <c r="C385" t="s">
        <v>73</v>
      </c>
      <c r="D385" t="s">
        <v>80</v>
      </c>
      <c r="E385" t="s">
        <v>104</v>
      </c>
      <c r="F385" t="s">
        <v>105</v>
      </c>
      <c r="G385" t="s">
        <v>73</v>
      </c>
      <c r="H385" t="s">
        <v>77</v>
      </c>
      <c r="I385">
        <v>3</v>
      </c>
      <c r="J385">
        <v>4</v>
      </c>
      <c r="K385">
        <v>12</v>
      </c>
      <c r="L385" t="s">
        <v>40</v>
      </c>
      <c r="M385" t="s">
        <v>50</v>
      </c>
      <c r="N385" t="s">
        <v>102</v>
      </c>
      <c r="O385">
        <v>2</v>
      </c>
      <c r="P385">
        <v>4</v>
      </c>
      <c r="Q385">
        <v>8</v>
      </c>
      <c r="R385" t="str">
        <f>IF(Table5[[#This Row],[Residual Risk Score]]&gt;Table5[[#This Row],[Initial Risk Score]],"NO Reduction","Reduced")</f>
        <v>Reduced</v>
      </c>
      <c r="S385" t="s">
        <v>28</v>
      </c>
      <c r="T385" t="s">
        <v>43</v>
      </c>
      <c r="U385" t="s">
        <v>71</v>
      </c>
      <c r="V385" s="2">
        <v>46234</v>
      </c>
    </row>
    <row r="386" spans="1:22" x14ac:dyDescent="0.25">
      <c r="A386" t="s">
        <v>520</v>
      </c>
      <c r="B386" s="2">
        <v>45911</v>
      </c>
      <c r="C386" t="s">
        <v>73</v>
      </c>
      <c r="D386" t="s">
        <v>98</v>
      </c>
      <c r="E386" t="s">
        <v>104</v>
      </c>
      <c r="F386" t="s">
        <v>105</v>
      </c>
      <c r="G386" t="s">
        <v>73</v>
      </c>
      <c r="H386" t="s">
        <v>68</v>
      </c>
      <c r="I386">
        <v>5</v>
      </c>
      <c r="J386">
        <v>2</v>
      </c>
      <c r="K386">
        <v>10</v>
      </c>
      <c r="L386" t="s">
        <v>40</v>
      </c>
      <c r="M386" t="s">
        <v>41</v>
      </c>
      <c r="N386" t="s">
        <v>51</v>
      </c>
      <c r="O386">
        <v>5</v>
      </c>
      <c r="P386">
        <v>1</v>
      </c>
      <c r="Q386">
        <v>5</v>
      </c>
      <c r="R386" t="str">
        <f>IF(Table5[[#This Row],[Residual Risk Score]]&gt;Table5[[#This Row],[Initial Risk Score]],"NO Reduction","Reduced")</f>
        <v>Reduced</v>
      </c>
      <c r="S386" t="s">
        <v>28</v>
      </c>
      <c r="T386" t="s">
        <v>32</v>
      </c>
      <c r="U386" t="s">
        <v>62</v>
      </c>
      <c r="V386" s="2">
        <v>46276</v>
      </c>
    </row>
    <row r="387" spans="1:22" x14ac:dyDescent="0.25">
      <c r="A387" t="s">
        <v>521</v>
      </c>
      <c r="B387" s="2">
        <v>45938</v>
      </c>
      <c r="C387" t="s">
        <v>85</v>
      </c>
      <c r="D387" t="s">
        <v>98</v>
      </c>
      <c r="E387" t="s">
        <v>140</v>
      </c>
      <c r="F387" t="s">
        <v>141</v>
      </c>
      <c r="G387" t="s">
        <v>142</v>
      </c>
      <c r="H387" t="s">
        <v>143</v>
      </c>
      <c r="I387">
        <v>2</v>
      </c>
      <c r="J387">
        <v>2</v>
      </c>
      <c r="K387">
        <v>4</v>
      </c>
      <c r="L387" t="s">
        <v>31</v>
      </c>
      <c r="M387" t="s">
        <v>69</v>
      </c>
      <c r="N387" t="s">
        <v>30</v>
      </c>
      <c r="O387">
        <v>2</v>
      </c>
      <c r="P387">
        <v>2</v>
      </c>
      <c r="Q387">
        <v>4</v>
      </c>
      <c r="R387" t="str">
        <f>IF(Table5[[#This Row],[Residual Risk Score]]&gt;Table5[[#This Row],[Initial Risk Score]],"NO Reduction","Reduced")</f>
        <v>Reduced</v>
      </c>
      <c r="S387" t="s">
        <v>31</v>
      </c>
      <c r="T387" t="s">
        <v>61</v>
      </c>
      <c r="U387" t="s">
        <v>71</v>
      </c>
      <c r="V387" s="2">
        <v>46303</v>
      </c>
    </row>
    <row r="388" spans="1:22" x14ac:dyDescent="0.25">
      <c r="A388" t="s">
        <v>522</v>
      </c>
      <c r="B388" s="2">
        <v>45773</v>
      </c>
      <c r="C388" t="s">
        <v>54</v>
      </c>
      <c r="D388" t="s">
        <v>98</v>
      </c>
      <c r="E388" t="s">
        <v>56</v>
      </c>
      <c r="F388" t="s">
        <v>57</v>
      </c>
      <c r="G388" t="s">
        <v>58</v>
      </c>
      <c r="H388" t="s">
        <v>59</v>
      </c>
      <c r="I388">
        <v>5</v>
      </c>
      <c r="J388">
        <v>5</v>
      </c>
      <c r="K388">
        <v>25</v>
      </c>
      <c r="L388" t="s">
        <v>94</v>
      </c>
      <c r="M388" t="s">
        <v>101</v>
      </c>
      <c r="N388" t="s">
        <v>128</v>
      </c>
      <c r="O388">
        <v>4</v>
      </c>
      <c r="P388">
        <v>5</v>
      </c>
      <c r="Q388">
        <v>20</v>
      </c>
      <c r="R388" t="str">
        <f>IF(Table5[[#This Row],[Residual Risk Score]]&gt;Table5[[#This Row],[Initial Risk Score]],"NO Reduction","Reduced")</f>
        <v>Reduced</v>
      </c>
      <c r="S388" t="s">
        <v>94</v>
      </c>
      <c r="T388" t="s">
        <v>61</v>
      </c>
      <c r="U388" t="s">
        <v>33</v>
      </c>
      <c r="V388" s="2">
        <v>46138</v>
      </c>
    </row>
    <row r="389" spans="1:22" x14ac:dyDescent="0.25">
      <c r="A389" t="s">
        <v>523</v>
      </c>
      <c r="B389" s="2">
        <v>45754</v>
      </c>
      <c r="C389" t="s">
        <v>22</v>
      </c>
      <c r="D389" t="s">
        <v>23</v>
      </c>
      <c r="E389" t="s">
        <v>135</v>
      </c>
      <c r="F389" t="s">
        <v>136</v>
      </c>
      <c r="G389" t="s">
        <v>35</v>
      </c>
      <c r="H389" t="s">
        <v>68</v>
      </c>
      <c r="I389">
        <v>5</v>
      </c>
      <c r="J389">
        <v>5</v>
      </c>
      <c r="K389">
        <v>25</v>
      </c>
      <c r="L389" t="s">
        <v>94</v>
      </c>
      <c r="M389" t="s">
        <v>78</v>
      </c>
      <c r="N389" t="s">
        <v>106</v>
      </c>
      <c r="O389">
        <v>4</v>
      </c>
      <c r="P389">
        <v>4</v>
      </c>
      <c r="Q389">
        <v>16</v>
      </c>
      <c r="R389" s="4" t="str">
        <f>IF(Table5[[#This Row],[Residual Risk Score]]&lt;Table5[[#This Row],[Initial Risk Score]],"Reduced","No Reduction")</f>
        <v>Reduced</v>
      </c>
      <c r="S389" t="s">
        <v>40</v>
      </c>
      <c r="T389" t="s">
        <v>43</v>
      </c>
      <c r="U389" t="s">
        <v>52</v>
      </c>
      <c r="V389" s="2">
        <v>46484</v>
      </c>
    </row>
    <row r="390" spans="1:22" x14ac:dyDescent="0.25">
      <c r="A390" t="s">
        <v>524</v>
      </c>
      <c r="B390" s="2">
        <v>46202</v>
      </c>
      <c r="C390" t="s">
        <v>85</v>
      </c>
      <c r="D390" t="s">
        <v>108</v>
      </c>
      <c r="E390" t="s">
        <v>86</v>
      </c>
      <c r="F390" t="s">
        <v>87</v>
      </c>
      <c r="G390" t="s">
        <v>48</v>
      </c>
      <c r="H390" t="s">
        <v>49</v>
      </c>
      <c r="I390">
        <v>4</v>
      </c>
      <c r="J390">
        <v>4</v>
      </c>
      <c r="K390">
        <v>16</v>
      </c>
      <c r="L390" t="s">
        <v>40</v>
      </c>
      <c r="M390" t="s">
        <v>50</v>
      </c>
      <c r="N390" t="s">
        <v>124</v>
      </c>
      <c r="O390">
        <v>3</v>
      </c>
      <c r="P390">
        <v>3</v>
      </c>
      <c r="Q390">
        <v>9</v>
      </c>
      <c r="R390" s="4" t="str">
        <f>IF(Table5[[#This Row],[Residual Risk Score]]&lt;Table5[[#This Row],[Initial Risk Score]],"Reduced","No Reduction")</f>
        <v>Reduced</v>
      </c>
      <c r="S390" t="s">
        <v>28</v>
      </c>
      <c r="T390" t="s">
        <v>43</v>
      </c>
      <c r="U390" t="s">
        <v>52</v>
      </c>
      <c r="V390" s="2">
        <v>46932</v>
      </c>
    </row>
    <row r="391" spans="1:22" x14ac:dyDescent="0.25">
      <c r="A391" t="s">
        <v>525</v>
      </c>
      <c r="B391" s="2">
        <v>45659</v>
      </c>
      <c r="C391" t="s">
        <v>22</v>
      </c>
      <c r="D391" t="s">
        <v>23</v>
      </c>
      <c r="E391" t="s">
        <v>135</v>
      </c>
      <c r="F391" t="s">
        <v>136</v>
      </c>
      <c r="G391" t="s">
        <v>35</v>
      </c>
      <c r="H391" t="s">
        <v>68</v>
      </c>
      <c r="I391">
        <v>5</v>
      </c>
      <c r="J391">
        <v>5</v>
      </c>
      <c r="K391">
        <v>25</v>
      </c>
      <c r="L391" t="s">
        <v>94</v>
      </c>
      <c r="M391" t="s">
        <v>95</v>
      </c>
      <c r="N391" t="s">
        <v>42</v>
      </c>
      <c r="O391">
        <v>4</v>
      </c>
      <c r="P391">
        <v>5</v>
      </c>
      <c r="Q391">
        <v>20</v>
      </c>
      <c r="R391" s="4" t="str">
        <f>IF(Table5[[#This Row],[Residual Risk Score]]&lt;Table5[[#This Row],[Initial Risk Score]],"Reduced","No Reduction")</f>
        <v>Reduced</v>
      </c>
      <c r="S391" t="s">
        <v>94</v>
      </c>
      <c r="T391" t="s">
        <v>61</v>
      </c>
      <c r="U391" t="s">
        <v>52</v>
      </c>
      <c r="V391" s="2">
        <v>46389</v>
      </c>
    </row>
    <row r="392" spans="1:22" x14ac:dyDescent="0.25">
      <c r="A392" t="s">
        <v>526</v>
      </c>
      <c r="B392" s="2">
        <v>45992</v>
      </c>
      <c r="C392" t="s">
        <v>85</v>
      </c>
      <c r="D392" t="s">
        <v>108</v>
      </c>
      <c r="E392" t="s">
        <v>230</v>
      </c>
      <c r="F392" t="s">
        <v>231</v>
      </c>
      <c r="G392" t="s">
        <v>232</v>
      </c>
      <c r="H392" t="s">
        <v>116</v>
      </c>
      <c r="I392">
        <v>4</v>
      </c>
      <c r="J392">
        <v>5</v>
      </c>
      <c r="K392">
        <v>20</v>
      </c>
      <c r="L392" t="s">
        <v>94</v>
      </c>
      <c r="M392" t="s">
        <v>78</v>
      </c>
      <c r="N392" t="s">
        <v>128</v>
      </c>
      <c r="O392">
        <v>3</v>
      </c>
      <c r="P392">
        <v>5</v>
      </c>
      <c r="Q392">
        <v>15</v>
      </c>
      <c r="R392" t="str">
        <f>IF(Table5[[#This Row],[Residual Risk Score]]&gt;Table5[[#This Row],[Initial Risk Score]],"NO Reduction","Reduced")</f>
        <v>Reduced</v>
      </c>
      <c r="S392" t="s">
        <v>40</v>
      </c>
      <c r="T392" t="s">
        <v>32</v>
      </c>
      <c r="U392" t="s">
        <v>62</v>
      </c>
      <c r="V392" s="2">
        <v>46357</v>
      </c>
    </row>
    <row r="393" spans="1:22" x14ac:dyDescent="0.25">
      <c r="A393" t="s">
        <v>527</v>
      </c>
      <c r="B393" s="2">
        <v>45787</v>
      </c>
      <c r="C393" t="s">
        <v>22</v>
      </c>
      <c r="D393" t="s">
        <v>65</v>
      </c>
      <c r="E393" t="s">
        <v>135</v>
      </c>
      <c r="F393" t="s">
        <v>136</v>
      </c>
      <c r="G393" t="s">
        <v>35</v>
      </c>
      <c r="H393" t="s">
        <v>93</v>
      </c>
      <c r="I393">
        <v>4</v>
      </c>
      <c r="J393">
        <v>5</v>
      </c>
      <c r="K393">
        <v>20</v>
      </c>
      <c r="L393" t="s">
        <v>94</v>
      </c>
      <c r="M393" t="s">
        <v>29</v>
      </c>
      <c r="N393" t="s">
        <v>128</v>
      </c>
      <c r="O393">
        <v>2</v>
      </c>
      <c r="P393">
        <v>5</v>
      </c>
      <c r="Q393">
        <v>10</v>
      </c>
      <c r="R393" t="str">
        <f>IF(Table5[[#This Row],[Residual Risk Score]]&gt;Table5[[#This Row],[Initial Risk Score]],"NO Reduction","Reduced")</f>
        <v>Reduced</v>
      </c>
      <c r="S393" t="s">
        <v>40</v>
      </c>
      <c r="T393" t="s">
        <v>61</v>
      </c>
      <c r="U393" t="s">
        <v>33</v>
      </c>
      <c r="V393" s="2">
        <v>45967</v>
      </c>
    </row>
    <row r="394" spans="1:22" x14ac:dyDescent="0.25">
      <c r="A394" t="s">
        <v>528</v>
      </c>
      <c r="B394" s="2">
        <v>45918</v>
      </c>
      <c r="C394" t="s">
        <v>85</v>
      </c>
      <c r="D394" t="s">
        <v>80</v>
      </c>
      <c r="E394" t="s">
        <v>230</v>
      </c>
      <c r="F394" t="s">
        <v>231</v>
      </c>
      <c r="G394" t="s">
        <v>232</v>
      </c>
      <c r="H394" t="s">
        <v>233</v>
      </c>
      <c r="I394">
        <v>5</v>
      </c>
      <c r="J394">
        <v>5</v>
      </c>
      <c r="K394">
        <v>25</v>
      </c>
      <c r="L394" t="s">
        <v>94</v>
      </c>
      <c r="M394" t="s">
        <v>69</v>
      </c>
      <c r="N394" t="s">
        <v>106</v>
      </c>
      <c r="O394">
        <v>4</v>
      </c>
      <c r="P394">
        <v>5</v>
      </c>
      <c r="Q394">
        <v>20</v>
      </c>
      <c r="R394" s="4" t="str">
        <f>IF(Table5[[#This Row],[Residual Risk Score]]&lt;Table5[[#This Row],[Initial Risk Score]],"Reduced","No Reduction")</f>
        <v>Reduced</v>
      </c>
      <c r="S394" t="s">
        <v>94</v>
      </c>
      <c r="T394" t="s">
        <v>61</v>
      </c>
      <c r="U394" t="s">
        <v>71</v>
      </c>
      <c r="V394" s="2">
        <v>46648</v>
      </c>
    </row>
    <row r="395" spans="1:22" x14ac:dyDescent="0.25">
      <c r="A395" t="s">
        <v>529</v>
      </c>
      <c r="B395" s="2">
        <v>46275</v>
      </c>
      <c r="C395" t="s">
        <v>85</v>
      </c>
      <c r="D395" t="s">
        <v>98</v>
      </c>
      <c r="E395" t="s">
        <v>230</v>
      </c>
      <c r="F395" t="s">
        <v>231</v>
      </c>
      <c r="G395" t="s">
        <v>232</v>
      </c>
      <c r="H395" t="s">
        <v>68</v>
      </c>
      <c r="I395">
        <v>4</v>
      </c>
      <c r="J395">
        <v>5</v>
      </c>
      <c r="K395">
        <v>20</v>
      </c>
      <c r="L395" t="s">
        <v>94</v>
      </c>
      <c r="M395" t="s">
        <v>101</v>
      </c>
      <c r="N395" t="s">
        <v>102</v>
      </c>
      <c r="O395">
        <v>3</v>
      </c>
      <c r="P395">
        <v>5</v>
      </c>
      <c r="Q395">
        <v>15</v>
      </c>
      <c r="R395" s="4" t="str">
        <f>IF(Table5[[#This Row],[Residual Risk Score]]&lt;Table5[[#This Row],[Initial Risk Score]],"Reduced","No Reduction")</f>
        <v>Reduced</v>
      </c>
      <c r="S395" t="s">
        <v>40</v>
      </c>
      <c r="T395" t="s">
        <v>61</v>
      </c>
      <c r="U395" t="s">
        <v>71</v>
      </c>
      <c r="V395" s="2">
        <v>46640</v>
      </c>
    </row>
    <row r="396" spans="1:22" x14ac:dyDescent="0.25">
      <c r="A396" t="s">
        <v>530</v>
      </c>
      <c r="B396" s="2">
        <v>45902</v>
      </c>
      <c r="C396" t="s">
        <v>85</v>
      </c>
      <c r="D396" t="s">
        <v>55</v>
      </c>
      <c r="E396" t="s">
        <v>86</v>
      </c>
      <c r="F396" t="s">
        <v>87</v>
      </c>
      <c r="G396" t="s">
        <v>48</v>
      </c>
      <c r="H396" t="s">
        <v>39</v>
      </c>
      <c r="I396">
        <v>2</v>
      </c>
      <c r="J396">
        <v>4</v>
      </c>
      <c r="K396">
        <v>8</v>
      </c>
      <c r="L396" t="s">
        <v>28</v>
      </c>
      <c r="M396" t="s">
        <v>41</v>
      </c>
      <c r="N396" t="s">
        <v>102</v>
      </c>
      <c r="O396">
        <v>1</v>
      </c>
      <c r="P396">
        <v>3</v>
      </c>
      <c r="Q396">
        <v>3</v>
      </c>
      <c r="R396" t="str">
        <f>IF(Table5[[#This Row],[Residual Risk Score]]&gt;Table5[[#This Row],[Initial Risk Score]],"NO Reduction","Reduced")</f>
        <v>Reduced</v>
      </c>
      <c r="S396" t="s">
        <v>31</v>
      </c>
      <c r="T396" t="s">
        <v>61</v>
      </c>
      <c r="U396" t="s">
        <v>62</v>
      </c>
      <c r="V396" s="2">
        <v>46082</v>
      </c>
    </row>
    <row r="397" spans="1:22" x14ac:dyDescent="0.25">
      <c r="A397" t="s">
        <v>531</v>
      </c>
      <c r="B397" s="2">
        <v>45863</v>
      </c>
      <c r="C397" t="s">
        <v>108</v>
      </c>
      <c r="D397" t="s">
        <v>23</v>
      </c>
      <c r="E397" t="s">
        <v>162</v>
      </c>
      <c r="F397" t="s">
        <v>163</v>
      </c>
      <c r="G397" t="s">
        <v>164</v>
      </c>
      <c r="H397" t="s">
        <v>68</v>
      </c>
      <c r="I397">
        <v>3</v>
      </c>
      <c r="J397">
        <v>2</v>
      </c>
      <c r="K397">
        <v>6</v>
      </c>
      <c r="L397" t="s">
        <v>28</v>
      </c>
      <c r="M397" t="s">
        <v>50</v>
      </c>
      <c r="N397" t="s">
        <v>89</v>
      </c>
      <c r="O397">
        <v>2</v>
      </c>
      <c r="P397">
        <v>1</v>
      </c>
      <c r="Q397">
        <v>2</v>
      </c>
      <c r="R397" t="str">
        <f>IF(Table5[[#This Row],[Residual Risk Score]]&gt;Table5[[#This Row],[Initial Risk Score]],"NO Reduction","Reduced")</f>
        <v>Reduced</v>
      </c>
      <c r="S397" t="s">
        <v>31</v>
      </c>
      <c r="T397" t="s">
        <v>32</v>
      </c>
      <c r="U397" t="s">
        <v>62</v>
      </c>
      <c r="V397" s="2">
        <v>46228</v>
      </c>
    </row>
    <row r="398" spans="1:22" x14ac:dyDescent="0.25">
      <c r="A398" t="s">
        <v>532</v>
      </c>
      <c r="B398" s="2">
        <v>46246</v>
      </c>
      <c r="C398" t="s">
        <v>108</v>
      </c>
      <c r="D398" t="s">
        <v>23</v>
      </c>
      <c r="E398" t="s">
        <v>149</v>
      </c>
      <c r="F398" t="s">
        <v>150</v>
      </c>
      <c r="G398" t="s">
        <v>151</v>
      </c>
      <c r="H398" t="s">
        <v>68</v>
      </c>
      <c r="I398">
        <v>5</v>
      </c>
      <c r="J398">
        <v>5</v>
      </c>
      <c r="K398">
        <v>25</v>
      </c>
      <c r="L398" t="s">
        <v>94</v>
      </c>
      <c r="M398" t="s">
        <v>50</v>
      </c>
      <c r="N398" t="s">
        <v>30</v>
      </c>
      <c r="O398">
        <v>4</v>
      </c>
      <c r="P398">
        <v>5</v>
      </c>
      <c r="Q398">
        <v>20</v>
      </c>
      <c r="R398" s="4" t="str">
        <f>IF(Table5[[#This Row],[Residual Risk Score]]&lt;Table5[[#This Row],[Initial Risk Score]],"Reduced","No Reduction")</f>
        <v>Reduced</v>
      </c>
      <c r="S398" t="s">
        <v>94</v>
      </c>
      <c r="T398" t="s">
        <v>61</v>
      </c>
      <c r="U398" t="s">
        <v>62</v>
      </c>
      <c r="V398" s="2">
        <v>46611</v>
      </c>
    </row>
    <row r="399" spans="1:22" x14ac:dyDescent="0.25">
      <c r="A399" t="s">
        <v>533</v>
      </c>
      <c r="B399" s="2">
        <v>46152</v>
      </c>
      <c r="C399" t="s">
        <v>22</v>
      </c>
      <c r="D399" t="s">
        <v>74</v>
      </c>
      <c r="E399" t="s">
        <v>109</v>
      </c>
      <c r="F399" t="s">
        <v>110</v>
      </c>
      <c r="G399" t="s">
        <v>111</v>
      </c>
      <c r="H399" t="s">
        <v>197</v>
      </c>
      <c r="I399">
        <v>3</v>
      </c>
      <c r="J399">
        <v>4</v>
      </c>
      <c r="K399">
        <v>12</v>
      </c>
      <c r="L399" t="s">
        <v>40</v>
      </c>
      <c r="M399" t="s">
        <v>29</v>
      </c>
      <c r="N399" t="s">
        <v>128</v>
      </c>
      <c r="O399">
        <v>3</v>
      </c>
      <c r="P399">
        <v>3</v>
      </c>
      <c r="Q399">
        <v>9</v>
      </c>
      <c r="R399" s="4" t="str">
        <f>IF(Table5[[#This Row],[Residual Risk Score]]&lt;Table5[[#This Row],[Initial Risk Score]],"Reduced","No Reduction")</f>
        <v>Reduced</v>
      </c>
      <c r="S399" t="s">
        <v>28</v>
      </c>
      <c r="T399" t="s">
        <v>32</v>
      </c>
      <c r="U399" t="s">
        <v>33</v>
      </c>
      <c r="V399" s="2">
        <v>46517</v>
      </c>
    </row>
    <row r="400" spans="1:22" x14ac:dyDescent="0.25">
      <c r="A400" t="s">
        <v>534</v>
      </c>
      <c r="B400" s="2">
        <v>45678</v>
      </c>
      <c r="C400" t="s">
        <v>73</v>
      </c>
      <c r="D400" t="s">
        <v>65</v>
      </c>
      <c r="E400" t="s">
        <v>104</v>
      </c>
      <c r="F400" t="s">
        <v>105</v>
      </c>
      <c r="G400" t="s">
        <v>73</v>
      </c>
      <c r="H400" t="s">
        <v>116</v>
      </c>
      <c r="I400">
        <v>4</v>
      </c>
      <c r="J400">
        <v>2</v>
      </c>
      <c r="K400">
        <v>8</v>
      </c>
      <c r="L400" t="s">
        <v>28</v>
      </c>
      <c r="M400" t="s">
        <v>95</v>
      </c>
      <c r="N400" t="s">
        <v>42</v>
      </c>
      <c r="O400">
        <v>3</v>
      </c>
      <c r="P400">
        <v>1</v>
      </c>
      <c r="Q400">
        <v>3</v>
      </c>
      <c r="R400" s="4" t="str">
        <f>IF(Table5[[#This Row],[Residual Risk Score]]&lt;Table5[[#This Row],[Initial Risk Score]],"Reduced","No Reduction")</f>
        <v>Reduced</v>
      </c>
      <c r="S400" t="s">
        <v>31</v>
      </c>
      <c r="T400" t="s">
        <v>43</v>
      </c>
      <c r="U400" t="s">
        <v>33</v>
      </c>
      <c r="V400" s="2">
        <v>46408</v>
      </c>
    </row>
    <row r="401" spans="1:22" x14ac:dyDescent="0.25">
      <c r="A401" t="s">
        <v>535</v>
      </c>
      <c r="B401" s="2">
        <v>45793</v>
      </c>
      <c r="C401" t="s">
        <v>85</v>
      </c>
      <c r="D401" t="s">
        <v>65</v>
      </c>
      <c r="E401" t="s">
        <v>230</v>
      </c>
      <c r="F401" t="s">
        <v>231</v>
      </c>
      <c r="G401" t="s">
        <v>232</v>
      </c>
      <c r="H401" t="s">
        <v>68</v>
      </c>
      <c r="I401">
        <v>2</v>
      </c>
      <c r="J401">
        <v>3</v>
      </c>
      <c r="K401">
        <v>6</v>
      </c>
      <c r="L401" t="s">
        <v>28</v>
      </c>
      <c r="M401" t="s">
        <v>83</v>
      </c>
      <c r="N401" t="s">
        <v>128</v>
      </c>
      <c r="O401">
        <v>2</v>
      </c>
      <c r="P401">
        <v>2</v>
      </c>
      <c r="Q401">
        <v>4</v>
      </c>
      <c r="R401" t="str">
        <f>IF(Table5[[#This Row],[Residual Risk Score]]&gt;Table5[[#This Row],[Initial Risk Score]],"NO Reduction","Reduced")</f>
        <v>Reduced</v>
      </c>
      <c r="S401" t="s">
        <v>31</v>
      </c>
      <c r="T401" t="s">
        <v>32</v>
      </c>
      <c r="U401" t="s">
        <v>62</v>
      </c>
      <c r="V401" s="2">
        <v>46158</v>
      </c>
    </row>
    <row r="402" spans="1:22" x14ac:dyDescent="0.25">
      <c r="A402" t="s">
        <v>536</v>
      </c>
      <c r="B402" s="2">
        <v>46045</v>
      </c>
      <c r="C402" t="s">
        <v>35</v>
      </c>
      <c r="D402" t="s">
        <v>80</v>
      </c>
      <c r="E402" t="s">
        <v>120</v>
      </c>
      <c r="F402" t="s">
        <v>121</v>
      </c>
      <c r="G402" t="s">
        <v>35</v>
      </c>
      <c r="H402" t="s">
        <v>68</v>
      </c>
      <c r="I402">
        <v>4</v>
      </c>
      <c r="J402">
        <v>2</v>
      </c>
      <c r="K402">
        <v>8</v>
      </c>
      <c r="L402" t="s">
        <v>28</v>
      </c>
      <c r="M402" t="s">
        <v>29</v>
      </c>
      <c r="N402" t="s">
        <v>124</v>
      </c>
      <c r="O402">
        <v>3</v>
      </c>
      <c r="P402">
        <v>2</v>
      </c>
      <c r="Q402">
        <v>6</v>
      </c>
      <c r="R402" s="4" t="str">
        <f>IF(Table5[[#This Row],[Residual Risk Score]]&lt;Table5[[#This Row],[Initial Risk Score]],"Reduced","No Reduction")</f>
        <v>Reduced</v>
      </c>
      <c r="S402" t="s">
        <v>28</v>
      </c>
      <c r="T402" t="s">
        <v>61</v>
      </c>
      <c r="U402" t="s">
        <v>52</v>
      </c>
      <c r="V402" s="2">
        <v>46410</v>
      </c>
    </row>
    <row r="403" spans="1:22" x14ac:dyDescent="0.25">
      <c r="A403" t="s">
        <v>537</v>
      </c>
      <c r="B403" s="2">
        <v>46042</v>
      </c>
      <c r="C403" t="s">
        <v>22</v>
      </c>
      <c r="D403" t="s">
        <v>108</v>
      </c>
      <c r="E403" t="s">
        <v>109</v>
      </c>
      <c r="F403" t="s">
        <v>110</v>
      </c>
      <c r="G403" t="s">
        <v>111</v>
      </c>
      <c r="H403" t="s">
        <v>68</v>
      </c>
      <c r="I403">
        <v>3</v>
      </c>
      <c r="J403">
        <v>5</v>
      </c>
      <c r="K403">
        <v>15</v>
      </c>
      <c r="L403" t="s">
        <v>40</v>
      </c>
      <c r="M403" t="s">
        <v>95</v>
      </c>
      <c r="N403" t="s">
        <v>128</v>
      </c>
      <c r="O403">
        <v>2</v>
      </c>
      <c r="P403">
        <v>4</v>
      </c>
      <c r="Q403">
        <v>8</v>
      </c>
      <c r="R403" s="4" t="str">
        <f>IF(Table5[[#This Row],[Residual Risk Score]]&lt;Table5[[#This Row],[Initial Risk Score]],"Reduced","No Reduction")</f>
        <v>Reduced</v>
      </c>
      <c r="S403" t="s">
        <v>28</v>
      </c>
      <c r="T403" t="s">
        <v>43</v>
      </c>
      <c r="U403" t="s">
        <v>71</v>
      </c>
      <c r="V403" s="2">
        <v>46407</v>
      </c>
    </row>
    <row r="404" spans="1:22" x14ac:dyDescent="0.25">
      <c r="A404" t="s">
        <v>538</v>
      </c>
      <c r="B404" s="2">
        <v>45706</v>
      </c>
      <c r="C404" t="s">
        <v>22</v>
      </c>
      <c r="D404" t="s">
        <v>23</v>
      </c>
      <c r="E404" t="s">
        <v>109</v>
      </c>
      <c r="F404" t="s">
        <v>110</v>
      </c>
      <c r="G404" t="s">
        <v>111</v>
      </c>
      <c r="H404" t="s">
        <v>143</v>
      </c>
      <c r="I404">
        <v>4</v>
      </c>
      <c r="J404">
        <v>2</v>
      </c>
      <c r="K404">
        <v>8</v>
      </c>
      <c r="L404" t="s">
        <v>28</v>
      </c>
      <c r="M404" t="s">
        <v>83</v>
      </c>
      <c r="N404" t="s">
        <v>42</v>
      </c>
      <c r="O404">
        <v>2</v>
      </c>
      <c r="P404">
        <v>2</v>
      </c>
      <c r="Q404">
        <v>4</v>
      </c>
      <c r="R404" t="str">
        <f>IF(Table5[[#This Row],[Residual Risk Score]]&gt;Table5[[#This Row],[Initial Risk Score]],"NO Reduction","Reduced")</f>
        <v>Reduced</v>
      </c>
      <c r="S404" t="s">
        <v>31</v>
      </c>
      <c r="T404" t="s">
        <v>43</v>
      </c>
      <c r="U404" t="s">
        <v>52</v>
      </c>
      <c r="V404" s="2">
        <v>45886</v>
      </c>
    </row>
    <row r="405" spans="1:22" x14ac:dyDescent="0.25">
      <c r="A405" t="s">
        <v>539</v>
      </c>
      <c r="B405" s="2">
        <v>45692</v>
      </c>
      <c r="C405" t="s">
        <v>73</v>
      </c>
      <c r="D405" t="s">
        <v>23</v>
      </c>
      <c r="E405" t="s">
        <v>75</v>
      </c>
      <c r="F405" t="s">
        <v>76</v>
      </c>
      <c r="G405" t="s">
        <v>73</v>
      </c>
      <c r="H405" t="s">
        <v>77</v>
      </c>
      <c r="I405">
        <v>4</v>
      </c>
      <c r="J405">
        <v>4</v>
      </c>
      <c r="K405">
        <v>16</v>
      </c>
      <c r="L405" t="s">
        <v>40</v>
      </c>
      <c r="M405" t="s">
        <v>50</v>
      </c>
      <c r="N405" t="s">
        <v>106</v>
      </c>
      <c r="O405">
        <v>3</v>
      </c>
      <c r="P405">
        <v>4</v>
      </c>
      <c r="Q405">
        <v>12</v>
      </c>
      <c r="R405" t="str">
        <f>IF(Table5[[#This Row],[Residual Risk Score]]&gt;Table5[[#This Row],[Initial Risk Score]],"NO Reduction","Reduced")</f>
        <v>Reduced</v>
      </c>
      <c r="S405" t="s">
        <v>40</v>
      </c>
      <c r="T405" t="s">
        <v>32</v>
      </c>
      <c r="U405" t="s">
        <v>33</v>
      </c>
      <c r="V405" s="2">
        <v>46057</v>
      </c>
    </row>
    <row r="406" spans="1:22" x14ac:dyDescent="0.25">
      <c r="A406" t="s">
        <v>540</v>
      </c>
      <c r="B406" s="2">
        <v>45890</v>
      </c>
      <c r="C406" t="s">
        <v>108</v>
      </c>
      <c r="D406" t="s">
        <v>80</v>
      </c>
      <c r="E406" t="s">
        <v>149</v>
      </c>
      <c r="F406" t="s">
        <v>150</v>
      </c>
      <c r="G406" t="s">
        <v>151</v>
      </c>
      <c r="H406" t="s">
        <v>143</v>
      </c>
      <c r="I406">
        <v>4</v>
      </c>
      <c r="J406">
        <v>4</v>
      </c>
      <c r="K406">
        <v>16</v>
      </c>
      <c r="L406" t="s">
        <v>40</v>
      </c>
      <c r="M406" t="s">
        <v>95</v>
      </c>
      <c r="N406" t="s">
        <v>60</v>
      </c>
      <c r="O406">
        <v>4</v>
      </c>
      <c r="P406">
        <v>3</v>
      </c>
      <c r="Q406">
        <v>12</v>
      </c>
      <c r="R406" t="str">
        <f>IF(Table5[[#This Row],[Residual Risk Score]]&gt;Table5[[#This Row],[Initial Risk Score]],"NO Reduction","Reduced")</f>
        <v>Reduced</v>
      </c>
      <c r="S406" t="s">
        <v>40</v>
      </c>
      <c r="T406" t="s">
        <v>32</v>
      </c>
      <c r="U406" t="s">
        <v>96</v>
      </c>
      <c r="V406" s="2">
        <v>46255</v>
      </c>
    </row>
    <row r="407" spans="1:22" x14ac:dyDescent="0.25">
      <c r="A407" t="s">
        <v>541</v>
      </c>
      <c r="B407" s="2">
        <v>45931</v>
      </c>
      <c r="C407" t="s">
        <v>108</v>
      </c>
      <c r="D407" t="s">
        <v>65</v>
      </c>
      <c r="E407" t="s">
        <v>149</v>
      </c>
      <c r="F407" t="s">
        <v>150</v>
      </c>
      <c r="G407" t="s">
        <v>151</v>
      </c>
      <c r="H407" t="s">
        <v>68</v>
      </c>
      <c r="I407">
        <v>2</v>
      </c>
      <c r="J407">
        <v>3</v>
      </c>
      <c r="K407">
        <v>6</v>
      </c>
      <c r="L407" t="s">
        <v>28</v>
      </c>
      <c r="M407" t="s">
        <v>69</v>
      </c>
      <c r="N407" t="s">
        <v>30</v>
      </c>
      <c r="O407">
        <v>1</v>
      </c>
      <c r="P407">
        <v>2</v>
      </c>
      <c r="Q407">
        <v>2</v>
      </c>
      <c r="R407" s="4" t="str">
        <f>IF(Table5[[#This Row],[Residual Risk Score]]&lt;Table5[[#This Row],[Initial Risk Score]],"Reduced","No Reduction")</f>
        <v>Reduced</v>
      </c>
      <c r="S407" t="s">
        <v>31</v>
      </c>
      <c r="T407" t="s">
        <v>61</v>
      </c>
      <c r="U407" t="s">
        <v>71</v>
      </c>
      <c r="V407" s="2">
        <v>46661</v>
      </c>
    </row>
    <row r="408" spans="1:22" x14ac:dyDescent="0.25">
      <c r="A408" t="s">
        <v>542</v>
      </c>
      <c r="B408" s="2">
        <v>45661</v>
      </c>
      <c r="C408" t="s">
        <v>35</v>
      </c>
      <c r="D408" t="s">
        <v>80</v>
      </c>
      <c r="E408" t="s">
        <v>36</v>
      </c>
      <c r="F408" t="s">
        <v>37</v>
      </c>
      <c r="G408" t="s">
        <v>38</v>
      </c>
      <c r="H408" t="s">
        <v>39</v>
      </c>
      <c r="I408">
        <v>2</v>
      </c>
      <c r="J408">
        <v>2</v>
      </c>
      <c r="K408">
        <v>4</v>
      </c>
      <c r="L408" t="s">
        <v>31</v>
      </c>
      <c r="M408" t="s">
        <v>69</v>
      </c>
      <c r="N408" t="s">
        <v>51</v>
      </c>
      <c r="O408">
        <v>1</v>
      </c>
      <c r="P408">
        <v>2</v>
      </c>
      <c r="Q408">
        <v>2</v>
      </c>
      <c r="R408" t="str">
        <f>IF(Table5[[#This Row],[Residual Risk Score]]&gt;Table5[[#This Row],[Initial Risk Score]],"NO Reduction","Reduced")</f>
        <v>Reduced</v>
      </c>
      <c r="S408" t="s">
        <v>31</v>
      </c>
      <c r="T408" t="s">
        <v>32</v>
      </c>
      <c r="U408" t="s">
        <v>62</v>
      </c>
      <c r="V408" s="2">
        <v>46026</v>
      </c>
    </row>
    <row r="409" spans="1:22" x14ac:dyDescent="0.25">
      <c r="A409" t="s">
        <v>543</v>
      </c>
      <c r="B409" s="2">
        <v>46001</v>
      </c>
      <c r="C409" t="s">
        <v>108</v>
      </c>
      <c r="D409" t="s">
        <v>108</v>
      </c>
      <c r="E409" t="s">
        <v>162</v>
      </c>
      <c r="F409" t="s">
        <v>163</v>
      </c>
      <c r="G409" t="s">
        <v>164</v>
      </c>
      <c r="H409" t="s">
        <v>219</v>
      </c>
      <c r="I409">
        <v>5</v>
      </c>
      <c r="J409">
        <v>3</v>
      </c>
      <c r="K409">
        <v>15</v>
      </c>
      <c r="L409" t="s">
        <v>40</v>
      </c>
      <c r="M409" t="s">
        <v>29</v>
      </c>
      <c r="N409" t="s">
        <v>51</v>
      </c>
      <c r="O409">
        <v>4</v>
      </c>
      <c r="P409">
        <v>3</v>
      </c>
      <c r="Q409">
        <v>12</v>
      </c>
      <c r="R409" s="4" t="str">
        <f>IF(Table5[[#This Row],[Residual Risk Score]]&lt;Table5[[#This Row],[Initial Risk Score]],"Reduced","No Reduction")</f>
        <v>Reduced</v>
      </c>
      <c r="S409" t="s">
        <v>40</v>
      </c>
      <c r="T409" t="s">
        <v>32</v>
      </c>
      <c r="U409" t="s">
        <v>96</v>
      </c>
      <c r="V409" s="2">
        <v>46731</v>
      </c>
    </row>
    <row r="410" spans="1:22" x14ac:dyDescent="0.25">
      <c r="A410" t="s">
        <v>544</v>
      </c>
      <c r="B410" s="2">
        <v>45686</v>
      </c>
      <c r="C410" t="s">
        <v>22</v>
      </c>
      <c r="D410" t="s">
        <v>108</v>
      </c>
      <c r="E410" t="s">
        <v>99</v>
      </c>
      <c r="F410" t="s">
        <v>100</v>
      </c>
      <c r="G410" t="s">
        <v>35</v>
      </c>
      <c r="H410" t="s">
        <v>68</v>
      </c>
      <c r="I410">
        <v>5</v>
      </c>
      <c r="J410">
        <v>5</v>
      </c>
      <c r="K410">
        <v>25</v>
      </c>
      <c r="L410" t="s">
        <v>94</v>
      </c>
      <c r="M410" t="s">
        <v>78</v>
      </c>
      <c r="N410" t="s">
        <v>128</v>
      </c>
      <c r="O410">
        <v>3</v>
      </c>
      <c r="P410">
        <v>4</v>
      </c>
      <c r="Q410">
        <v>12</v>
      </c>
      <c r="R410" t="str">
        <f>IF(Table5[[#This Row],[Residual Risk Score]]&gt;Table5[[#This Row],[Initial Risk Score]],"NO Reduction","Reduced")</f>
        <v>Reduced</v>
      </c>
      <c r="S410" t="s">
        <v>40</v>
      </c>
      <c r="T410" t="s">
        <v>32</v>
      </c>
      <c r="U410" t="s">
        <v>96</v>
      </c>
      <c r="V410" s="2">
        <v>46051</v>
      </c>
    </row>
    <row r="411" spans="1:22" x14ac:dyDescent="0.25">
      <c r="A411" t="s">
        <v>545</v>
      </c>
      <c r="B411" s="2">
        <v>45864</v>
      </c>
      <c r="C411" t="s">
        <v>35</v>
      </c>
      <c r="D411" t="s">
        <v>108</v>
      </c>
      <c r="E411" t="s">
        <v>36</v>
      </c>
      <c r="F411" t="s">
        <v>37</v>
      </c>
      <c r="G411" t="s">
        <v>38</v>
      </c>
      <c r="H411" t="s">
        <v>116</v>
      </c>
      <c r="I411">
        <v>3</v>
      </c>
      <c r="J411">
        <v>5</v>
      </c>
      <c r="K411">
        <v>15</v>
      </c>
      <c r="L411" t="s">
        <v>40</v>
      </c>
      <c r="M411" t="s">
        <v>29</v>
      </c>
      <c r="N411" t="s">
        <v>42</v>
      </c>
      <c r="O411">
        <v>3</v>
      </c>
      <c r="P411">
        <v>4</v>
      </c>
      <c r="Q411">
        <v>12</v>
      </c>
      <c r="R411" t="str">
        <f>IF(Table5[[#This Row],[Residual Risk Score]]&gt;Table5[[#This Row],[Initial Risk Score]],"NO Reduction","Reduced")</f>
        <v>Reduced</v>
      </c>
      <c r="S411" t="s">
        <v>40</v>
      </c>
      <c r="T411" t="s">
        <v>32</v>
      </c>
      <c r="U411" t="s">
        <v>62</v>
      </c>
      <c r="V411" s="2">
        <v>46229</v>
      </c>
    </row>
    <row r="412" spans="1:22" x14ac:dyDescent="0.25">
      <c r="A412" t="s">
        <v>546</v>
      </c>
      <c r="B412" s="2">
        <v>46310</v>
      </c>
      <c r="C412" t="s">
        <v>22</v>
      </c>
      <c r="D412" t="s">
        <v>80</v>
      </c>
      <c r="E412" t="s">
        <v>99</v>
      </c>
      <c r="F412" t="s">
        <v>100</v>
      </c>
      <c r="G412" t="s">
        <v>35</v>
      </c>
      <c r="H412" t="s">
        <v>122</v>
      </c>
      <c r="I412">
        <v>3</v>
      </c>
      <c r="J412">
        <v>2</v>
      </c>
      <c r="K412">
        <v>6</v>
      </c>
      <c r="L412" t="s">
        <v>28</v>
      </c>
      <c r="M412" t="s">
        <v>29</v>
      </c>
      <c r="N412" t="s">
        <v>124</v>
      </c>
      <c r="O412">
        <v>2</v>
      </c>
      <c r="P412">
        <v>2</v>
      </c>
      <c r="Q412">
        <v>4</v>
      </c>
      <c r="R412" s="4" t="str">
        <f>IF(Table5[[#This Row],[Residual Risk Score]]&lt;Table5[[#This Row],[Initial Risk Score]],"Reduced","No Reduction")</f>
        <v>Reduced</v>
      </c>
      <c r="S412" t="s">
        <v>31</v>
      </c>
      <c r="T412" t="s">
        <v>43</v>
      </c>
      <c r="U412" t="s">
        <v>62</v>
      </c>
      <c r="V412" s="2">
        <v>46490</v>
      </c>
    </row>
    <row r="413" spans="1:22" x14ac:dyDescent="0.25">
      <c r="A413" t="s">
        <v>547</v>
      </c>
      <c r="B413" s="2">
        <v>46303</v>
      </c>
      <c r="C413" t="s">
        <v>73</v>
      </c>
      <c r="D413" t="s">
        <v>80</v>
      </c>
      <c r="E413" t="s">
        <v>75</v>
      </c>
      <c r="F413" t="s">
        <v>76</v>
      </c>
      <c r="G413" t="s">
        <v>73</v>
      </c>
      <c r="H413" t="s">
        <v>77</v>
      </c>
      <c r="I413">
        <v>4</v>
      </c>
      <c r="J413">
        <v>3</v>
      </c>
      <c r="K413">
        <v>12</v>
      </c>
      <c r="L413" t="s">
        <v>40</v>
      </c>
      <c r="M413" t="s">
        <v>101</v>
      </c>
      <c r="N413" t="s">
        <v>30</v>
      </c>
      <c r="O413">
        <v>3</v>
      </c>
      <c r="P413">
        <v>3</v>
      </c>
      <c r="Q413">
        <v>9</v>
      </c>
      <c r="R413" s="4" t="str">
        <f>IF(Table5[[#This Row],[Residual Risk Score]]&lt;Table5[[#This Row],[Initial Risk Score]],"Reduced","No Reduction")</f>
        <v>Reduced</v>
      </c>
      <c r="S413" t="s">
        <v>28</v>
      </c>
      <c r="T413" t="s">
        <v>32</v>
      </c>
      <c r="U413" t="s">
        <v>71</v>
      </c>
      <c r="V413" s="2">
        <v>46668</v>
      </c>
    </row>
    <row r="414" spans="1:22" x14ac:dyDescent="0.25">
      <c r="A414" t="s">
        <v>548</v>
      </c>
      <c r="B414" s="2">
        <v>46068</v>
      </c>
      <c r="C414" t="s">
        <v>22</v>
      </c>
      <c r="D414" t="s">
        <v>98</v>
      </c>
      <c r="E414" t="s">
        <v>109</v>
      </c>
      <c r="F414" t="s">
        <v>110</v>
      </c>
      <c r="G414" t="s">
        <v>111</v>
      </c>
      <c r="H414" t="s">
        <v>197</v>
      </c>
      <c r="I414">
        <v>4</v>
      </c>
      <c r="J414">
        <v>2</v>
      </c>
      <c r="K414">
        <v>8</v>
      </c>
      <c r="L414" t="s">
        <v>28</v>
      </c>
      <c r="M414" t="s">
        <v>101</v>
      </c>
      <c r="N414" t="s">
        <v>102</v>
      </c>
      <c r="O414">
        <v>4</v>
      </c>
      <c r="P414">
        <v>2</v>
      </c>
      <c r="Q414">
        <v>8</v>
      </c>
      <c r="R414" s="4" t="str">
        <f>IF(Table5[[#This Row],[Residual Risk Score]]&lt;Table5[[#This Row],[Initial Risk Score]],"Reduced","No Reduction")</f>
        <v>No Reduction</v>
      </c>
      <c r="S414" t="s">
        <v>28</v>
      </c>
      <c r="T414" t="s">
        <v>43</v>
      </c>
      <c r="U414" t="s">
        <v>71</v>
      </c>
      <c r="V414" s="2">
        <v>46798</v>
      </c>
    </row>
    <row r="415" spans="1:22" x14ac:dyDescent="0.25">
      <c r="A415" t="s">
        <v>549</v>
      </c>
      <c r="B415" s="2">
        <v>46169</v>
      </c>
      <c r="C415" t="s">
        <v>22</v>
      </c>
      <c r="D415" t="s">
        <v>74</v>
      </c>
      <c r="E415" t="s">
        <v>109</v>
      </c>
      <c r="F415" t="s">
        <v>110</v>
      </c>
      <c r="G415" t="s">
        <v>111</v>
      </c>
      <c r="H415" t="s">
        <v>143</v>
      </c>
      <c r="I415">
        <v>3</v>
      </c>
      <c r="J415">
        <v>4</v>
      </c>
      <c r="K415">
        <v>12</v>
      </c>
      <c r="L415" t="s">
        <v>40</v>
      </c>
      <c r="M415" t="s">
        <v>69</v>
      </c>
      <c r="N415" t="s">
        <v>70</v>
      </c>
      <c r="O415">
        <v>2</v>
      </c>
      <c r="P415">
        <v>3</v>
      </c>
      <c r="Q415">
        <v>6</v>
      </c>
      <c r="R415" s="4" t="str">
        <f>IF(Table5[[#This Row],[Residual Risk Score]]&lt;Table5[[#This Row],[Initial Risk Score]],"Reduced","No Reduction")</f>
        <v>Reduced</v>
      </c>
      <c r="S415" t="s">
        <v>28</v>
      </c>
      <c r="T415" t="s">
        <v>61</v>
      </c>
      <c r="U415" t="s">
        <v>33</v>
      </c>
      <c r="V415" s="2">
        <v>46899</v>
      </c>
    </row>
    <row r="416" spans="1:22" x14ac:dyDescent="0.25">
      <c r="A416" t="s">
        <v>550</v>
      </c>
      <c r="B416" s="2">
        <v>45716</v>
      </c>
      <c r="C416" t="s">
        <v>64</v>
      </c>
      <c r="D416" t="s">
        <v>108</v>
      </c>
      <c r="E416" t="s">
        <v>91</v>
      </c>
      <c r="F416" t="s">
        <v>92</v>
      </c>
      <c r="G416" t="s">
        <v>35</v>
      </c>
      <c r="H416" t="s">
        <v>93</v>
      </c>
      <c r="I416">
        <v>3</v>
      </c>
      <c r="J416">
        <v>5</v>
      </c>
      <c r="K416">
        <v>15</v>
      </c>
      <c r="L416" t="s">
        <v>40</v>
      </c>
      <c r="M416" t="s">
        <v>69</v>
      </c>
      <c r="N416" t="s">
        <v>42</v>
      </c>
      <c r="O416">
        <v>2</v>
      </c>
      <c r="P416">
        <v>5</v>
      </c>
      <c r="Q416">
        <v>10</v>
      </c>
      <c r="R416" t="str">
        <f>IF(Table5[[#This Row],[Residual Risk Score]]&gt;Table5[[#This Row],[Initial Risk Score]],"NO Reduction","Reduced")</f>
        <v>Reduced</v>
      </c>
      <c r="S416" t="s">
        <v>40</v>
      </c>
      <c r="T416" t="s">
        <v>32</v>
      </c>
      <c r="U416" t="s">
        <v>52</v>
      </c>
      <c r="V416" s="2">
        <v>46081</v>
      </c>
    </row>
    <row r="417" spans="1:22" x14ac:dyDescent="0.25">
      <c r="A417" t="s">
        <v>551</v>
      </c>
      <c r="B417" s="2">
        <v>46199</v>
      </c>
      <c r="C417" t="s">
        <v>108</v>
      </c>
      <c r="D417" t="s">
        <v>108</v>
      </c>
      <c r="E417" t="s">
        <v>149</v>
      </c>
      <c r="F417" t="s">
        <v>150</v>
      </c>
      <c r="G417" t="s">
        <v>151</v>
      </c>
      <c r="H417" t="s">
        <v>225</v>
      </c>
      <c r="I417">
        <v>4</v>
      </c>
      <c r="J417">
        <v>3</v>
      </c>
      <c r="K417">
        <v>12</v>
      </c>
      <c r="L417" t="s">
        <v>40</v>
      </c>
      <c r="M417" t="s">
        <v>69</v>
      </c>
      <c r="N417" t="s">
        <v>106</v>
      </c>
      <c r="O417">
        <v>3</v>
      </c>
      <c r="P417">
        <v>2</v>
      </c>
      <c r="Q417">
        <v>6</v>
      </c>
      <c r="R417" t="str">
        <f>IF(Table5[[#This Row],[Residual Risk Score]]&gt;Table5[[#This Row],[Initial Risk Score]],"NO Reduction","Reduced")</f>
        <v>Reduced</v>
      </c>
      <c r="S417" t="s">
        <v>28</v>
      </c>
      <c r="T417" t="s">
        <v>61</v>
      </c>
      <c r="U417" t="s">
        <v>71</v>
      </c>
      <c r="V417" s="2">
        <v>46379</v>
      </c>
    </row>
    <row r="418" spans="1:22" x14ac:dyDescent="0.25">
      <c r="A418" t="s">
        <v>552</v>
      </c>
      <c r="B418" s="2">
        <v>45906</v>
      </c>
      <c r="C418" t="s">
        <v>35</v>
      </c>
      <c r="D418" t="s">
        <v>80</v>
      </c>
      <c r="E418" t="s">
        <v>36</v>
      </c>
      <c r="F418" t="s">
        <v>37</v>
      </c>
      <c r="G418" t="s">
        <v>38</v>
      </c>
      <c r="H418" t="s">
        <v>113</v>
      </c>
      <c r="I418">
        <v>3</v>
      </c>
      <c r="J418">
        <v>5</v>
      </c>
      <c r="K418">
        <v>15</v>
      </c>
      <c r="L418" t="s">
        <v>40</v>
      </c>
      <c r="M418" t="s">
        <v>83</v>
      </c>
      <c r="N418" t="s">
        <v>102</v>
      </c>
      <c r="O418">
        <v>1</v>
      </c>
      <c r="P418">
        <v>5</v>
      </c>
      <c r="Q418">
        <v>5</v>
      </c>
      <c r="R418" t="str">
        <f>IF(Table5[[#This Row],[Residual Risk Score]]&gt;Table5[[#This Row],[Initial Risk Score]],"NO Reduction","Reduced")</f>
        <v>Reduced</v>
      </c>
      <c r="S418" t="s">
        <v>28</v>
      </c>
      <c r="T418" t="s">
        <v>61</v>
      </c>
      <c r="U418" t="s">
        <v>62</v>
      </c>
      <c r="V418" s="2">
        <v>46271</v>
      </c>
    </row>
    <row r="419" spans="1:22" x14ac:dyDescent="0.25">
      <c r="A419" t="s">
        <v>553</v>
      </c>
      <c r="B419" s="2">
        <v>45993</v>
      </c>
      <c r="C419" t="s">
        <v>45</v>
      </c>
      <c r="D419" t="s">
        <v>108</v>
      </c>
      <c r="E419" t="s">
        <v>46</v>
      </c>
      <c r="F419" t="s">
        <v>47</v>
      </c>
      <c r="G419" t="s">
        <v>48</v>
      </c>
      <c r="H419" t="s">
        <v>49</v>
      </c>
      <c r="I419">
        <v>3</v>
      </c>
      <c r="J419">
        <v>2</v>
      </c>
      <c r="K419">
        <v>6</v>
      </c>
      <c r="L419" t="s">
        <v>28</v>
      </c>
      <c r="M419" t="s">
        <v>41</v>
      </c>
      <c r="N419" t="s">
        <v>30</v>
      </c>
      <c r="O419">
        <v>2</v>
      </c>
      <c r="P419">
        <v>1</v>
      </c>
      <c r="Q419">
        <v>2</v>
      </c>
      <c r="R419" t="str">
        <f>IF(Table5[[#This Row],[Residual Risk Score]]&gt;Table5[[#This Row],[Initial Risk Score]],"NO Reduction","Reduced")</f>
        <v>Reduced</v>
      </c>
      <c r="S419" t="s">
        <v>31</v>
      </c>
      <c r="T419" t="s">
        <v>32</v>
      </c>
      <c r="U419" t="s">
        <v>96</v>
      </c>
      <c r="V419" s="2">
        <v>46358</v>
      </c>
    </row>
    <row r="420" spans="1:22" x14ac:dyDescent="0.25">
      <c r="A420" t="s">
        <v>554</v>
      </c>
      <c r="B420" s="2">
        <v>45877</v>
      </c>
      <c r="C420" t="s">
        <v>73</v>
      </c>
      <c r="D420" t="s">
        <v>23</v>
      </c>
      <c r="E420" t="s">
        <v>75</v>
      </c>
      <c r="F420" t="s">
        <v>76</v>
      </c>
      <c r="G420" t="s">
        <v>73</v>
      </c>
      <c r="H420" t="s">
        <v>68</v>
      </c>
      <c r="I420">
        <v>4</v>
      </c>
      <c r="J420">
        <v>2</v>
      </c>
      <c r="K420">
        <v>8</v>
      </c>
      <c r="L420" t="s">
        <v>28</v>
      </c>
      <c r="M420" t="s">
        <v>29</v>
      </c>
      <c r="N420" t="s">
        <v>70</v>
      </c>
      <c r="O420">
        <v>4</v>
      </c>
      <c r="P420">
        <v>2</v>
      </c>
      <c r="Q420">
        <v>8</v>
      </c>
      <c r="R420" t="str">
        <f>IF(Table5[[#This Row],[Residual Risk Score]]&gt;Table5[[#This Row],[Initial Risk Score]],"NO Reduction","Reduced")</f>
        <v>Reduced</v>
      </c>
      <c r="S420" t="s">
        <v>28</v>
      </c>
      <c r="T420" t="s">
        <v>61</v>
      </c>
      <c r="U420" t="s">
        <v>71</v>
      </c>
      <c r="V420" s="2">
        <v>46057</v>
      </c>
    </row>
    <row r="421" spans="1:22" x14ac:dyDescent="0.25">
      <c r="A421" t="s">
        <v>555</v>
      </c>
      <c r="B421" s="2">
        <v>45678</v>
      </c>
      <c r="C421" t="s">
        <v>85</v>
      </c>
      <c r="D421" t="s">
        <v>74</v>
      </c>
      <c r="E421" t="s">
        <v>140</v>
      </c>
      <c r="F421" t="s">
        <v>141</v>
      </c>
      <c r="G421" t="s">
        <v>142</v>
      </c>
      <c r="H421" t="s">
        <v>68</v>
      </c>
      <c r="I421">
        <v>5</v>
      </c>
      <c r="J421">
        <v>4</v>
      </c>
      <c r="K421">
        <v>20</v>
      </c>
      <c r="L421" t="s">
        <v>94</v>
      </c>
      <c r="M421" t="s">
        <v>29</v>
      </c>
      <c r="N421" t="s">
        <v>70</v>
      </c>
      <c r="O421">
        <v>5</v>
      </c>
      <c r="P421">
        <v>3</v>
      </c>
      <c r="Q421">
        <v>15</v>
      </c>
      <c r="R421" t="str">
        <f>IF(Table5[[#This Row],[Residual Risk Score]]&gt;Table5[[#This Row],[Initial Risk Score]],"NO Reduction","Reduced")</f>
        <v>Reduced</v>
      </c>
      <c r="S421" t="s">
        <v>40</v>
      </c>
      <c r="T421" t="s">
        <v>43</v>
      </c>
      <c r="U421" t="s">
        <v>62</v>
      </c>
      <c r="V421" s="2">
        <v>45858</v>
      </c>
    </row>
    <row r="422" spans="1:22" x14ac:dyDescent="0.25">
      <c r="A422" t="s">
        <v>556</v>
      </c>
      <c r="B422" s="2">
        <v>45824</v>
      </c>
      <c r="C422" t="s">
        <v>85</v>
      </c>
      <c r="D422" t="s">
        <v>108</v>
      </c>
      <c r="E422" t="s">
        <v>140</v>
      </c>
      <c r="F422" t="s">
        <v>141</v>
      </c>
      <c r="G422" t="s">
        <v>142</v>
      </c>
      <c r="H422" t="s">
        <v>143</v>
      </c>
      <c r="I422">
        <v>2</v>
      </c>
      <c r="J422">
        <v>3</v>
      </c>
      <c r="K422">
        <v>6</v>
      </c>
      <c r="L422" t="s">
        <v>28</v>
      </c>
      <c r="M422" t="s">
        <v>41</v>
      </c>
      <c r="N422" t="s">
        <v>106</v>
      </c>
      <c r="O422">
        <v>1</v>
      </c>
      <c r="P422">
        <v>2</v>
      </c>
      <c r="Q422">
        <v>2</v>
      </c>
      <c r="R422" t="str">
        <f>IF(Table5[[#This Row],[Residual Risk Score]]&gt;Table5[[#This Row],[Initial Risk Score]],"NO Reduction","Reduced")</f>
        <v>Reduced</v>
      </c>
      <c r="S422" t="s">
        <v>31</v>
      </c>
      <c r="T422" t="s">
        <v>61</v>
      </c>
      <c r="U422" t="s">
        <v>71</v>
      </c>
      <c r="V422" s="2">
        <v>46004</v>
      </c>
    </row>
    <row r="423" spans="1:22" x14ac:dyDescent="0.25">
      <c r="A423" t="s">
        <v>557</v>
      </c>
      <c r="B423" s="2">
        <v>45941</v>
      </c>
      <c r="C423" t="s">
        <v>73</v>
      </c>
      <c r="D423" t="s">
        <v>65</v>
      </c>
      <c r="E423" t="s">
        <v>75</v>
      </c>
      <c r="F423" t="s">
        <v>76</v>
      </c>
      <c r="G423" t="s">
        <v>73</v>
      </c>
      <c r="H423" t="s">
        <v>77</v>
      </c>
      <c r="I423">
        <v>5</v>
      </c>
      <c r="J423">
        <v>4</v>
      </c>
      <c r="K423">
        <v>20</v>
      </c>
      <c r="L423" t="s">
        <v>94</v>
      </c>
      <c r="M423" t="s">
        <v>69</v>
      </c>
      <c r="N423" t="s">
        <v>42</v>
      </c>
      <c r="O423">
        <v>4</v>
      </c>
      <c r="P423">
        <v>4</v>
      </c>
      <c r="Q423">
        <v>16</v>
      </c>
      <c r="R423" t="str">
        <f>IF(Table5[[#This Row],[Residual Risk Score]]&gt;Table5[[#This Row],[Initial Risk Score]],"NO Reduction","Reduced")</f>
        <v>Reduced</v>
      </c>
      <c r="S423" t="s">
        <v>40</v>
      </c>
      <c r="T423" t="s">
        <v>32</v>
      </c>
      <c r="U423" t="s">
        <v>62</v>
      </c>
      <c r="V423" s="2">
        <v>46306</v>
      </c>
    </row>
    <row r="424" spans="1:22" x14ac:dyDescent="0.25">
      <c r="A424" t="s">
        <v>558</v>
      </c>
      <c r="B424" s="2">
        <v>45849</v>
      </c>
      <c r="C424" t="s">
        <v>85</v>
      </c>
      <c r="D424" t="s">
        <v>23</v>
      </c>
      <c r="E424" t="s">
        <v>86</v>
      </c>
      <c r="F424" t="s">
        <v>87</v>
      </c>
      <c r="G424" t="s">
        <v>48</v>
      </c>
      <c r="H424" t="s">
        <v>39</v>
      </c>
      <c r="I424">
        <v>2</v>
      </c>
      <c r="J424">
        <v>3</v>
      </c>
      <c r="K424">
        <v>6</v>
      </c>
      <c r="L424" t="s">
        <v>28</v>
      </c>
      <c r="M424" t="s">
        <v>41</v>
      </c>
      <c r="N424" t="s">
        <v>124</v>
      </c>
      <c r="O424">
        <v>1</v>
      </c>
      <c r="P424">
        <v>3</v>
      </c>
      <c r="Q424">
        <v>3</v>
      </c>
      <c r="R424" t="str">
        <f>IF(Table5[[#This Row],[Residual Risk Score]]&gt;Table5[[#This Row],[Initial Risk Score]],"NO Reduction","Reduced")</f>
        <v>Reduced</v>
      </c>
      <c r="S424" t="s">
        <v>31</v>
      </c>
      <c r="T424" t="s">
        <v>32</v>
      </c>
      <c r="U424" t="s">
        <v>62</v>
      </c>
      <c r="V424" s="2">
        <v>46214</v>
      </c>
    </row>
    <row r="425" spans="1:22" x14ac:dyDescent="0.25">
      <c r="A425" t="s">
        <v>559</v>
      </c>
      <c r="B425" s="2">
        <v>45986</v>
      </c>
      <c r="C425" t="s">
        <v>45</v>
      </c>
      <c r="D425" t="s">
        <v>55</v>
      </c>
      <c r="E425" t="s">
        <v>46</v>
      </c>
      <c r="F425" t="s">
        <v>47</v>
      </c>
      <c r="G425" t="s">
        <v>48</v>
      </c>
      <c r="H425" t="s">
        <v>88</v>
      </c>
      <c r="I425">
        <v>2</v>
      </c>
      <c r="J425">
        <v>2</v>
      </c>
      <c r="K425">
        <v>4</v>
      </c>
      <c r="L425" t="s">
        <v>31</v>
      </c>
      <c r="M425" t="s">
        <v>50</v>
      </c>
      <c r="N425" t="s">
        <v>124</v>
      </c>
      <c r="O425">
        <v>1</v>
      </c>
      <c r="P425">
        <v>2</v>
      </c>
      <c r="Q425">
        <v>2</v>
      </c>
      <c r="R425" s="4" t="str">
        <f>IF(Table5[[#This Row],[Residual Risk Score]]&lt;Table5[[#This Row],[Initial Risk Score]],"Reduced","No Reduction")</f>
        <v>Reduced</v>
      </c>
      <c r="S425" t="s">
        <v>31</v>
      </c>
      <c r="T425" t="s">
        <v>43</v>
      </c>
      <c r="U425" t="s">
        <v>96</v>
      </c>
      <c r="V425" s="2">
        <v>46716</v>
      </c>
    </row>
    <row r="426" spans="1:22" x14ac:dyDescent="0.25">
      <c r="A426" t="s">
        <v>560</v>
      </c>
      <c r="B426" s="2">
        <v>46353</v>
      </c>
      <c r="C426" t="s">
        <v>64</v>
      </c>
      <c r="D426" t="s">
        <v>98</v>
      </c>
      <c r="E426" t="s">
        <v>91</v>
      </c>
      <c r="F426" t="s">
        <v>92</v>
      </c>
      <c r="G426" t="s">
        <v>35</v>
      </c>
      <c r="H426" t="s">
        <v>122</v>
      </c>
      <c r="I426">
        <v>3</v>
      </c>
      <c r="J426">
        <v>4</v>
      </c>
      <c r="K426">
        <v>12</v>
      </c>
      <c r="L426" t="s">
        <v>40</v>
      </c>
      <c r="M426" t="s">
        <v>78</v>
      </c>
      <c r="N426" t="s">
        <v>124</v>
      </c>
      <c r="O426">
        <v>2</v>
      </c>
      <c r="P426">
        <v>3</v>
      </c>
      <c r="Q426">
        <v>6</v>
      </c>
      <c r="R426" s="4" t="str">
        <f>IF(Table5[[#This Row],[Residual Risk Score]]&lt;Table5[[#This Row],[Initial Risk Score]],"Reduced","No Reduction")</f>
        <v>Reduced</v>
      </c>
      <c r="S426" t="s">
        <v>28</v>
      </c>
      <c r="T426" t="s">
        <v>61</v>
      </c>
      <c r="U426" t="s">
        <v>96</v>
      </c>
      <c r="V426" s="2">
        <v>46718</v>
      </c>
    </row>
    <row r="427" spans="1:22" x14ac:dyDescent="0.25">
      <c r="A427" t="s">
        <v>561</v>
      </c>
      <c r="B427" s="2">
        <v>45944</v>
      </c>
      <c r="C427" t="s">
        <v>35</v>
      </c>
      <c r="D427" t="s">
        <v>55</v>
      </c>
      <c r="E427" t="s">
        <v>36</v>
      </c>
      <c r="F427" t="s">
        <v>37</v>
      </c>
      <c r="G427" t="s">
        <v>38</v>
      </c>
      <c r="H427" t="s">
        <v>116</v>
      </c>
      <c r="I427">
        <v>5</v>
      </c>
      <c r="J427">
        <v>4</v>
      </c>
      <c r="K427">
        <v>20</v>
      </c>
      <c r="L427" t="s">
        <v>94</v>
      </c>
      <c r="M427" t="s">
        <v>83</v>
      </c>
      <c r="N427" t="s">
        <v>60</v>
      </c>
      <c r="O427">
        <v>3</v>
      </c>
      <c r="P427">
        <v>4</v>
      </c>
      <c r="Q427">
        <v>12</v>
      </c>
      <c r="R427" s="4" t="str">
        <f>IF(Table5[[#This Row],[Residual Risk Score]]&lt;Table5[[#This Row],[Initial Risk Score]],"Reduced","No Reduction")</f>
        <v>Reduced</v>
      </c>
      <c r="S427" t="s">
        <v>40</v>
      </c>
      <c r="T427" t="s">
        <v>43</v>
      </c>
      <c r="U427" t="s">
        <v>52</v>
      </c>
      <c r="V427" s="2">
        <v>46674</v>
      </c>
    </row>
    <row r="428" spans="1:22" x14ac:dyDescent="0.25">
      <c r="A428" t="s">
        <v>562</v>
      </c>
      <c r="B428" s="2">
        <v>46282</v>
      </c>
      <c r="C428" t="s">
        <v>35</v>
      </c>
      <c r="D428" t="s">
        <v>65</v>
      </c>
      <c r="E428" t="s">
        <v>36</v>
      </c>
      <c r="F428" t="s">
        <v>37</v>
      </c>
      <c r="G428" t="s">
        <v>38</v>
      </c>
      <c r="H428" t="s">
        <v>116</v>
      </c>
      <c r="I428">
        <v>3</v>
      </c>
      <c r="J428">
        <v>5</v>
      </c>
      <c r="K428">
        <v>15</v>
      </c>
      <c r="L428" t="s">
        <v>40</v>
      </c>
      <c r="M428" t="s">
        <v>101</v>
      </c>
      <c r="N428" t="s">
        <v>89</v>
      </c>
      <c r="O428">
        <v>2</v>
      </c>
      <c r="P428">
        <v>4</v>
      </c>
      <c r="Q428">
        <v>8</v>
      </c>
      <c r="R428" s="4" t="str">
        <f>IF(Table5[[#This Row],[Residual Risk Score]]&lt;Table5[[#This Row],[Initial Risk Score]],"Reduced","No Reduction")</f>
        <v>Reduced</v>
      </c>
      <c r="S428" t="s">
        <v>28</v>
      </c>
      <c r="T428" t="s">
        <v>43</v>
      </c>
      <c r="U428" t="s">
        <v>33</v>
      </c>
      <c r="V428" s="2">
        <v>46647</v>
      </c>
    </row>
    <row r="429" spans="1:22" x14ac:dyDescent="0.25">
      <c r="A429" t="s">
        <v>563</v>
      </c>
      <c r="B429" s="2">
        <v>45790</v>
      </c>
      <c r="C429" t="s">
        <v>85</v>
      </c>
      <c r="D429" t="s">
        <v>55</v>
      </c>
      <c r="E429" t="s">
        <v>230</v>
      </c>
      <c r="F429" t="s">
        <v>231</v>
      </c>
      <c r="G429" t="s">
        <v>232</v>
      </c>
      <c r="H429" t="s">
        <v>233</v>
      </c>
      <c r="I429">
        <v>2</v>
      </c>
      <c r="J429">
        <v>3</v>
      </c>
      <c r="K429">
        <v>6</v>
      </c>
      <c r="L429" t="s">
        <v>28</v>
      </c>
      <c r="M429" t="s">
        <v>41</v>
      </c>
      <c r="N429" t="s">
        <v>51</v>
      </c>
      <c r="O429">
        <v>1</v>
      </c>
      <c r="P429">
        <v>3</v>
      </c>
      <c r="Q429">
        <v>3</v>
      </c>
      <c r="R429" t="str">
        <f>IF(Table5[[#This Row],[Residual Risk Score]]&gt;Table5[[#This Row],[Initial Risk Score]],"NO Reduction","Reduced")</f>
        <v>Reduced</v>
      </c>
      <c r="S429" t="s">
        <v>31</v>
      </c>
      <c r="T429" t="s">
        <v>61</v>
      </c>
      <c r="U429" t="s">
        <v>52</v>
      </c>
      <c r="V429" s="2">
        <v>46155</v>
      </c>
    </row>
    <row r="430" spans="1:22" x14ac:dyDescent="0.25">
      <c r="A430" t="s">
        <v>564</v>
      </c>
      <c r="B430" s="2">
        <v>45672</v>
      </c>
      <c r="C430" t="s">
        <v>45</v>
      </c>
      <c r="D430" t="s">
        <v>23</v>
      </c>
      <c r="E430" t="s">
        <v>46</v>
      </c>
      <c r="F430" t="s">
        <v>47</v>
      </c>
      <c r="G430" t="s">
        <v>48</v>
      </c>
      <c r="H430" t="s">
        <v>88</v>
      </c>
      <c r="I430">
        <v>5</v>
      </c>
      <c r="J430">
        <v>3</v>
      </c>
      <c r="K430">
        <v>15</v>
      </c>
      <c r="L430" t="s">
        <v>40</v>
      </c>
      <c r="M430" t="s">
        <v>83</v>
      </c>
      <c r="N430" t="s">
        <v>51</v>
      </c>
      <c r="O430">
        <v>4</v>
      </c>
      <c r="P430">
        <v>3</v>
      </c>
      <c r="Q430">
        <v>12</v>
      </c>
      <c r="R430" t="str">
        <f>IF(Table5[[#This Row],[Residual Risk Score]]&gt;Table5[[#This Row],[Initial Risk Score]],"NO Reduction","Reduced")</f>
        <v>Reduced</v>
      </c>
      <c r="S430" t="s">
        <v>40</v>
      </c>
      <c r="T430" t="s">
        <v>61</v>
      </c>
      <c r="U430" t="s">
        <v>71</v>
      </c>
      <c r="V430" s="2">
        <v>46037</v>
      </c>
    </row>
    <row r="431" spans="1:22" x14ac:dyDescent="0.25">
      <c r="A431" t="s">
        <v>565</v>
      </c>
      <c r="B431" s="2">
        <v>46160</v>
      </c>
      <c r="C431" t="s">
        <v>108</v>
      </c>
      <c r="D431" t="s">
        <v>65</v>
      </c>
      <c r="E431" t="s">
        <v>162</v>
      </c>
      <c r="F431" t="s">
        <v>163</v>
      </c>
      <c r="G431" t="s">
        <v>164</v>
      </c>
      <c r="H431" t="s">
        <v>219</v>
      </c>
      <c r="I431">
        <v>4</v>
      </c>
      <c r="J431">
        <v>5</v>
      </c>
      <c r="K431">
        <v>20</v>
      </c>
      <c r="L431" t="s">
        <v>94</v>
      </c>
      <c r="M431" t="s">
        <v>50</v>
      </c>
      <c r="N431" t="s">
        <v>42</v>
      </c>
      <c r="O431">
        <v>4</v>
      </c>
      <c r="P431">
        <v>5</v>
      </c>
      <c r="Q431">
        <v>20</v>
      </c>
      <c r="R431" s="4" t="str">
        <f>IF(Table5[[#This Row],[Residual Risk Score]]&lt;Table5[[#This Row],[Initial Risk Score]],"Reduced","No Reduction")</f>
        <v>No Reduction</v>
      </c>
      <c r="S431" t="s">
        <v>94</v>
      </c>
      <c r="T431" t="s">
        <v>43</v>
      </c>
      <c r="U431" t="s">
        <v>52</v>
      </c>
      <c r="V431" s="2">
        <v>46890</v>
      </c>
    </row>
    <row r="432" spans="1:22" x14ac:dyDescent="0.25">
      <c r="A432" t="s">
        <v>566</v>
      </c>
      <c r="B432" s="2">
        <v>46279</v>
      </c>
      <c r="C432" t="s">
        <v>85</v>
      </c>
      <c r="D432" t="s">
        <v>74</v>
      </c>
      <c r="E432" t="s">
        <v>140</v>
      </c>
      <c r="F432" t="s">
        <v>141</v>
      </c>
      <c r="G432" t="s">
        <v>142</v>
      </c>
      <c r="H432" t="s">
        <v>153</v>
      </c>
      <c r="I432">
        <v>5</v>
      </c>
      <c r="J432">
        <v>2</v>
      </c>
      <c r="K432">
        <v>10</v>
      </c>
      <c r="L432" t="s">
        <v>40</v>
      </c>
      <c r="M432" t="s">
        <v>95</v>
      </c>
      <c r="N432" t="s">
        <v>70</v>
      </c>
      <c r="O432">
        <v>4</v>
      </c>
      <c r="P432">
        <v>1</v>
      </c>
      <c r="Q432">
        <v>4</v>
      </c>
      <c r="R432" s="4" t="str">
        <f>IF(Table5[[#This Row],[Residual Risk Score]]&lt;Table5[[#This Row],[Initial Risk Score]],"Reduced","No Reduction")</f>
        <v>Reduced</v>
      </c>
      <c r="S432" t="s">
        <v>31</v>
      </c>
      <c r="T432" t="s">
        <v>43</v>
      </c>
      <c r="U432" t="s">
        <v>71</v>
      </c>
      <c r="V432" s="2">
        <v>47009</v>
      </c>
    </row>
    <row r="433" spans="1:22" x14ac:dyDescent="0.25">
      <c r="A433" t="s">
        <v>567</v>
      </c>
      <c r="B433" s="2">
        <v>45730</v>
      </c>
      <c r="C433" t="s">
        <v>35</v>
      </c>
      <c r="D433" t="s">
        <v>80</v>
      </c>
      <c r="E433" t="s">
        <v>120</v>
      </c>
      <c r="F433" t="s">
        <v>121</v>
      </c>
      <c r="G433" t="s">
        <v>35</v>
      </c>
      <c r="H433" t="s">
        <v>68</v>
      </c>
      <c r="I433">
        <v>2</v>
      </c>
      <c r="J433">
        <v>5</v>
      </c>
      <c r="K433">
        <v>10</v>
      </c>
      <c r="L433" t="s">
        <v>40</v>
      </c>
      <c r="M433" t="s">
        <v>78</v>
      </c>
      <c r="N433" t="s">
        <v>42</v>
      </c>
      <c r="O433">
        <v>2</v>
      </c>
      <c r="P433">
        <v>4</v>
      </c>
      <c r="Q433">
        <v>8</v>
      </c>
      <c r="R433" t="str">
        <f>IF(Table5[[#This Row],[Residual Risk Score]]&gt;Table5[[#This Row],[Initial Risk Score]],"NO Reduction","Reduced")</f>
        <v>Reduced</v>
      </c>
      <c r="S433" t="s">
        <v>28</v>
      </c>
      <c r="T433" t="s">
        <v>32</v>
      </c>
      <c r="U433" t="s">
        <v>96</v>
      </c>
      <c r="V433" s="2">
        <v>46095</v>
      </c>
    </row>
    <row r="434" spans="1:22" x14ac:dyDescent="0.25">
      <c r="A434" t="s">
        <v>568</v>
      </c>
      <c r="B434" s="2">
        <v>46369</v>
      </c>
      <c r="C434" t="s">
        <v>108</v>
      </c>
      <c r="D434" t="s">
        <v>65</v>
      </c>
      <c r="E434" t="s">
        <v>149</v>
      </c>
      <c r="F434" t="s">
        <v>150</v>
      </c>
      <c r="G434" t="s">
        <v>151</v>
      </c>
      <c r="H434" t="s">
        <v>225</v>
      </c>
      <c r="I434">
        <v>5</v>
      </c>
      <c r="J434">
        <v>5</v>
      </c>
      <c r="K434">
        <v>25</v>
      </c>
      <c r="L434" t="s">
        <v>94</v>
      </c>
      <c r="M434" t="s">
        <v>101</v>
      </c>
      <c r="N434" t="s">
        <v>30</v>
      </c>
      <c r="O434">
        <v>5</v>
      </c>
      <c r="P434">
        <v>4</v>
      </c>
      <c r="Q434">
        <v>20</v>
      </c>
      <c r="R434" s="4" t="str">
        <f>IF(Table5[[#This Row],[Residual Risk Score]]&lt;Table5[[#This Row],[Initial Risk Score]],"Reduced","No Reduction")</f>
        <v>Reduced</v>
      </c>
      <c r="S434" t="s">
        <v>94</v>
      </c>
      <c r="T434" t="s">
        <v>43</v>
      </c>
      <c r="U434" t="s">
        <v>33</v>
      </c>
      <c r="V434" s="2">
        <v>47099</v>
      </c>
    </row>
    <row r="435" spans="1:22" x14ac:dyDescent="0.25">
      <c r="A435" t="s">
        <v>569</v>
      </c>
      <c r="B435" s="2">
        <v>45975</v>
      </c>
      <c r="C435" t="s">
        <v>22</v>
      </c>
      <c r="D435" t="s">
        <v>23</v>
      </c>
      <c r="E435" t="s">
        <v>24</v>
      </c>
      <c r="F435" t="s">
        <v>25</v>
      </c>
      <c r="G435" t="s">
        <v>26</v>
      </c>
      <c r="H435" t="s">
        <v>223</v>
      </c>
      <c r="I435">
        <v>4</v>
      </c>
      <c r="J435">
        <v>3</v>
      </c>
      <c r="K435">
        <v>12</v>
      </c>
      <c r="L435" t="s">
        <v>40</v>
      </c>
      <c r="M435" t="s">
        <v>69</v>
      </c>
      <c r="N435" t="s">
        <v>30</v>
      </c>
      <c r="O435">
        <v>3</v>
      </c>
      <c r="P435">
        <v>3</v>
      </c>
      <c r="Q435">
        <v>9</v>
      </c>
      <c r="R435" t="str">
        <f>IF(Table5[[#This Row],[Residual Risk Score]]&gt;Table5[[#This Row],[Initial Risk Score]],"NO Reduction","Reduced")</f>
        <v>Reduced</v>
      </c>
      <c r="S435" t="s">
        <v>28</v>
      </c>
      <c r="T435" t="s">
        <v>32</v>
      </c>
      <c r="U435" t="s">
        <v>33</v>
      </c>
      <c r="V435" s="2">
        <v>46340</v>
      </c>
    </row>
    <row r="436" spans="1:22" x14ac:dyDescent="0.25">
      <c r="A436" t="s">
        <v>570</v>
      </c>
      <c r="B436" s="2">
        <v>45982</v>
      </c>
      <c r="C436" t="s">
        <v>85</v>
      </c>
      <c r="D436" t="s">
        <v>80</v>
      </c>
      <c r="E436" t="s">
        <v>230</v>
      </c>
      <c r="F436" t="s">
        <v>231</v>
      </c>
      <c r="G436" t="s">
        <v>232</v>
      </c>
      <c r="H436" t="s">
        <v>116</v>
      </c>
      <c r="I436">
        <v>4</v>
      </c>
      <c r="J436">
        <v>4</v>
      </c>
      <c r="K436">
        <v>16</v>
      </c>
      <c r="L436" t="s">
        <v>40</v>
      </c>
      <c r="M436" t="s">
        <v>50</v>
      </c>
      <c r="N436" t="s">
        <v>70</v>
      </c>
      <c r="O436">
        <v>4</v>
      </c>
      <c r="P436">
        <v>3</v>
      </c>
      <c r="Q436">
        <v>12</v>
      </c>
      <c r="R436" t="str">
        <f>IF(Table5[[#This Row],[Residual Risk Score]]&gt;Table5[[#This Row],[Initial Risk Score]],"NO Reduction","Reduced")</f>
        <v>Reduced</v>
      </c>
      <c r="S436" t="s">
        <v>40</v>
      </c>
      <c r="T436" t="s">
        <v>61</v>
      </c>
      <c r="U436" t="s">
        <v>33</v>
      </c>
      <c r="V436" s="2">
        <v>46347</v>
      </c>
    </row>
    <row r="437" spans="1:22" x14ac:dyDescent="0.25">
      <c r="A437" t="s">
        <v>571</v>
      </c>
      <c r="B437" s="2">
        <v>46080</v>
      </c>
      <c r="C437" t="s">
        <v>22</v>
      </c>
      <c r="D437" t="s">
        <v>65</v>
      </c>
      <c r="E437" t="s">
        <v>109</v>
      </c>
      <c r="F437" t="s">
        <v>110</v>
      </c>
      <c r="G437" t="s">
        <v>111</v>
      </c>
      <c r="H437" t="s">
        <v>197</v>
      </c>
      <c r="I437">
        <v>4</v>
      </c>
      <c r="J437">
        <v>3</v>
      </c>
      <c r="K437">
        <v>12</v>
      </c>
      <c r="L437" t="s">
        <v>40</v>
      </c>
      <c r="M437" t="s">
        <v>101</v>
      </c>
      <c r="N437" t="s">
        <v>102</v>
      </c>
      <c r="O437">
        <v>4</v>
      </c>
      <c r="P437">
        <v>2</v>
      </c>
      <c r="Q437">
        <v>8</v>
      </c>
      <c r="R437" t="str">
        <f>IF(Table5[[#This Row],[Residual Risk Score]]&gt;Table5[[#This Row],[Initial Risk Score]],"NO Reduction","Reduced")</f>
        <v>Reduced</v>
      </c>
      <c r="S437" t="s">
        <v>28</v>
      </c>
      <c r="T437" t="s">
        <v>32</v>
      </c>
      <c r="U437" t="s">
        <v>52</v>
      </c>
      <c r="V437" s="2">
        <v>46260</v>
      </c>
    </row>
    <row r="438" spans="1:22" x14ac:dyDescent="0.25">
      <c r="A438" t="s">
        <v>572</v>
      </c>
      <c r="B438" s="2">
        <v>46387</v>
      </c>
      <c r="C438" t="s">
        <v>85</v>
      </c>
      <c r="D438" t="s">
        <v>80</v>
      </c>
      <c r="E438" t="s">
        <v>230</v>
      </c>
      <c r="F438" t="s">
        <v>231</v>
      </c>
      <c r="G438" t="s">
        <v>232</v>
      </c>
      <c r="H438" t="s">
        <v>116</v>
      </c>
      <c r="I438">
        <v>3</v>
      </c>
      <c r="J438">
        <v>2</v>
      </c>
      <c r="K438">
        <v>6</v>
      </c>
      <c r="L438" t="s">
        <v>28</v>
      </c>
      <c r="M438" t="s">
        <v>41</v>
      </c>
      <c r="N438" t="s">
        <v>30</v>
      </c>
      <c r="O438">
        <v>1</v>
      </c>
      <c r="P438">
        <v>2</v>
      </c>
      <c r="Q438">
        <v>2</v>
      </c>
      <c r="R438" s="4" t="str">
        <f>IF(Table5[[#This Row],[Residual Risk Score]]&lt;Table5[[#This Row],[Initial Risk Score]],"Reduced","No Reduction")</f>
        <v>Reduced</v>
      </c>
      <c r="S438" t="s">
        <v>31</v>
      </c>
      <c r="T438" t="s">
        <v>43</v>
      </c>
      <c r="U438" t="s">
        <v>62</v>
      </c>
      <c r="V438" s="2">
        <v>46752</v>
      </c>
    </row>
    <row r="439" spans="1:22" x14ac:dyDescent="0.25">
      <c r="A439" t="s">
        <v>573</v>
      </c>
      <c r="B439" s="2">
        <v>45789</v>
      </c>
      <c r="C439" t="s">
        <v>64</v>
      </c>
      <c r="D439" t="s">
        <v>23</v>
      </c>
      <c r="E439" t="s">
        <v>66</v>
      </c>
      <c r="F439" t="s">
        <v>67</v>
      </c>
      <c r="G439" t="s">
        <v>35</v>
      </c>
      <c r="H439" t="s">
        <v>93</v>
      </c>
      <c r="I439">
        <v>5</v>
      </c>
      <c r="J439">
        <v>3</v>
      </c>
      <c r="K439">
        <v>15</v>
      </c>
      <c r="L439" t="s">
        <v>40</v>
      </c>
      <c r="M439" t="s">
        <v>41</v>
      </c>
      <c r="N439" t="s">
        <v>60</v>
      </c>
      <c r="O439">
        <v>3</v>
      </c>
      <c r="P439">
        <v>2</v>
      </c>
      <c r="Q439">
        <v>6</v>
      </c>
      <c r="R439" t="str">
        <f>IF(Table5[[#This Row],[Residual Risk Score]]&gt;Table5[[#This Row],[Initial Risk Score]],"NO Reduction","Reduced")</f>
        <v>Reduced</v>
      </c>
      <c r="S439" t="s">
        <v>28</v>
      </c>
      <c r="T439" t="s">
        <v>61</v>
      </c>
      <c r="U439" t="s">
        <v>71</v>
      </c>
      <c r="V439" s="2">
        <v>45969</v>
      </c>
    </row>
    <row r="440" spans="1:22" x14ac:dyDescent="0.25">
      <c r="A440" t="s">
        <v>574</v>
      </c>
      <c r="B440" s="2">
        <v>45684</v>
      </c>
      <c r="C440" t="s">
        <v>85</v>
      </c>
      <c r="D440" t="s">
        <v>80</v>
      </c>
      <c r="E440" t="s">
        <v>86</v>
      </c>
      <c r="F440" t="s">
        <v>87</v>
      </c>
      <c r="G440" t="s">
        <v>48</v>
      </c>
      <c r="H440" t="s">
        <v>39</v>
      </c>
      <c r="I440">
        <v>4</v>
      </c>
      <c r="J440">
        <v>3</v>
      </c>
      <c r="K440">
        <v>12</v>
      </c>
      <c r="L440" t="s">
        <v>40</v>
      </c>
      <c r="M440" t="s">
        <v>41</v>
      </c>
      <c r="N440" t="s">
        <v>124</v>
      </c>
      <c r="O440">
        <v>3</v>
      </c>
      <c r="P440">
        <v>2</v>
      </c>
      <c r="Q440">
        <v>6</v>
      </c>
      <c r="R440" s="4" t="str">
        <f>IF(Table5[[#This Row],[Residual Risk Score]]&lt;Table5[[#This Row],[Initial Risk Score]],"Reduced","No Reduction")</f>
        <v>Reduced</v>
      </c>
      <c r="S440" t="s">
        <v>28</v>
      </c>
      <c r="T440" t="s">
        <v>61</v>
      </c>
      <c r="U440" t="s">
        <v>96</v>
      </c>
      <c r="V440" s="2">
        <v>46414</v>
      </c>
    </row>
    <row r="441" spans="1:22" x14ac:dyDescent="0.25">
      <c r="A441" t="s">
        <v>575</v>
      </c>
      <c r="B441" s="2">
        <v>46150</v>
      </c>
      <c r="C441" t="s">
        <v>73</v>
      </c>
      <c r="D441" t="s">
        <v>55</v>
      </c>
      <c r="E441" t="s">
        <v>104</v>
      </c>
      <c r="F441" t="s">
        <v>105</v>
      </c>
      <c r="G441" t="s">
        <v>73</v>
      </c>
      <c r="H441" t="s">
        <v>77</v>
      </c>
      <c r="I441">
        <v>5</v>
      </c>
      <c r="J441">
        <v>3</v>
      </c>
      <c r="K441">
        <v>15</v>
      </c>
      <c r="L441" t="s">
        <v>40</v>
      </c>
      <c r="M441" t="s">
        <v>50</v>
      </c>
      <c r="N441" t="s">
        <v>60</v>
      </c>
      <c r="O441">
        <v>4</v>
      </c>
      <c r="P441">
        <v>2</v>
      </c>
      <c r="Q441">
        <v>8</v>
      </c>
      <c r="R441" s="4" t="str">
        <f>IF(Table5[[#This Row],[Residual Risk Score]]&lt;Table5[[#This Row],[Initial Risk Score]],"Reduced","No Reduction")</f>
        <v>Reduced</v>
      </c>
      <c r="S441" t="s">
        <v>28</v>
      </c>
      <c r="T441" t="s">
        <v>32</v>
      </c>
      <c r="U441" t="s">
        <v>96</v>
      </c>
      <c r="V441" s="2">
        <v>46515</v>
      </c>
    </row>
    <row r="442" spans="1:22" x14ac:dyDescent="0.25">
      <c r="A442" t="s">
        <v>576</v>
      </c>
      <c r="B442" s="2">
        <v>46098</v>
      </c>
      <c r="C442" t="s">
        <v>22</v>
      </c>
      <c r="D442" t="s">
        <v>65</v>
      </c>
      <c r="E442" t="s">
        <v>24</v>
      </c>
      <c r="F442" t="s">
        <v>25</v>
      </c>
      <c r="G442" t="s">
        <v>26</v>
      </c>
      <c r="H442" t="s">
        <v>223</v>
      </c>
      <c r="I442">
        <v>3</v>
      </c>
      <c r="J442">
        <v>4</v>
      </c>
      <c r="K442">
        <v>12</v>
      </c>
      <c r="L442" t="s">
        <v>40</v>
      </c>
      <c r="M442" t="s">
        <v>95</v>
      </c>
      <c r="N442" t="s">
        <v>30</v>
      </c>
      <c r="O442">
        <v>2</v>
      </c>
      <c r="P442">
        <v>4</v>
      </c>
      <c r="Q442">
        <v>8</v>
      </c>
      <c r="R442" s="4" t="str">
        <f>IF(Table5[[#This Row],[Residual Risk Score]]&lt;Table5[[#This Row],[Initial Risk Score]],"Reduced","No Reduction")</f>
        <v>Reduced</v>
      </c>
      <c r="S442" t="s">
        <v>28</v>
      </c>
      <c r="T442" t="s">
        <v>32</v>
      </c>
      <c r="U442" t="s">
        <v>96</v>
      </c>
      <c r="V442" s="2">
        <v>46463</v>
      </c>
    </row>
    <row r="443" spans="1:22" x14ac:dyDescent="0.25">
      <c r="A443" t="s">
        <v>577</v>
      </c>
      <c r="B443" s="2">
        <v>46125</v>
      </c>
      <c r="C443" t="s">
        <v>22</v>
      </c>
      <c r="D443" t="s">
        <v>55</v>
      </c>
      <c r="E443" t="s">
        <v>109</v>
      </c>
      <c r="F443" t="s">
        <v>110</v>
      </c>
      <c r="G443" t="s">
        <v>111</v>
      </c>
      <c r="H443" t="s">
        <v>143</v>
      </c>
      <c r="I443">
        <v>4</v>
      </c>
      <c r="J443">
        <v>5</v>
      </c>
      <c r="K443">
        <v>20</v>
      </c>
      <c r="L443" t="s">
        <v>94</v>
      </c>
      <c r="M443" t="s">
        <v>29</v>
      </c>
      <c r="N443" t="s">
        <v>51</v>
      </c>
      <c r="O443">
        <v>4</v>
      </c>
      <c r="P443">
        <v>5</v>
      </c>
      <c r="Q443">
        <v>20</v>
      </c>
      <c r="R443" s="4" t="str">
        <f>IF(Table5[[#This Row],[Residual Risk Score]]&lt;Table5[[#This Row],[Initial Risk Score]],"Reduced","No Reduction")</f>
        <v>No Reduction</v>
      </c>
      <c r="S443" t="s">
        <v>94</v>
      </c>
      <c r="T443" t="s">
        <v>61</v>
      </c>
      <c r="U443" t="s">
        <v>33</v>
      </c>
      <c r="V443" s="2">
        <v>46490</v>
      </c>
    </row>
    <row r="444" spans="1:22" x14ac:dyDescent="0.25">
      <c r="A444" t="s">
        <v>578</v>
      </c>
      <c r="B444" s="2">
        <v>46026</v>
      </c>
      <c r="C444" t="s">
        <v>73</v>
      </c>
      <c r="D444" t="s">
        <v>80</v>
      </c>
      <c r="E444" t="s">
        <v>75</v>
      </c>
      <c r="F444" t="s">
        <v>76</v>
      </c>
      <c r="G444" t="s">
        <v>73</v>
      </c>
      <c r="H444" t="s">
        <v>116</v>
      </c>
      <c r="I444">
        <v>5</v>
      </c>
      <c r="J444">
        <v>5</v>
      </c>
      <c r="K444">
        <v>25</v>
      </c>
      <c r="L444" t="s">
        <v>94</v>
      </c>
      <c r="M444" t="s">
        <v>95</v>
      </c>
      <c r="N444" t="s">
        <v>51</v>
      </c>
      <c r="O444">
        <v>4</v>
      </c>
      <c r="P444">
        <v>5</v>
      </c>
      <c r="Q444">
        <v>20</v>
      </c>
      <c r="R444" s="4" t="str">
        <f>IF(Table5[[#This Row],[Residual Risk Score]]&lt;Table5[[#This Row],[Initial Risk Score]],"Reduced","No Reduction")</f>
        <v>Reduced</v>
      </c>
      <c r="S444" t="s">
        <v>94</v>
      </c>
      <c r="T444" t="s">
        <v>43</v>
      </c>
      <c r="U444" t="s">
        <v>96</v>
      </c>
      <c r="V444" s="2">
        <v>46756</v>
      </c>
    </row>
    <row r="445" spans="1:22" x14ac:dyDescent="0.25">
      <c r="A445" t="s">
        <v>579</v>
      </c>
      <c r="B445" s="2">
        <v>45695</v>
      </c>
      <c r="C445" t="s">
        <v>64</v>
      </c>
      <c r="D445" t="s">
        <v>74</v>
      </c>
      <c r="E445" t="s">
        <v>174</v>
      </c>
      <c r="F445" t="s">
        <v>175</v>
      </c>
      <c r="G445" t="s">
        <v>176</v>
      </c>
      <c r="H445" t="s">
        <v>68</v>
      </c>
      <c r="I445">
        <v>3</v>
      </c>
      <c r="J445">
        <v>2</v>
      </c>
      <c r="K445">
        <v>6</v>
      </c>
      <c r="L445" t="s">
        <v>28</v>
      </c>
      <c r="M445" t="s">
        <v>78</v>
      </c>
      <c r="N445" t="s">
        <v>42</v>
      </c>
      <c r="O445">
        <v>1</v>
      </c>
      <c r="P445">
        <v>1</v>
      </c>
      <c r="Q445">
        <v>1</v>
      </c>
      <c r="R445" t="str">
        <f>IF(Table5[[#This Row],[Residual Risk Score]]&gt;Table5[[#This Row],[Initial Risk Score]],"NO Reduction","Reduced")</f>
        <v>Reduced</v>
      </c>
      <c r="S445" t="s">
        <v>31</v>
      </c>
      <c r="T445" t="s">
        <v>43</v>
      </c>
      <c r="U445" t="s">
        <v>52</v>
      </c>
      <c r="V445" s="2">
        <v>46060</v>
      </c>
    </row>
    <row r="446" spans="1:22" x14ac:dyDescent="0.25">
      <c r="A446" t="s">
        <v>580</v>
      </c>
      <c r="B446" s="2">
        <v>45836</v>
      </c>
      <c r="C446" t="s">
        <v>54</v>
      </c>
      <c r="D446" t="s">
        <v>108</v>
      </c>
      <c r="E446" t="s">
        <v>56</v>
      </c>
      <c r="F446" t="s">
        <v>57</v>
      </c>
      <c r="G446" t="s">
        <v>58</v>
      </c>
      <c r="H446" t="s">
        <v>59</v>
      </c>
      <c r="I446">
        <v>5</v>
      </c>
      <c r="J446">
        <v>2</v>
      </c>
      <c r="K446">
        <v>10</v>
      </c>
      <c r="L446" t="s">
        <v>40</v>
      </c>
      <c r="M446" t="s">
        <v>83</v>
      </c>
      <c r="N446" t="s">
        <v>70</v>
      </c>
      <c r="O446">
        <v>4</v>
      </c>
      <c r="P446">
        <v>2</v>
      </c>
      <c r="Q446">
        <v>8</v>
      </c>
      <c r="R446" t="str">
        <f>IF(Table5[[#This Row],[Residual Risk Score]]&gt;Table5[[#This Row],[Initial Risk Score]],"NO Reduction","Reduced")</f>
        <v>Reduced</v>
      </c>
      <c r="S446" t="s">
        <v>28</v>
      </c>
      <c r="T446" t="s">
        <v>43</v>
      </c>
      <c r="U446" t="s">
        <v>96</v>
      </c>
      <c r="V446" s="2">
        <v>46016</v>
      </c>
    </row>
    <row r="447" spans="1:22" x14ac:dyDescent="0.25">
      <c r="A447" t="s">
        <v>581</v>
      </c>
      <c r="B447" s="2">
        <v>46219</v>
      </c>
      <c r="C447" t="s">
        <v>35</v>
      </c>
      <c r="D447" t="s">
        <v>108</v>
      </c>
      <c r="E447" t="s">
        <v>36</v>
      </c>
      <c r="F447" t="s">
        <v>37</v>
      </c>
      <c r="G447" t="s">
        <v>38</v>
      </c>
      <c r="H447" t="s">
        <v>113</v>
      </c>
      <c r="I447">
        <v>3</v>
      </c>
      <c r="J447">
        <v>4</v>
      </c>
      <c r="K447">
        <v>12</v>
      </c>
      <c r="L447" t="s">
        <v>40</v>
      </c>
      <c r="M447" t="s">
        <v>95</v>
      </c>
      <c r="N447" t="s">
        <v>42</v>
      </c>
      <c r="O447">
        <v>3</v>
      </c>
      <c r="P447">
        <v>3</v>
      </c>
      <c r="Q447">
        <v>9</v>
      </c>
      <c r="R447" s="4" t="str">
        <f>IF(Table5[[#This Row],[Residual Risk Score]]&lt;Table5[[#This Row],[Initial Risk Score]],"Reduced","No Reduction")</f>
        <v>Reduced</v>
      </c>
      <c r="S447" t="s">
        <v>28</v>
      </c>
      <c r="T447" t="s">
        <v>61</v>
      </c>
      <c r="U447" t="s">
        <v>96</v>
      </c>
      <c r="V447" s="2">
        <v>46584</v>
      </c>
    </row>
    <row r="448" spans="1:22" x14ac:dyDescent="0.25">
      <c r="A448" t="s">
        <v>582</v>
      </c>
      <c r="B448" s="2">
        <v>46130</v>
      </c>
      <c r="C448" t="s">
        <v>108</v>
      </c>
      <c r="D448" t="s">
        <v>74</v>
      </c>
      <c r="E448" t="s">
        <v>162</v>
      </c>
      <c r="F448" t="s">
        <v>163</v>
      </c>
      <c r="G448" t="s">
        <v>164</v>
      </c>
      <c r="H448" t="s">
        <v>219</v>
      </c>
      <c r="I448">
        <v>4</v>
      </c>
      <c r="J448">
        <v>3</v>
      </c>
      <c r="K448">
        <v>12</v>
      </c>
      <c r="L448" t="s">
        <v>40</v>
      </c>
      <c r="M448" t="s">
        <v>50</v>
      </c>
      <c r="N448" t="s">
        <v>51</v>
      </c>
      <c r="O448">
        <v>3</v>
      </c>
      <c r="P448">
        <v>3</v>
      </c>
      <c r="Q448">
        <v>9</v>
      </c>
      <c r="R448" s="4" t="str">
        <f>IF(Table5[[#This Row],[Residual Risk Score]]&lt;Table5[[#This Row],[Initial Risk Score]],"Reduced","No Reduction")</f>
        <v>Reduced</v>
      </c>
      <c r="S448" t="s">
        <v>28</v>
      </c>
      <c r="T448" t="s">
        <v>32</v>
      </c>
      <c r="U448" t="s">
        <v>33</v>
      </c>
      <c r="V448" s="2">
        <v>46495</v>
      </c>
    </row>
    <row r="449" spans="1:22" x14ac:dyDescent="0.25">
      <c r="A449" t="s">
        <v>583</v>
      </c>
      <c r="B449" s="2">
        <v>45724</v>
      </c>
      <c r="C449" t="s">
        <v>35</v>
      </c>
      <c r="D449" t="s">
        <v>98</v>
      </c>
      <c r="E449" t="s">
        <v>36</v>
      </c>
      <c r="F449" t="s">
        <v>37</v>
      </c>
      <c r="G449" t="s">
        <v>38</v>
      </c>
      <c r="H449" t="s">
        <v>39</v>
      </c>
      <c r="I449">
        <v>2</v>
      </c>
      <c r="J449">
        <v>3</v>
      </c>
      <c r="K449">
        <v>6</v>
      </c>
      <c r="L449" t="s">
        <v>28</v>
      </c>
      <c r="M449" t="s">
        <v>83</v>
      </c>
      <c r="N449" t="s">
        <v>106</v>
      </c>
      <c r="O449">
        <v>1</v>
      </c>
      <c r="P449">
        <v>2</v>
      </c>
      <c r="Q449">
        <v>2</v>
      </c>
      <c r="R449" s="4" t="str">
        <f>IF(Table5[[#This Row],[Residual Risk Score]]&lt;Table5[[#This Row],[Initial Risk Score]],"Reduced","No Reduction")</f>
        <v>Reduced</v>
      </c>
      <c r="S449" t="s">
        <v>31</v>
      </c>
      <c r="T449" t="s">
        <v>61</v>
      </c>
      <c r="U449" t="s">
        <v>96</v>
      </c>
      <c r="V449" s="2">
        <v>46454</v>
      </c>
    </row>
    <row r="450" spans="1:22" x14ac:dyDescent="0.25">
      <c r="A450" t="s">
        <v>584</v>
      </c>
      <c r="B450" s="2">
        <v>45747</v>
      </c>
      <c r="C450" t="s">
        <v>108</v>
      </c>
      <c r="D450" t="s">
        <v>55</v>
      </c>
      <c r="E450" t="s">
        <v>162</v>
      </c>
      <c r="F450" t="s">
        <v>163</v>
      </c>
      <c r="G450" t="s">
        <v>164</v>
      </c>
      <c r="H450" t="s">
        <v>219</v>
      </c>
      <c r="I450">
        <v>5</v>
      </c>
      <c r="J450">
        <v>5</v>
      </c>
      <c r="K450">
        <v>25</v>
      </c>
      <c r="L450" t="s">
        <v>94</v>
      </c>
      <c r="M450" t="s">
        <v>29</v>
      </c>
      <c r="N450" t="s">
        <v>30</v>
      </c>
      <c r="O450">
        <v>4</v>
      </c>
      <c r="P450">
        <v>5</v>
      </c>
      <c r="Q450">
        <v>20</v>
      </c>
      <c r="R450" t="str">
        <f>IF(Table5[[#This Row],[Residual Risk Score]]&gt;Table5[[#This Row],[Initial Risk Score]],"NO Reduction","Reduced")</f>
        <v>Reduced</v>
      </c>
      <c r="S450" t="s">
        <v>94</v>
      </c>
      <c r="T450" t="s">
        <v>61</v>
      </c>
      <c r="U450" t="s">
        <v>96</v>
      </c>
      <c r="V450" s="2">
        <v>45927</v>
      </c>
    </row>
    <row r="451" spans="1:22" x14ac:dyDescent="0.25">
      <c r="A451" t="s">
        <v>585</v>
      </c>
      <c r="B451" s="2">
        <v>45846</v>
      </c>
      <c r="C451" t="s">
        <v>45</v>
      </c>
      <c r="D451" t="s">
        <v>108</v>
      </c>
      <c r="E451" t="s">
        <v>46</v>
      </c>
      <c r="F451" t="s">
        <v>47</v>
      </c>
      <c r="G451" t="s">
        <v>48</v>
      </c>
      <c r="H451" t="s">
        <v>39</v>
      </c>
      <c r="I451">
        <v>3</v>
      </c>
      <c r="J451">
        <v>4</v>
      </c>
      <c r="K451">
        <v>12</v>
      </c>
      <c r="L451" t="s">
        <v>40</v>
      </c>
      <c r="M451" t="s">
        <v>50</v>
      </c>
      <c r="N451" t="s">
        <v>70</v>
      </c>
      <c r="O451">
        <v>1</v>
      </c>
      <c r="P451">
        <v>4</v>
      </c>
      <c r="Q451">
        <v>4</v>
      </c>
      <c r="R451" t="str">
        <f>IF(Table5[[#This Row],[Residual Risk Score]]&gt;Table5[[#This Row],[Initial Risk Score]],"NO Reduction","Reduced")</f>
        <v>Reduced</v>
      </c>
      <c r="S451" t="s">
        <v>31</v>
      </c>
      <c r="T451" t="s">
        <v>32</v>
      </c>
      <c r="U451" t="s">
        <v>96</v>
      </c>
      <c r="V451" s="2">
        <v>46211</v>
      </c>
    </row>
    <row r="452" spans="1:22" x14ac:dyDescent="0.25">
      <c r="A452" t="s">
        <v>586</v>
      </c>
      <c r="B452" s="2">
        <v>46221</v>
      </c>
      <c r="C452" t="s">
        <v>22</v>
      </c>
      <c r="D452" t="s">
        <v>98</v>
      </c>
      <c r="E452" t="s">
        <v>99</v>
      </c>
      <c r="F452" t="s">
        <v>100</v>
      </c>
      <c r="G452" t="s">
        <v>35</v>
      </c>
      <c r="H452" t="s">
        <v>93</v>
      </c>
      <c r="I452">
        <v>2</v>
      </c>
      <c r="J452">
        <v>4</v>
      </c>
      <c r="K452">
        <v>8</v>
      </c>
      <c r="L452" t="s">
        <v>28</v>
      </c>
      <c r="M452" t="s">
        <v>41</v>
      </c>
      <c r="N452" t="s">
        <v>51</v>
      </c>
      <c r="O452">
        <v>1</v>
      </c>
      <c r="P452">
        <v>3</v>
      </c>
      <c r="Q452">
        <v>3</v>
      </c>
      <c r="R452" s="4" t="str">
        <f>IF(Table5[[#This Row],[Residual Risk Score]]&lt;Table5[[#This Row],[Initial Risk Score]],"Reduced","No Reduction")</f>
        <v>Reduced</v>
      </c>
      <c r="S452" t="s">
        <v>31</v>
      </c>
      <c r="T452" t="s">
        <v>32</v>
      </c>
      <c r="U452" t="s">
        <v>62</v>
      </c>
      <c r="V452" s="2">
        <v>46586</v>
      </c>
    </row>
    <row r="453" spans="1:22" x14ac:dyDescent="0.25">
      <c r="A453" t="s">
        <v>587</v>
      </c>
      <c r="B453" s="2">
        <v>45659</v>
      </c>
      <c r="C453" t="s">
        <v>108</v>
      </c>
      <c r="D453" t="s">
        <v>65</v>
      </c>
      <c r="E453" t="s">
        <v>162</v>
      </c>
      <c r="F453" t="s">
        <v>163</v>
      </c>
      <c r="G453" t="s">
        <v>164</v>
      </c>
      <c r="H453" t="s">
        <v>68</v>
      </c>
      <c r="I453">
        <v>4</v>
      </c>
      <c r="J453">
        <v>2</v>
      </c>
      <c r="K453">
        <v>8</v>
      </c>
      <c r="L453" t="s">
        <v>28</v>
      </c>
      <c r="M453" t="s">
        <v>69</v>
      </c>
      <c r="N453" t="s">
        <v>89</v>
      </c>
      <c r="O453">
        <v>2</v>
      </c>
      <c r="P453">
        <v>2</v>
      </c>
      <c r="Q453">
        <v>4</v>
      </c>
      <c r="R453" t="str">
        <f>IF(Table5[[#This Row],[Residual Risk Score]]&gt;Table5[[#This Row],[Initial Risk Score]],"NO Reduction","Reduced")</f>
        <v>Reduced</v>
      </c>
      <c r="S453" t="s">
        <v>31</v>
      </c>
      <c r="T453" t="s">
        <v>32</v>
      </c>
      <c r="U453" t="s">
        <v>71</v>
      </c>
      <c r="V453" s="2">
        <v>45839</v>
      </c>
    </row>
    <row r="454" spans="1:22" x14ac:dyDescent="0.25">
      <c r="A454" t="s">
        <v>588</v>
      </c>
      <c r="B454" s="2">
        <v>46211</v>
      </c>
      <c r="C454" t="s">
        <v>22</v>
      </c>
      <c r="D454" t="s">
        <v>108</v>
      </c>
      <c r="E454" t="s">
        <v>109</v>
      </c>
      <c r="F454" t="s">
        <v>110</v>
      </c>
      <c r="G454" t="s">
        <v>111</v>
      </c>
      <c r="H454" t="s">
        <v>68</v>
      </c>
      <c r="I454">
        <v>5</v>
      </c>
      <c r="J454">
        <v>5</v>
      </c>
      <c r="K454">
        <v>25</v>
      </c>
      <c r="L454" t="s">
        <v>94</v>
      </c>
      <c r="M454" t="s">
        <v>50</v>
      </c>
      <c r="N454" t="s">
        <v>102</v>
      </c>
      <c r="O454">
        <v>5</v>
      </c>
      <c r="P454">
        <v>4</v>
      </c>
      <c r="Q454">
        <v>20</v>
      </c>
      <c r="R454" s="4" t="str">
        <f>IF(Table5[[#This Row],[Residual Risk Score]]&lt;Table5[[#This Row],[Initial Risk Score]],"Reduced","No Reduction")</f>
        <v>Reduced</v>
      </c>
      <c r="S454" t="s">
        <v>94</v>
      </c>
      <c r="T454" t="s">
        <v>32</v>
      </c>
      <c r="U454" t="s">
        <v>52</v>
      </c>
      <c r="V454" s="2">
        <v>46391</v>
      </c>
    </row>
    <row r="455" spans="1:22" x14ac:dyDescent="0.25">
      <c r="A455" t="s">
        <v>589</v>
      </c>
      <c r="B455" s="2">
        <v>46261</v>
      </c>
      <c r="C455" t="s">
        <v>85</v>
      </c>
      <c r="D455" t="s">
        <v>23</v>
      </c>
      <c r="E455" t="s">
        <v>140</v>
      </c>
      <c r="F455" t="s">
        <v>141</v>
      </c>
      <c r="G455" t="s">
        <v>142</v>
      </c>
      <c r="H455" t="s">
        <v>68</v>
      </c>
      <c r="I455">
        <v>5</v>
      </c>
      <c r="J455">
        <v>4</v>
      </c>
      <c r="K455">
        <v>20</v>
      </c>
      <c r="L455" t="s">
        <v>94</v>
      </c>
      <c r="M455" t="s">
        <v>69</v>
      </c>
      <c r="N455" t="s">
        <v>30</v>
      </c>
      <c r="O455">
        <v>4</v>
      </c>
      <c r="P455">
        <v>4</v>
      </c>
      <c r="Q455">
        <v>16</v>
      </c>
      <c r="R455" s="4" t="str">
        <f>IF(Table5[[#This Row],[Residual Risk Score]]&lt;Table5[[#This Row],[Initial Risk Score]],"Reduced","No Reduction")</f>
        <v>Reduced</v>
      </c>
      <c r="S455" t="s">
        <v>40</v>
      </c>
      <c r="T455" t="s">
        <v>32</v>
      </c>
      <c r="U455" t="s">
        <v>96</v>
      </c>
      <c r="V455" s="2">
        <v>46441</v>
      </c>
    </row>
    <row r="456" spans="1:22" x14ac:dyDescent="0.25">
      <c r="A456" t="s">
        <v>590</v>
      </c>
      <c r="B456" s="2">
        <v>45992</v>
      </c>
      <c r="C456" t="s">
        <v>85</v>
      </c>
      <c r="D456" t="s">
        <v>65</v>
      </c>
      <c r="E456" t="s">
        <v>86</v>
      </c>
      <c r="F456" t="s">
        <v>87</v>
      </c>
      <c r="G456" t="s">
        <v>48</v>
      </c>
      <c r="H456" t="s">
        <v>88</v>
      </c>
      <c r="I456">
        <v>2</v>
      </c>
      <c r="J456">
        <v>3</v>
      </c>
      <c r="K456">
        <v>6</v>
      </c>
      <c r="L456" t="s">
        <v>28</v>
      </c>
      <c r="M456" t="s">
        <v>78</v>
      </c>
      <c r="N456" t="s">
        <v>124</v>
      </c>
      <c r="O456">
        <v>1</v>
      </c>
      <c r="P456">
        <v>2</v>
      </c>
      <c r="Q456">
        <v>2</v>
      </c>
      <c r="R456" s="4" t="str">
        <f>IF(Table5[[#This Row],[Residual Risk Score]]&lt;Table5[[#This Row],[Initial Risk Score]],"Reduced","No Reduction")</f>
        <v>Reduced</v>
      </c>
      <c r="S456" t="s">
        <v>31</v>
      </c>
      <c r="T456" t="s">
        <v>61</v>
      </c>
      <c r="U456" t="s">
        <v>52</v>
      </c>
      <c r="V456" s="2">
        <v>46722</v>
      </c>
    </row>
    <row r="457" spans="1:22" x14ac:dyDescent="0.25">
      <c r="A457" t="s">
        <v>591</v>
      </c>
      <c r="B457" s="2">
        <v>45726</v>
      </c>
      <c r="C457" t="s">
        <v>73</v>
      </c>
      <c r="D457" t="s">
        <v>108</v>
      </c>
      <c r="E457" t="s">
        <v>75</v>
      </c>
      <c r="F457" t="s">
        <v>76</v>
      </c>
      <c r="G457" t="s">
        <v>73</v>
      </c>
      <c r="H457" t="s">
        <v>116</v>
      </c>
      <c r="I457">
        <v>4</v>
      </c>
      <c r="J457">
        <v>5</v>
      </c>
      <c r="K457">
        <v>20</v>
      </c>
      <c r="L457" t="s">
        <v>94</v>
      </c>
      <c r="M457" t="s">
        <v>69</v>
      </c>
      <c r="N457" t="s">
        <v>102</v>
      </c>
      <c r="O457">
        <v>3</v>
      </c>
      <c r="P457">
        <v>5</v>
      </c>
      <c r="Q457">
        <v>15</v>
      </c>
      <c r="R457" t="str">
        <f>IF(Table5[[#This Row],[Residual Risk Score]]&gt;Table5[[#This Row],[Initial Risk Score]],"NO Reduction","Reduced")</f>
        <v>Reduced</v>
      </c>
      <c r="S457" t="s">
        <v>40</v>
      </c>
      <c r="T457" t="s">
        <v>32</v>
      </c>
      <c r="U457" t="s">
        <v>96</v>
      </c>
      <c r="V457" s="2">
        <v>46091</v>
      </c>
    </row>
    <row r="458" spans="1:22" x14ac:dyDescent="0.25">
      <c r="A458" t="s">
        <v>592</v>
      </c>
      <c r="B458" s="2">
        <v>46333</v>
      </c>
      <c r="C458" t="s">
        <v>22</v>
      </c>
      <c r="D458" t="s">
        <v>55</v>
      </c>
      <c r="E458" t="s">
        <v>99</v>
      </c>
      <c r="F458" t="s">
        <v>100</v>
      </c>
      <c r="G458" t="s">
        <v>35</v>
      </c>
      <c r="H458" t="s">
        <v>93</v>
      </c>
      <c r="I458">
        <v>4</v>
      </c>
      <c r="J458">
        <v>5</v>
      </c>
      <c r="K458">
        <v>20</v>
      </c>
      <c r="L458" t="s">
        <v>94</v>
      </c>
      <c r="M458" t="s">
        <v>101</v>
      </c>
      <c r="N458" t="s">
        <v>102</v>
      </c>
      <c r="O458">
        <v>3</v>
      </c>
      <c r="P458">
        <v>4</v>
      </c>
      <c r="Q458">
        <v>12</v>
      </c>
      <c r="R458" s="4" t="str">
        <f>IF(Table5[[#This Row],[Residual Risk Score]]&lt;Table5[[#This Row],[Initial Risk Score]],"Reduced","No Reduction")</f>
        <v>Reduced</v>
      </c>
      <c r="S458" t="s">
        <v>40</v>
      </c>
      <c r="T458" t="s">
        <v>61</v>
      </c>
      <c r="U458" t="s">
        <v>96</v>
      </c>
      <c r="V458" s="2">
        <v>46513</v>
      </c>
    </row>
    <row r="459" spans="1:22" x14ac:dyDescent="0.25">
      <c r="A459" t="s">
        <v>593</v>
      </c>
      <c r="B459" s="2">
        <v>45813</v>
      </c>
      <c r="C459" t="s">
        <v>108</v>
      </c>
      <c r="D459" t="s">
        <v>55</v>
      </c>
      <c r="E459" t="s">
        <v>149</v>
      </c>
      <c r="F459" t="s">
        <v>150</v>
      </c>
      <c r="G459" t="s">
        <v>151</v>
      </c>
      <c r="H459" t="s">
        <v>225</v>
      </c>
      <c r="I459">
        <v>3</v>
      </c>
      <c r="J459">
        <v>4</v>
      </c>
      <c r="K459">
        <v>12</v>
      </c>
      <c r="L459" t="s">
        <v>40</v>
      </c>
      <c r="M459" t="s">
        <v>41</v>
      </c>
      <c r="N459" t="s">
        <v>51</v>
      </c>
      <c r="O459">
        <v>2</v>
      </c>
      <c r="P459">
        <v>4</v>
      </c>
      <c r="Q459">
        <v>8</v>
      </c>
      <c r="R459" t="str">
        <f>IF(Table5[[#This Row],[Residual Risk Score]]&gt;Table5[[#This Row],[Initial Risk Score]],"NO Reduction","Reduced")</f>
        <v>Reduced</v>
      </c>
      <c r="S459" t="s">
        <v>28</v>
      </c>
      <c r="T459" t="s">
        <v>43</v>
      </c>
      <c r="U459" t="s">
        <v>52</v>
      </c>
      <c r="V459" s="2">
        <v>46178</v>
      </c>
    </row>
    <row r="460" spans="1:22" x14ac:dyDescent="0.25">
      <c r="A460" t="s">
        <v>594</v>
      </c>
      <c r="B460" s="2">
        <v>46207</v>
      </c>
      <c r="C460" t="s">
        <v>22</v>
      </c>
      <c r="D460" t="s">
        <v>80</v>
      </c>
      <c r="E460" t="s">
        <v>99</v>
      </c>
      <c r="F460" t="s">
        <v>100</v>
      </c>
      <c r="G460" t="s">
        <v>35</v>
      </c>
      <c r="H460" t="s">
        <v>68</v>
      </c>
      <c r="I460">
        <v>2</v>
      </c>
      <c r="J460">
        <v>3</v>
      </c>
      <c r="K460">
        <v>6</v>
      </c>
      <c r="L460" t="s">
        <v>28</v>
      </c>
      <c r="M460" t="s">
        <v>50</v>
      </c>
      <c r="N460" t="s">
        <v>89</v>
      </c>
      <c r="O460">
        <v>1</v>
      </c>
      <c r="P460">
        <v>3</v>
      </c>
      <c r="Q460">
        <v>3</v>
      </c>
      <c r="R460" s="4" t="str">
        <f>IF(Table5[[#This Row],[Residual Risk Score]]&lt;Table5[[#This Row],[Initial Risk Score]],"Reduced","No Reduction")</f>
        <v>Reduced</v>
      </c>
      <c r="S460" t="s">
        <v>31</v>
      </c>
      <c r="T460" t="s">
        <v>61</v>
      </c>
      <c r="U460" t="s">
        <v>33</v>
      </c>
      <c r="V460" s="2">
        <v>46572</v>
      </c>
    </row>
    <row r="461" spans="1:22" x14ac:dyDescent="0.25">
      <c r="A461" t="s">
        <v>595</v>
      </c>
      <c r="B461" s="2">
        <v>45860</v>
      </c>
      <c r="C461" t="s">
        <v>22</v>
      </c>
      <c r="D461" t="s">
        <v>23</v>
      </c>
      <c r="E461" t="s">
        <v>81</v>
      </c>
      <c r="F461" t="s">
        <v>82</v>
      </c>
      <c r="G461" t="s">
        <v>81</v>
      </c>
      <c r="H461" t="s">
        <v>127</v>
      </c>
      <c r="I461">
        <v>2</v>
      </c>
      <c r="J461">
        <v>2</v>
      </c>
      <c r="K461">
        <v>4</v>
      </c>
      <c r="L461" t="s">
        <v>31</v>
      </c>
      <c r="M461" t="s">
        <v>69</v>
      </c>
      <c r="N461" t="s">
        <v>60</v>
      </c>
      <c r="O461">
        <v>1</v>
      </c>
      <c r="P461">
        <v>1</v>
      </c>
      <c r="Q461">
        <v>1</v>
      </c>
      <c r="R461" t="str">
        <f>IF(Table5[[#This Row],[Residual Risk Score]]&gt;Table5[[#This Row],[Initial Risk Score]],"NO Reduction","Reduced")</f>
        <v>Reduced</v>
      </c>
      <c r="S461" t="s">
        <v>31</v>
      </c>
      <c r="T461" t="s">
        <v>61</v>
      </c>
      <c r="U461" t="s">
        <v>96</v>
      </c>
      <c r="V461" s="2">
        <v>46040</v>
      </c>
    </row>
    <row r="462" spans="1:22" x14ac:dyDescent="0.25">
      <c r="A462" t="s">
        <v>596</v>
      </c>
      <c r="B462" s="2">
        <v>46134</v>
      </c>
      <c r="C462" t="s">
        <v>108</v>
      </c>
      <c r="D462" t="s">
        <v>65</v>
      </c>
      <c r="E462" t="s">
        <v>162</v>
      </c>
      <c r="F462" t="s">
        <v>163</v>
      </c>
      <c r="G462" t="s">
        <v>164</v>
      </c>
      <c r="H462" t="s">
        <v>68</v>
      </c>
      <c r="I462">
        <v>5</v>
      </c>
      <c r="J462">
        <v>2</v>
      </c>
      <c r="K462">
        <v>10</v>
      </c>
      <c r="L462" t="s">
        <v>40</v>
      </c>
      <c r="M462" t="s">
        <v>95</v>
      </c>
      <c r="N462" t="s">
        <v>89</v>
      </c>
      <c r="O462">
        <v>4</v>
      </c>
      <c r="P462">
        <v>2</v>
      </c>
      <c r="Q462">
        <v>8</v>
      </c>
      <c r="R462" s="4" t="str">
        <f>IF(Table5[[#This Row],[Residual Risk Score]]&lt;Table5[[#This Row],[Initial Risk Score]],"Reduced","No Reduction")</f>
        <v>Reduced</v>
      </c>
      <c r="S462" t="s">
        <v>28</v>
      </c>
      <c r="T462" t="s">
        <v>43</v>
      </c>
      <c r="U462" t="s">
        <v>96</v>
      </c>
      <c r="V462" s="2">
        <v>46499</v>
      </c>
    </row>
    <row r="463" spans="1:22" x14ac:dyDescent="0.25">
      <c r="A463" t="s">
        <v>597</v>
      </c>
      <c r="B463" s="2">
        <v>46386</v>
      </c>
      <c r="C463" t="s">
        <v>22</v>
      </c>
      <c r="D463" t="s">
        <v>23</v>
      </c>
      <c r="E463" t="s">
        <v>99</v>
      </c>
      <c r="F463" t="s">
        <v>100</v>
      </c>
      <c r="G463" t="s">
        <v>35</v>
      </c>
      <c r="H463" t="s">
        <v>137</v>
      </c>
      <c r="I463">
        <v>2</v>
      </c>
      <c r="J463">
        <v>5</v>
      </c>
      <c r="K463">
        <v>10</v>
      </c>
      <c r="L463" t="s">
        <v>40</v>
      </c>
      <c r="M463" t="s">
        <v>78</v>
      </c>
      <c r="N463" t="s">
        <v>128</v>
      </c>
      <c r="O463">
        <v>1</v>
      </c>
      <c r="P463">
        <v>5</v>
      </c>
      <c r="Q463">
        <v>5</v>
      </c>
      <c r="R463" s="4" t="str">
        <f>IF(Table5[[#This Row],[Residual Risk Score]]&lt;Table5[[#This Row],[Initial Risk Score]],"Reduced","No Reduction")</f>
        <v>Reduced</v>
      </c>
      <c r="S463" t="s">
        <v>28</v>
      </c>
      <c r="T463" t="s">
        <v>61</v>
      </c>
      <c r="U463" t="s">
        <v>96</v>
      </c>
      <c r="V463" s="2">
        <v>46751</v>
      </c>
    </row>
    <row r="464" spans="1:22" x14ac:dyDescent="0.25">
      <c r="A464" t="s">
        <v>598</v>
      </c>
      <c r="B464" s="2">
        <v>45888</v>
      </c>
      <c r="C464" t="s">
        <v>54</v>
      </c>
      <c r="D464" t="s">
        <v>74</v>
      </c>
      <c r="E464" t="s">
        <v>56</v>
      </c>
      <c r="F464" t="s">
        <v>57</v>
      </c>
      <c r="G464" t="s">
        <v>58</v>
      </c>
      <c r="H464" t="s">
        <v>209</v>
      </c>
      <c r="I464">
        <v>5</v>
      </c>
      <c r="J464">
        <v>3</v>
      </c>
      <c r="K464">
        <v>15</v>
      </c>
      <c r="L464" t="s">
        <v>40</v>
      </c>
      <c r="M464" t="s">
        <v>69</v>
      </c>
      <c r="N464" t="s">
        <v>106</v>
      </c>
      <c r="O464">
        <v>3</v>
      </c>
      <c r="P464">
        <v>2</v>
      </c>
      <c r="Q464">
        <v>6</v>
      </c>
      <c r="R464" t="str">
        <f>IF(Table5[[#This Row],[Residual Risk Score]]&gt;Table5[[#This Row],[Initial Risk Score]],"NO Reduction","Reduced")</f>
        <v>Reduced</v>
      </c>
      <c r="S464" t="s">
        <v>28</v>
      </c>
      <c r="T464" t="s">
        <v>61</v>
      </c>
      <c r="U464" t="s">
        <v>71</v>
      </c>
      <c r="V464" s="2">
        <v>46253</v>
      </c>
    </row>
    <row r="465" spans="1:22" x14ac:dyDescent="0.25">
      <c r="A465" t="s">
        <v>599</v>
      </c>
      <c r="B465" s="2">
        <v>45914</v>
      </c>
      <c r="C465" t="s">
        <v>22</v>
      </c>
      <c r="D465" t="s">
        <v>65</v>
      </c>
      <c r="E465" t="s">
        <v>135</v>
      </c>
      <c r="F465" t="s">
        <v>136</v>
      </c>
      <c r="G465" t="s">
        <v>35</v>
      </c>
      <c r="H465" t="s">
        <v>93</v>
      </c>
      <c r="I465">
        <v>3</v>
      </c>
      <c r="J465">
        <v>3</v>
      </c>
      <c r="K465">
        <v>9</v>
      </c>
      <c r="L465" t="s">
        <v>28</v>
      </c>
      <c r="M465" t="s">
        <v>29</v>
      </c>
      <c r="N465" t="s">
        <v>51</v>
      </c>
      <c r="O465">
        <v>1</v>
      </c>
      <c r="P465">
        <v>2</v>
      </c>
      <c r="Q465">
        <v>2</v>
      </c>
      <c r="R465" s="4" t="str">
        <f>IF(Table5[[#This Row],[Residual Risk Score]]&lt;Table5[[#This Row],[Initial Risk Score]],"Reduced","No Reduction")</f>
        <v>Reduced</v>
      </c>
      <c r="S465" t="s">
        <v>31</v>
      </c>
      <c r="T465" t="s">
        <v>32</v>
      </c>
      <c r="U465" t="s">
        <v>71</v>
      </c>
      <c r="V465" s="2">
        <v>46644</v>
      </c>
    </row>
    <row r="466" spans="1:22" x14ac:dyDescent="0.25">
      <c r="A466" t="s">
        <v>600</v>
      </c>
      <c r="B466" s="2">
        <v>45950</v>
      </c>
      <c r="C466" t="s">
        <v>108</v>
      </c>
      <c r="D466" t="s">
        <v>98</v>
      </c>
      <c r="E466" t="s">
        <v>162</v>
      </c>
      <c r="F466" t="s">
        <v>163</v>
      </c>
      <c r="G466" t="s">
        <v>164</v>
      </c>
      <c r="H466" t="s">
        <v>68</v>
      </c>
      <c r="I466">
        <v>5</v>
      </c>
      <c r="J466">
        <v>2</v>
      </c>
      <c r="K466">
        <v>10</v>
      </c>
      <c r="L466" t="s">
        <v>40</v>
      </c>
      <c r="M466" t="s">
        <v>41</v>
      </c>
      <c r="N466" t="s">
        <v>30</v>
      </c>
      <c r="O466">
        <v>3</v>
      </c>
      <c r="P466">
        <v>2</v>
      </c>
      <c r="Q466">
        <v>6</v>
      </c>
      <c r="R466" t="str">
        <f>IF(Table5[[#This Row],[Residual Risk Score]]&gt;Table5[[#This Row],[Initial Risk Score]],"NO Reduction","Reduced")</f>
        <v>Reduced</v>
      </c>
      <c r="S466" t="s">
        <v>28</v>
      </c>
      <c r="T466" t="s">
        <v>32</v>
      </c>
      <c r="U466" t="s">
        <v>33</v>
      </c>
      <c r="V466" s="2">
        <v>46130</v>
      </c>
    </row>
    <row r="467" spans="1:22" x14ac:dyDescent="0.25">
      <c r="A467" t="s">
        <v>601</v>
      </c>
      <c r="B467" s="2">
        <v>46373</v>
      </c>
      <c r="C467" t="s">
        <v>45</v>
      </c>
      <c r="D467" t="s">
        <v>23</v>
      </c>
      <c r="E467" t="s">
        <v>46</v>
      </c>
      <c r="F467" t="s">
        <v>47</v>
      </c>
      <c r="G467" t="s">
        <v>48</v>
      </c>
      <c r="H467" t="s">
        <v>88</v>
      </c>
      <c r="I467">
        <v>2</v>
      </c>
      <c r="J467">
        <v>5</v>
      </c>
      <c r="K467">
        <v>10</v>
      </c>
      <c r="L467" t="s">
        <v>40</v>
      </c>
      <c r="M467" t="s">
        <v>78</v>
      </c>
      <c r="N467" t="s">
        <v>70</v>
      </c>
      <c r="O467">
        <v>2</v>
      </c>
      <c r="P467">
        <v>5</v>
      </c>
      <c r="Q467">
        <v>10</v>
      </c>
      <c r="R467" s="4" t="str">
        <f>IF(Table5[[#This Row],[Residual Risk Score]]&lt;Table5[[#This Row],[Initial Risk Score]],"Reduced","No Reduction")</f>
        <v>No Reduction</v>
      </c>
      <c r="S467" t="s">
        <v>40</v>
      </c>
      <c r="T467" t="s">
        <v>61</v>
      </c>
      <c r="U467" t="s">
        <v>71</v>
      </c>
      <c r="V467" s="2">
        <v>47103</v>
      </c>
    </row>
    <row r="468" spans="1:22" x14ac:dyDescent="0.25">
      <c r="A468" t="s">
        <v>602</v>
      </c>
      <c r="B468" s="2">
        <v>46324</v>
      </c>
      <c r="C468" t="s">
        <v>64</v>
      </c>
      <c r="D468" t="s">
        <v>23</v>
      </c>
      <c r="E468" t="s">
        <v>174</v>
      </c>
      <c r="F468" t="s">
        <v>175</v>
      </c>
      <c r="G468" t="s">
        <v>176</v>
      </c>
      <c r="H468" t="s">
        <v>68</v>
      </c>
      <c r="I468">
        <v>5</v>
      </c>
      <c r="J468">
        <v>4</v>
      </c>
      <c r="K468">
        <v>20</v>
      </c>
      <c r="L468" t="s">
        <v>94</v>
      </c>
      <c r="M468" t="s">
        <v>83</v>
      </c>
      <c r="N468" t="s">
        <v>70</v>
      </c>
      <c r="O468">
        <v>4</v>
      </c>
      <c r="P468">
        <v>3</v>
      </c>
      <c r="Q468">
        <v>12</v>
      </c>
      <c r="R468" s="4" t="str">
        <f>IF(Table5[[#This Row],[Residual Risk Score]]&lt;Table5[[#This Row],[Initial Risk Score]],"Reduced","No Reduction")</f>
        <v>Reduced</v>
      </c>
      <c r="S468" t="s">
        <v>40</v>
      </c>
      <c r="T468" t="s">
        <v>32</v>
      </c>
      <c r="U468" t="s">
        <v>96</v>
      </c>
      <c r="V468" s="2">
        <v>47054</v>
      </c>
    </row>
    <row r="469" spans="1:22" x14ac:dyDescent="0.25">
      <c r="A469" t="s">
        <v>603</v>
      </c>
      <c r="B469" s="2">
        <v>45817</v>
      </c>
      <c r="C469" t="s">
        <v>64</v>
      </c>
      <c r="D469" t="s">
        <v>23</v>
      </c>
      <c r="E469" t="s">
        <v>174</v>
      </c>
      <c r="F469" t="s">
        <v>175</v>
      </c>
      <c r="G469" t="s">
        <v>176</v>
      </c>
      <c r="H469" t="s">
        <v>201</v>
      </c>
      <c r="I469">
        <v>5</v>
      </c>
      <c r="J469">
        <v>5</v>
      </c>
      <c r="K469">
        <v>25</v>
      </c>
      <c r="L469" t="s">
        <v>94</v>
      </c>
      <c r="M469" t="s">
        <v>69</v>
      </c>
      <c r="N469" t="s">
        <v>89</v>
      </c>
      <c r="O469">
        <v>3</v>
      </c>
      <c r="P469">
        <v>5</v>
      </c>
      <c r="Q469">
        <v>15</v>
      </c>
      <c r="R469" s="4" t="str">
        <f>IF(Table5[[#This Row],[Residual Risk Score]]&lt;Table5[[#This Row],[Initial Risk Score]],"Reduced","No Reduction")</f>
        <v>Reduced</v>
      </c>
      <c r="S469" t="s">
        <v>40</v>
      </c>
      <c r="T469" t="s">
        <v>43</v>
      </c>
      <c r="U469" t="s">
        <v>52</v>
      </c>
      <c r="V469" s="2">
        <v>46182</v>
      </c>
    </row>
    <row r="470" spans="1:22" x14ac:dyDescent="0.25">
      <c r="A470" t="s">
        <v>604</v>
      </c>
      <c r="B470" s="2">
        <v>45726</v>
      </c>
      <c r="C470" t="s">
        <v>108</v>
      </c>
      <c r="D470" t="s">
        <v>74</v>
      </c>
      <c r="E470" t="s">
        <v>149</v>
      </c>
      <c r="F470" t="s">
        <v>150</v>
      </c>
      <c r="G470" t="s">
        <v>151</v>
      </c>
      <c r="H470" t="s">
        <v>68</v>
      </c>
      <c r="I470">
        <v>4</v>
      </c>
      <c r="J470">
        <v>2</v>
      </c>
      <c r="K470">
        <v>8</v>
      </c>
      <c r="L470" t="s">
        <v>28</v>
      </c>
      <c r="M470" t="s">
        <v>95</v>
      </c>
      <c r="N470" t="s">
        <v>124</v>
      </c>
      <c r="O470">
        <v>3</v>
      </c>
      <c r="P470">
        <v>1</v>
      </c>
      <c r="Q470">
        <v>3</v>
      </c>
      <c r="R470" s="4" t="str">
        <f>IF(Table5[[#This Row],[Residual Risk Score]]&lt;Table5[[#This Row],[Initial Risk Score]],"Reduced","No Reduction")</f>
        <v>Reduced</v>
      </c>
      <c r="S470" t="s">
        <v>31</v>
      </c>
      <c r="T470" t="s">
        <v>61</v>
      </c>
      <c r="U470" t="s">
        <v>52</v>
      </c>
      <c r="V470" s="2">
        <v>46091</v>
      </c>
    </row>
    <row r="471" spans="1:22" x14ac:dyDescent="0.25">
      <c r="A471" t="s">
        <v>605</v>
      </c>
      <c r="B471" s="2">
        <v>45913</v>
      </c>
      <c r="C471" t="s">
        <v>22</v>
      </c>
      <c r="D471" t="s">
        <v>74</v>
      </c>
      <c r="E471" t="s">
        <v>24</v>
      </c>
      <c r="F471" t="s">
        <v>25</v>
      </c>
      <c r="G471" t="s">
        <v>26</v>
      </c>
      <c r="H471" t="s">
        <v>27</v>
      </c>
      <c r="I471">
        <v>4</v>
      </c>
      <c r="J471">
        <v>5</v>
      </c>
      <c r="K471">
        <v>20</v>
      </c>
      <c r="L471" t="s">
        <v>94</v>
      </c>
      <c r="M471" t="s">
        <v>41</v>
      </c>
      <c r="N471" t="s">
        <v>102</v>
      </c>
      <c r="O471">
        <v>3</v>
      </c>
      <c r="P471">
        <v>5</v>
      </c>
      <c r="Q471">
        <v>15</v>
      </c>
      <c r="R471" s="4" t="str">
        <f>IF(Table5[[#This Row],[Residual Risk Score]]&lt;Table5[[#This Row],[Initial Risk Score]],"Reduced","No Reduction")</f>
        <v>Reduced</v>
      </c>
      <c r="S471" t="s">
        <v>40</v>
      </c>
      <c r="T471" t="s">
        <v>43</v>
      </c>
      <c r="U471" t="s">
        <v>52</v>
      </c>
      <c r="V471" s="2">
        <v>46278</v>
      </c>
    </row>
    <row r="472" spans="1:22" x14ac:dyDescent="0.25">
      <c r="A472" t="s">
        <v>606</v>
      </c>
      <c r="B472" s="2">
        <v>45681</v>
      </c>
      <c r="C472" t="s">
        <v>45</v>
      </c>
      <c r="D472" t="s">
        <v>55</v>
      </c>
      <c r="E472" t="s">
        <v>46</v>
      </c>
      <c r="F472" t="s">
        <v>47</v>
      </c>
      <c r="G472" t="s">
        <v>48</v>
      </c>
      <c r="H472" t="s">
        <v>49</v>
      </c>
      <c r="I472">
        <v>3</v>
      </c>
      <c r="J472">
        <v>2</v>
      </c>
      <c r="K472">
        <v>6</v>
      </c>
      <c r="L472" t="s">
        <v>28</v>
      </c>
      <c r="M472" t="s">
        <v>41</v>
      </c>
      <c r="N472" t="s">
        <v>102</v>
      </c>
      <c r="O472">
        <v>2</v>
      </c>
      <c r="P472">
        <v>2</v>
      </c>
      <c r="Q472">
        <v>4</v>
      </c>
      <c r="R472" s="4" t="str">
        <f>IF(Table5[[#This Row],[Residual Risk Score]]&lt;Table5[[#This Row],[Initial Risk Score]],"Reduced","No Reduction")</f>
        <v>Reduced</v>
      </c>
      <c r="S472" t="s">
        <v>31</v>
      </c>
      <c r="T472" t="s">
        <v>32</v>
      </c>
      <c r="U472" t="s">
        <v>62</v>
      </c>
      <c r="V472" s="2">
        <v>46046</v>
      </c>
    </row>
    <row r="473" spans="1:22" x14ac:dyDescent="0.25">
      <c r="A473" t="s">
        <v>607</v>
      </c>
      <c r="B473" s="2">
        <v>46259</v>
      </c>
      <c r="C473" t="s">
        <v>108</v>
      </c>
      <c r="D473" t="s">
        <v>23</v>
      </c>
      <c r="E473" t="s">
        <v>149</v>
      </c>
      <c r="F473" t="s">
        <v>150</v>
      </c>
      <c r="G473" t="s">
        <v>151</v>
      </c>
      <c r="H473" t="s">
        <v>225</v>
      </c>
      <c r="I473">
        <v>4</v>
      </c>
      <c r="J473">
        <v>4</v>
      </c>
      <c r="K473">
        <v>16</v>
      </c>
      <c r="L473" t="s">
        <v>40</v>
      </c>
      <c r="M473" t="s">
        <v>78</v>
      </c>
      <c r="N473" t="s">
        <v>70</v>
      </c>
      <c r="O473">
        <v>3</v>
      </c>
      <c r="P473">
        <v>3</v>
      </c>
      <c r="Q473">
        <v>9</v>
      </c>
      <c r="R473" s="4" t="str">
        <f>IF(Table5[[#This Row],[Residual Risk Score]]&lt;Table5[[#This Row],[Initial Risk Score]],"Reduced","No Reduction")</f>
        <v>Reduced</v>
      </c>
      <c r="S473" t="s">
        <v>28</v>
      </c>
      <c r="T473" t="s">
        <v>32</v>
      </c>
      <c r="U473" t="s">
        <v>96</v>
      </c>
      <c r="V473" s="2">
        <v>46989</v>
      </c>
    </row>
    <row r="474" spans="1:22" x14ac:dyDescent="0.25">
      <c r="A474" t="s">
        <v>608</v>
      </c>
      <c r="B474" s="2">
        <v>45810</v>
      </c>
      <c r="C474" t="s">
        <v>35</v>
      </c>
      <c r="D474" t="s">
        <v>65</v>
      </c>
      <c r="E474" t="s">
        <v>36</v>
      </c>
      <c r="F474" t="s">
        <v>37</v>
      </c>
      <c r="G474" t="s">
        <v>38</v>
      </c>
      <c r="H474" t="s">
        <v>116</v>
      </c>
      <c r="I474">
        <v>3</v>
      </c>
      <c r="J474">
        <v>2</v>
      </c>
      <c r="K474">
        <v>6</v>
      </c>
      <c r="L474" t="s">
        <v>28</v>
      </c>
      <c r="M474" t="s">
        <v>95</v>
      </c>
      <c r="N474" t="s">
        <v>128</v>
      </c>
      <c r="O474">
        <v>1</v>
      </c>
      <c r="P474">
        <v>1</v>
      </c>
      <c r="Q474">
        <v>1</v>
      </c>
      <c r="R474" s="4" t="str">
        <f>IF(Table5[[#This Row],[Residual Risk Score]]&lt;Table5[[#This Row],[Initial Risk Score]],"Reduced","No Reduction")</f>
        <v>Reduced</v>
      </c>
      <c r="S474" t="s">
        <v>31</v>
      </c>
      <c r="T474" t="s">
        <v>43</v>
      </c>
      <c r="U474" t="s">
        <v>62</v>
      </c>
      <c r="V474" s="2">
        <v>46540</v>
      </c>
    </row>
    <row r="475" spans="1:22" x14ac:dyDescent="0.25">
      <c r="A475" t="s">
        <v>609</v>
      </c>
      <c r="B475" s="2">
        <v>46276</v>
      </c>
      <c r="C475" t="s">
        <v>64</v>
      </c>
      <c r="D475" t="s">
        <v>74</v>
      </c>
      <c r="E475" t="s">
        <v>174</v>
      </c>
      <c r="F475" t="s">
        <v>175</v>
      </c>
      <c r="G475" t="s">
        <v>176</v>
      </c>
      <c r="H475" t="s">
        <v>68</v>
      </c>
      <c r="I475">
        <v>3</v>
      </c>
      <c r="J475">
        <v>2</v>
      </c>
      <c r="K475">
        <v>6</v>
      </c>
      <c r="L475" t="s">
        <v>28</v>
      </c>
      <c r="M475" t="s">
        <v>95</v>
      </c>
      <c r="N475" t="s">
        <v>60</v>
      </c>
      <c r="O475">
        <v>2</v>
      </c>
      <c r="P475">
        <v>1</v>
      </c>
      <c r="Q475">
        <v>2</v>
      </c>
      <c r="R475" s="4" t="str">
        <f>IF(Table5[[#This Row],[Residual Risk Score]]&lt;Table5[[#This Row],[Initial Risk Score]],"Reduced","No Reduction")</f>
        <v>Reduced</v>
      </c>
      <c r="S475" t="s">
        <v>31</v>
      </c>
      <c r="T475" t="s">
        <v>43</v>
      </c>
      <c r="U475" t="s">
        <v>62</v>
      </c>
      <c r="V475" s="2">
        <v>47006</v>
      </c>
    </row>
    <row r="476" spans="1:22" x14ac:dyDescent="0.25">
      <c r="A476" t="s">
        <v>610</v>
      </c>
      <c r="B476" s="2">
        <v>46055</v>
      </c>
      <c r="C476" t="s">
        <v>64</v>
      </c>
      <c r="D476" t="s">
        <v>23</v>
      </c>
      <c r="E476" t="s">
        <v>66</v>
      </c>
      <c r="F476" t="s">
        <v>67</v>
      </c>
      <c r="G476" t="s">
        <v>35</v>
      </c>
      <c r="H476" t="s">
        <v>122</v>
      </c>
      <c r="I476">
        <v>5</v>
      </c>
      <c r="J476">
        <v>4</v>
      </c>
      <c r="K476">
        <v>20</v>
      </c>
      <c r="L476" t="s">
        <v>94</v>
      </c>
      <c r="M476" t="s">
        <v>95</v>
      </c>
      <c r="N476" t="s">
        <v>102</v>
      </c>
      <c r="O476">
        <v>4</v>
      </c>
      <c r="P476">
        <v>4</v>
      </c>
      <c r="Q476">
        <v>16</v>
      </c>
      <c r="R476" s="4" t="str">
        <f>IF(Table5[[#This Row],[Residual Risk Score]]&lt;Table5[[#This Row],[Initial Risk Score]],"Reduced","No Reduction")</f>
        <v>Reduced</v>
      </c>
      <c r="S476" t="s">
        <v>40</v>
      </c>
      <c r="T476" t="s">
        <v>32</v>
      </c>
      <c r="U476" t="s">
        <v>33</v>
      </c>
      <c r="V476" s="2">
        <v>46420</v>
      </c>
    </row>
    <row r="477" spans="1:22" x14ac:dyDescent="0.25">
      <c r="A477" t="s">
        <v>611</v>
      </c>
      <c r="B477" s="2">
        <v>46367</v>
      </c>
      <c r="C477" t="s">
        <v>64</v>
      </c>
      <c r="D477" t="s">
        <v>65</v>
      </c>
      <c r="E477" t="s">
        <v>91</v>
      </c>
      <c r="F477" t="s">
        <v>92</v>
      </c>
      <c r="G477" t="s">
        <v>35</v>
      </c>
      <c r="H477" t="s">
        <v>122</v>
      </c>
      <c r="I477">
        <v>4</v>
      </c>
      <c r="J477">
        <v>5</v>
      </c>
      <c r="K477">
        <v>20</v>
      </c>
      <c r="L477" t="s">
        <v>94</v>
      </c>
      <c r="M477" t="s">
        <v>50</v>
      </c>
      <c r="N477" t="s">
        <v>89</v>
      </c>
      <c r="O477">
        <v>3</v>
      </c>
      <c r="P477">
        <v>5</v>
      </c>
      <c r="Q477">
        <v>15</v>
      </c>
      <c r="R477" s="4" t="str">
        <f>IF(Table5[[#This Row],[Residual Risk Score]]&lt;Table5[[#This Row],[Initial Risk Score]],"Reduced","No Reduction")</f>
        <v>Reduced</v>
      </c>
      <c r="S477" t="s">
        <v>40</v>
      </c>
      <c r="T477" t="s">
        <v>32</v>
      </c>
      <c r="U477" t="s">
        <v>96</v>
      </c>
      <c r="V477" s="2">
        <v>46547</v>
      </c>
    </row>
    <row r="478" spans="1:22" x14ac:dyDescent="0.25">
      <c r="A478" t="s">
        <v>612</v>
      </c>
      <c r="B478" s="2">
        <v>45945</v>
      </c>
      <c r="C478" t="s">
        <v>64</v>
      </c>
      <c r="D478" t="s">
        <v>80</v>
      </c>
      <c r="E478" t="s">
        <v>66</v>
      </c>
      <c r="F478" t="s">
        <v>67</v>
      </c>
      <c r="G478" t="s">
        <v>35</v>
      </c>
      <c r="H478" t="s">
        <v>137</v>
      </c>
      <c r="I478">
        <v>2</v>
      </c>
      <c r="J478">
        <v>4</v>
      </c>
      <c r="K478">
        <v>8</v>
      </c>
      <c r="L478" t="s">
        <v>28</v>
      </c>
      <c r="M478" t="s">
        <v>50</v>
      </c>
      <c r="N478" t="s">
        <v>70</v>
      </c>
      <c r="O478">
        <v>1</v>
      </c>
      <c r="P478">
        <v>4</v>
      </c>
      <c r="Q478">
        <v>4</v>
      </c>
      <c r="R478" t="str">
        <f>IF(Table5[[#This Row],[Residual Risk Score]]&gt;Table5[[#This Row],[Initial Risk Score]],"NO Reduction","Reduced")</f>
        <v>Reduced</v>
      </c>
      <c r="S478" t="s">
        <v>31</v>
      </c>
      <c r="T478" t="s">
        <v>32</v>
      </c>
      <c r="U478" t="s">
        <v>62</v>
      </c>
      <c r="V478" s="2">
        <v>46310</v>
      </c>
    </row>
    <row r="479" spans="1:22" x14ac:dyDescent="0.25">
      <c r="A479" t="s">
        <v>613</v>
      </c>
      <c r="B479" s="2">
        <v>45680</v>
      </c>
      <c r="C479" t="s">
        <v>85</v>
      </c>
      <c r="D479" t="s">
        <v>23</v>
      </c>
      <c r="E479" t="s">
        <v>230</v>
      </c>
      <c r="F479" t="s">
        <v>231</v>
      </c>
      <c r="G479" t="s">
        <v>232</v>
      </c>
      <c r="H479" t="s">
        <v>233</v>
      </c>
      <c r="I479">
        <v>5</v>
      </c>
      <c r="J479">
        <v>4</v>
      </c>
      <c r="K479">
        <v>20</v>
      </c>
      <c r="L479" t="s">
        <v>94</v>
      </c>
      <c r="M479" t="s">
        <v>41</v>
      </c>
      <c r="N479" t="s">
        <v>124</v>
      </c>
      <c r="O479">
        <v>3</v>
      </c>
      <c r="P479">
        <v>3</v>
      </c>
      <c r="Q479">
        <v>9</v>
      </c>
      <c r="R479" t="str">
        <f>IF(Table5[[#This Row],[Residual Risk Score]]&gt;Table5[[#This Row],[Initial Risk Score]],"NO Reduction","Reduced")</f>
        <v>Reduced</v>
      </c>
      <c r="S479" t="s">
        <v>28</v>
      </c>
      <c r="T479" t="s">
        <v>43</v>
      </c>
      <c r="U479" t="s">
        <v>62</v>
      </c>
      <c r="V479" s="2">
        <v>45860</v>
      </c>
    </row>
    <row r="480" spans="1:22" x14ac:dyDescent="0.25">
      <c r="A480" t="s">
        <v>614</v>
      </c>
      <c r="B480" s="2">
        <v>46288</v>
      </c>
      <c r="C480" t="s">
        <v>85</v>
      </c>
      <c r="D480" t="s">
        <v>80</v>
      </c>
      <c r="E480" t="s">
        <v>230</v>
      </c>
      <c r="F480" t="s">
        <v>231</v>
      </c>
      <c r="G480" t="s">
        <v>232</v>
      </c>
      <c r="H480" t="s">
        <v>116</v>
      </c>
      <c r="I480">
        <v>4</v>
      </c>
      <c r="J480">
        <v>5</v>
      </c>
      <c r="K480">
        <v>20</v>
      </c>
      <c r="L480" t="s">
        <v>94</v>
      </c>
      <c r="M480" t="s">
        <v>78</v>
      </c>
      <c r="N480" t="s">
        <v>106</v>
      </c>
      <c r="O480">
        <v>3</v>
      </c>
      <c r="P480">
        <v>5</v>
      </c>
      <c r="Q480">
        <v>15</v>
      </c>
      <c r="R480" s="4" t="str">
        <f>IF(Table5[[#This Row],[Residual Risk Score]]&lt;Table5[[#This Row],[Initial Risk Score]],"Reduced","No Reduction")</f>
        <v>Reduced</v>
      </c>
      <c r="S480" t="s">
        <v>40</v>
      </c>
      <c r="T480" t="s">
        <v>32</v>
      </c>
      <c r="U480" t="s">
        <v>62</v>
      </c>
      <c r="V480" s="2">
        <v>46653</v>
      </c>
    </row>
    <row r="481" spans="1:22" x14ac:dyDescent="0.25">
      <c r="A481" t="s">
        <v>615</v>
      </c>
      <c r="B481" s="2">
        <v>45787</v>
      </c>
      <c r="C481" t="s">
        <v>54</v>
      </c>
      <c r="D481" t="s">
        <v>80</v>
      </c>
      <c r="E481" t="s">
        <v>56</v>
      </c>
      <c r="F481" t="s">
        <v>57</v>
      </c>
      <c r="G481" t="s">
        <v>58</v>
      </c>
      <c r="H481" t="s">
        <v>209</v>
      </c>
      <c r="I481">
        <v>3</v>
      </c>
      <c r="J481">
        <v>3</v>
      </c>
      <c r="K481">
        <v>9</v>
      </c>
      <c r="L481" t="s">
        <v>28</v>
      </c>
      <c r="M481" t="s">
        <v>69</v>
      </c>
      <c r="N481" t="s">
        <v>106</v>
      </c>
      <c r="O481">
        <v>2</v>
      </c>
      <c r="P481">
        <v>2</v>
      </c>
      <c r="Q481">
        <v>4</v>
      </c>
      <c r="R481" s="4" t="str">
        <f>IF(Table5[[#This Row],[Residual Risk Score]]&lt;Table5[[#This Row],[Initial Risk Score]],"Reduced","No Reduction")</f>
        <v>Reduced</v>
      </c>
      <c r="S481" t="s">
        <v>31</v>
      </c>
      <c r="T481" t="s">
        <v>43</v>
      </c>
      <c r="U481" t="s">
        <v>62</v>
      </c>
      <c r="V481" s="2">
        <v>46517</v>
      </c>
    </row>
    <row r="482" spans="1:22" x14ac:dyDescent="0.25">
      <c r="A482" t="s">
        <v>616</v>
      </c>
      <c r="B482" s="2">
        <v>46016</v>
      </c>
      <c r="C482" t="s">
        <v>64</v>
      </c>
      <c r="D482" t="s">
        <v>98</v>
      </c>
      <c r="E482" t="s">
        <v>66</v>
      </c>
      <c r="F482" t="s">
        <v>67</v>
      </c>
      <c r="G482" t="s">
        <v>35</v>
      </c>
      <c r="H482" t="s">
        <v>122</v>
      </c>
      <c r="I482">
        <v>3</v>
      </c>
      <c r="J482">
        <v>4</v>
      </c>
      <c r="K482">
        <v>12</v>
      </c>
      <c r="L482" t="s">
        <v>40</v>
      </c>
      <c r="M482" t="s">
        <v>50</v>
      </c>
      <c r="N482" t="s">
        <v>102</v>
      </c>
      <c r="O482">
        <v>1</v>
      </c>
      <c r="P482">
        <v>4</v>
      </c>
      <c r="Q482">
        <v>4</v>
      </c>
      <c r="R482" s="4" t="str">
        <f>IF(Table5[[#This Row],[Residual Risk Score]]&lt;Table5[[#This Row],[Initial Risk Score]],"Reduced","No Reduction")</f>
        <v>Reduced</v>
      </c>
      <c r="S482" t="s">
        <v>31</v>
      </c>
      <c r="T482" t="s">
        <v>61</v>
      </c>
      <c r="U482" t="s">
        <v>96</v>
      </c>
      <c r="V482" s="2">
        <v>46381</v>
      </c>
    </row>
    <row r="483" spans="1:22" x14ac:dyDescent="0.25">
      <c r="A483" t="s">
        <v>617</v>
      </c>
      <c r="B483" s="2">
        <v>46088</v>
      </c>
      <c r="C483" t="s">
        <v>22</v>
      </c>
      <c r="D483" t="s">
        <v>65</v>
      </c>
      <c r="E483" t="s">
        <v>135</v>
      </c>
      <c r="F483" t="s">
        <v>136</v>
      </c>
      <c r="G483" t="s">
        <v>35</v>
      </c>
      <c r="H483" t="s">
        <v>68</v>
      </c>
      <c r="I483">
        <v>3</v>
      </c>
      <c r="J483">
        <v>2</v>
      </c>
      <c r="K483">
        <v>6</v>
      </c>
      <c r="L483" t="s">
        <v>28</v>
      </c>
      <c r="M483" t="s">
        <v>78</v>
      </c>
      <c r="N483" t="s">
        <v>70</v>
      </c>
      <c r="O483">
        <v>3</v>
      </c>
      <c r="P483">
        <v>1</v>
      </c>
      <c r="Q483">
        <v>3</v>
      </c>
      <c r="R483" s="4" t="str">
        <f>IF(Table5[[#This Row],[Residual Risk Score]]&lt;Table5[[#This Row],[Initial Risk Score]],"Reduced","No Reduction")</f>
        <v>Reduced</v>
      </c>
      <c r="S483" t="s">
        <v>31</v>
      </c>
      <c r="T483" t="s">
        <v>43</v>
      </c>
      <c r="U483" t="s">
        <v>62</v>
      </c>
      <c r="V483" s="2">
        <v>46818</v>
      </c>
    </row>
    <row r="484" spans="1:22" x14ac:dyDescent="0.25">
      <c r="A484" t="s">
        <v>618</v>
      </c>
      <c r="B484" s="2">
        <v>46216</v>
      </c>
      <c r="C484" t="s">
        <v>85</v>
      </c>
      <c r="D484" t="s">
        <v>108</v>
      </c>
      <c r="E484" t="s">
        <v>230</v>
      </c>
      <c r="F484" t="s">
        <v>231</v>
      </c>
      <c r="G484" t="s">
        <v>232</v>
      </c>
      <c r="H484" t="s">
        <v>68</v>
      </c>
      <c r="I484">
        <v>3</v>
      </c>
      <c r="J484">
        <v>4</v>
      </c>
      <c r="K484">
        <v>12</v>
      </c>
      <c r="L484" t="s">
        <v>40</v>
      </c>
      <c r="M484" t="s">
        <v>41</v>
      </c>
      <c r="N484" t="s">
        <v>106</v>
      </c>
      <c r="O484">
        <v>2</v>
      </c>
      <c r="P484">
        <v>4</v>
      </c>
      <c r="Q484">
        <v>8</v>
      </c>
      <c r="R484" s="4" t="str">
        <f>IF(Table5[[#This Row],[Residual Risk Score]]&lt;Table5[[#This Row],[Initial Risk Score]],"Reduced","No Reduction")</f>
        <v>Reduced</v>
      </c>
      <c r="S484" t="s">
        <v>28</v>
      </c>
      <c r="T484" t="s">
        <v>32</v>
      </c>
      <c r="U484" t="s">
        <v>52</v>
      </c>
      <c r="V484" s="2">
        <v>46946</v>
      </c>
    </row>
    <row r="485" spans="1:22" x14ac:dyDescent="0.25">
      <c r="A485" t="s">
        <v>619</v>
      </c>
      <c r="B485" s="2">
        <v>45882</v>
      </c>
      <c r="C485" t="s">
        <v>64</v>
      </c>
      <c r="D485" t="s">
        <v>98</v>
      </c>
      <c r="E485" t="s">
        <v>66</v>
      </c>
      <c r="F485" t="s">
        <v>67</v>
      </c>
      <c r="G485" t="s">
        <v>35</v>
      </c>
      <c r="H485" t="s">
        <v>137</v>
      </c>
      <c r="I485">
        <v>4</v>
      </c>
      <c r="J485">
        <v>2</v>
      </c>
      <c r="K485">
        <v>8</v>
      </c>
      <c r="L485" t="s">
        <v>28</v>
      </c>
      <c r="M485" t="s">
        <v>101</v>
      </c>
      <c r="N485" t="s">
        <v>89</v>
      </c>
      <c r="O485">
        <v>2</v>
      </c>
      <c r="P485">
        <v>2</v>
      </c>
      <c r="Q485">
        <v>4</v>
      </c>
      <c r="R485" s="4" t="str">
        <f>IF(Table5[[#This Row],[Residual Risk Score]]&lt;Table5[[#This Row],[Initial Risk Score]],"Reduced","No Reduction")</f>
        <v>Reduced</v>
      </c>
      <c r="S485" t="s">
        <v>31</v>
      </c>
      <c r="T485" t="s">
        <v>61</v>
      </c>
      <c r="U485" t="s">
        <v>96</v>
      </c>
      <c r="V485" s="2">
        <v>46612</v>
      </c>
    </row>
    <row r="486" spans="1:22" x14ac:dyDescent="0.25">
      <c r="A486" t="s">
        <v>620</v>
      </c>
      <c r="B486" s="2">
        <v>45869</v>
      </c>
      <c r="C486" t="s">
        <v>22</v>
      </c>
      <c r="D486" t="s">
        <v>74</v>
      </c>
      <c r="E486" t="s">
        <v>109</v>
      </c>
      <c r="F486" t="s">
        <v>110</v>
      </c>
      <c r="G486" t="s">
        <v>111</v>
      </c>
      <c r="H486" t="s">
        <v>197</v>
      </c>
      <c r="I486">
        <v>2</v>
      </c>
      <c r="J486">
        <v>2</v>
      </c>
      <c r="K486">
        <v>4</v>
      </c>
      <c r="L486" t="s">
        <v>31</v>
      </c>
      <c r="M486" t="s">
        <v>78</v>
      </c>
      <c r="N486" t="s">
        <v>128</v>
      </c>
      <c r="O486">
        <v>1</v>
      </c>
      <c r="P486">
        <v>2</v>
      </c>
      <c r="Q486">
        <v>2</v>
      </c>
      <c r="R486" s="4" t="str">
        <f>IF(Table5[[#This Row],[Residual Risk Score]]&lt;Table5[[#This Row],[Initial Risk Score]],"Reduced","No Reduction")</f>
        <v>Reduced</v>
      </c>
      <c r="S486" t="s">
        <v>31</v>
      </c>
      <c r="T486" t="s">
        <v>61</v>
      </c>
      <c r="U486" t="s">
        <v>71</v>
      </c>
      <c r="V486" s="2">
        <v>46599</v>
      </c>
    </row>
    <row r="487" spans="1:22" x14ac:dyDescent="0.25">
      <c r="A487" t="s">
        <v>621</v>
      </c>
      <c r="B487" s="2">
        <v>46119</v>
      </c>
      <c r="C487" t="s">
        <v>73</v>
      </c>
      <c r="D487" t="s">
        <v>55</v>
      </c>
      <c r="E487" t="s">
        <v>75</v>
      </c>
      <c r="F487" t="s">
        <v>76</v>
      </c>
      <c r="G487" t="s">
        <v>73</v>
      </c>
      <c r="H487" t="s">
        <v>68</v>
      </c>
      <c r="I487">
        <v>3</v>
      </c>
      <c r="J487">
        <v>2</v>
      </c>
      <c r="K487">
        <v>6</v>
      </c>
      <c r="L487" t="s">
        <v>28</v>
      </c>
      <c r="M487" t="s">
        <v>101</v>
      </c>
      <c r="N487" t="s">
        <v>89</v>
      </c>
      <c r="O487">
        <v>3</v>
      </c>
      <c r="P487">
        <v>1</v>
      </c>
      <c r="Q487">
        <v>3</v>
      </c>
      <c r="R487" s="4" t="str">
        <f>IF(Table5[[#This Row],[Residual Risk Score]]&lt;Table5[[#This Row],[Initial Risk Score]],"Reduced","No Reduction")</f>
        <v>Reduced</v>
      </c>
      <c r="S487" t="s">
        <v>31</v>
      </c>
      <c r="T487" t="s">
        <v>61</v>
      </c>
      <c r="U487" t="s">
        <v>62</v>
      </c>
      <c r="V487" s="2">
        <v>46849</v>
      </c>
    </row>
    <row r="488" spans="1:22" x14ac:dyDescent="0.25">
      <c r="A488" t="s">
        <v>622</v>
      </c>
      <c r="B488" s="2">
        <v>45757</v>
      </c>
      <c r="C488" t="s">
        <v>108</v>
      </c>
      <c r="D488" t="s">
        <v>108</v>
      </c>
      <c r="E488" t="s">
        <v>162</v>
      </c>
      <c r="F488" t="s">
        <v>163</v>
      </c>
      <c r="G488" t="s">
        <v>164</v>
      </c>
      <c r="H488" t="s">
        <v>219</v>
      </c>
      <c r="I488">
        <v>4</v>
      </c>
      <c r="J488">
        <v>3</v>
      </c>
      <c r="K488">
        <v>12</v>
      </c>
      <c r="L488" t="s">
        <v>40</v>
      </c>
      <c r="M488" t="s">
        <v>83</v>
      </c>
      <c r="N488" t="s">
        <v>128</v>
      </c>
      <c r="O488">
        <v>3</v>
      </c>
      <c r="P488">
        <v>3</v>
      </c>
      <c r="Q488">
        <v>9</v>
      </c>
      <c r="R488" t="str">
        <f>IF(Table5[[#This Row],[Residual Risk Score]]&gt;Table5[[#This Row],[Initial Risk Score]],"NO Reduction","Reduced")</f>
        <v>Reduced</v>
      </c>
      <c r="S488" t="s">
        <v>28</v>
      </c>
      <c r="T488" t="s">
        <v>32</v>
      </c>
      <c r="U488" t="s">
        <v>33</v>
      </c>
      <c r="V488" s="2">
        <v>45937</v>
      </c>
    </row>
    <row r="489" spans="1:22" x14ac:dyDescent="0.25">
      <c r="A489" t="s">
        <v>623</v>
      </c>
      <c r="B489" s="2">
        <v>46381</v>
      </c>
      <c r="C489" t="s">
        <v>54</v>
      </c>
      <c r="D489" t="s">
        <v>65</v>
      </c>
      <c r="E489" t="s">
        <v>56</v>
      </c>
      <c r="F489" t="s">
        <v>57</v>
      </c>
      <c r="G489" t="s">
        <v>58</v>
      </c>
      <c r="H489" t="s">
        <v>209</v>
      </c>
      <c r="I489">
        <v>4</v>
      </c>
      <c r="J489">
        <v>4</v>
      </c>
      <c r="K489">
        <v>16</v>
      </c>
      <c r="L489" t="s">
        <v>40</v>
      </c>
      <c r="M489" t="s">
        <v>29</v>
      </c>
      <c r="N489" t="s">
        <v>102</v>
      </c>
      <c r="O489">
        <v>3</v>
      </c>
      <c r="P489">
        <v>4</v>
      </c>
      <c r="Q489">
        <v>12</v>
      </c>
      <c r="R489" s="4" t="str">
        <f>IF(Table5[[#This Row],[Residual Risk Score]]&lt;Table5[[#This Row],[Initial Risk Score]],"Reduced","No Reduction")</f>
        <v>Reduced</v>
      </c>
      <c r="S489" t="s">
        <v>40</v>
      </c>
      <c r="T489" t="s">
        <v>32</v>
      </c>
      <c r="U489" t="s">
        <v>52</v>
      </c>
      <c r="V489" s="2">
        <v>46561</v>
      </c>
    </row>
    <row r="490" spans="1:22" x14ac:dyDescent="0.25">
      <c r="A490" t="s">
        <v>624</v>
      </c>
      <c r="B490" s="2">
        <v>45954</v>
      </c>
      <c r="C490" t="s">
        <v>22</v>
      </c>
      <c r="D490" t="s">
        <v>98</v>
      </c>
      <c r="E490" t="s">
        <v>99</v>
      </c>
      <c r="F490" t="s">
        <v>100</v>
      </c>
      <c r="G490" t="s">
        <v>35</v>
      </c>
      <c r="H490" t="s">
        <v>122</v>
      </c>
      <c r="I490">
        <v>2</v>
      </c>
      <c r="J490">
        <v>3</v>
      </c>
      <c r="K490">
        <v>6</v>
      </c>
      <c r="L490" t="s">
        <v>28</v>
      </c>
      <c r="M490" t="s">
        <v>41</v>
      </c>
      <c r="N490" t="s">
        <v>106</v>
      </c>
      <c r="O490">
        <v>2</v>
      </c>
      <c r="P490">
        <v>3</v>
      </c>
      <c r="Q490">
        <v>6</v>
      </c>
      <c r="R490" t="str">
        <f>IF(Table5[[#This Row],[Residual Risk Score]]&gt;Table5[[#This Row],[Initial Risk Score]],"NO Reduction","Reduced")</f>
        <v>Reduced</v>
      </c>
      <c r="S490" t="s">
        <v>28</v>
      </c>
      <c r="T490" t="s">
        <v>43</v>
      </c>
      <c r="U490" t="s">
        <v>71</v>
      </c>
      <c r="V490" s="2">
        <v>46319</v>
      </c>
    </row>
    <row r="491" spans="1:22" x14ac:dyDescent="0.25">
      <c r="A491" t="s">
        <v>625</v>
      </c>
      <c r="B491" s="2">
        <v>46082</v>
      </c>
      <c r="C491" t="s">
        <v>73</v>
      </c>
      <c r="D491" t="s">
        <v>23</v>
      </c>
      <c r="E491" t="s">
        <v>104</v>
      </c>
      <c r="F491" t="s">
        <v>105</v>
      </c>
      <c r="G491" t="s">
        <v>73</v>
      </c>
      <c r="H491" t="s">
        <v>77</v>
      </c>
      <c r="I491">
        <v>4</v>
      </c>
      <c r="J491">
        <v>5</v>
      </c>
      <c r="K491">
        <v>20</v>
      </c>
      <c r="L491" t="s">
        <v>94</v>
      </c>
      <c r="M491" t="s">
        <v>29</v>
      </c>
      <c r="N491" t="s">
        <v>102</v>
      </c>
      <c r="O491">
        <v>4</v>
      </c>
      <c r="P491">
        <v>5</v>
      </c>
      <c r="Q491">
        <v>20</v>
      </c>
      <c r="R491" t="str">
        <f>IF(Table5[[#This Row],[Residual Risk Score]]&gt;Table5[[#This Row],[Initial Risk Score]],"NO Reduction","Reduced")</f>
        <v>Reduced</v>
      </c>
      <c r="S491" t="s">
        <v>94</v>
      </c>
      <c r="T491" t="s">
        <v>43</v>
      </c>
      <c r="U491" t="s">
        <v>33</v>
      </c>
      <c r="V491" s="2">
        <v>46262</v>
      </c>
    </row>
    <row r="492" spans="1:22" x14ac:dyDescent="0.25">
      <c r="A492" t="s">
        <v>626</v>
      </c>
      <c r="B492" s="2">
        <v>46018</v>
      </c>
      <c r="C492" t="s">
        <v>73</v>
      </c>
      <c r="D492" t="s">
        <v>23</v>
      </c>
      <c r="E492" t="s">
        <v>75</v>
      </c>
      <c r="F492" t="s">
        <v>76</v>
      </c>
      <c r="G492" t="s">
        <v>73</v>
      </c>
      <c r="H492" t="s">
        <v>68</v>
      </c>
      <c r="I492">
        <v>4</v>
      </c>
      <c r="J492">
        <v>3</v>
      </c>
      <c r="K492">
        <v>12</v>
      </c>
      <c r="L492" t="s">
        <v>40</v>
      </c>
      <c r="M492" t="s">
        <v>41</v>
      </c>
      <c r="N492" t="s">
        <v>106</v>
      </c>
      <c r="O492">
        <v>3</v>
      </c>
      <c r="P492">
        <v>3</v>
      </c>
      <c r="Q492">
        <v>9</v>
      </c>
      <c r="R492" t="str">
        <f>IF(Table5[[#This Row],[Residual Risk Score]]&gt;Table5[[#This Row],[Initial Risk Score]],"NO Reduction","Reduced")</f>
        <v>Reduced</v>
      </c>
      <c r="S492" t="s">
        <v>28</v>
      </c>
      <c r="T492" t="s">
        <v>43</v>
      </c>
      <c r="U492" t="s">
        <v>62</v>
      </c>
      <c r="V492" s="2">
        <v>46383</v>
      </c>
    </row>
    <row r="493" spans="1:22" x14ac:dyDescent="0.25">
      <c r="A493" t="s">
        <v>627</v>
      </c>
      <c r="B493" s="2">
        <v>45829</v>
      </c>
      <c r="C493" t="s">
        <v>35</v>
      </c>
      <c r="D493" t="s">
        <v>80</v>
      </c>
      <c r="E493" t="s">
        <v>36</v>
      </c>
      <c r="F493" t="s">
        <v>37</v>
      </c>
      <c r="G493" t="s">
        <v>38</v>
      </c>
      <c r="H493" t="s">
        <v>39</v>
      </c>
      <c r="I493">
        <v>5</v>
      </c>
      <c r="J493">
        <v>3</v>
      </c>
      <c r="K493">
        <v>15</v>
      </c>
      <c r="L493" t="s">
        <v>40</v>
      </c>
      <c r="M493" t="s">
        <v>29</v>
      </c>
      <c r="N493" t="s">
        <v>124</v>
      </c>
      <c r="O493">
        <v>4</v>
      </c>
      <c r="P493">
        <v>2</v>
      </c>
      <c r="Q493">
        <v>8</v>
      </c>
      <c r="R493" t="str">
        <f>IF(Table5[[#This Row],[Residual Risk Score]]&gt;Table5[[#This Row],[Initial Risk Score]],"NO Reduction","Reduced")</f>
        <v>Reduced</v>
      </c>
      <c r="S493" t="s">
        <v>28</v>
      </c>
      <c r="T493" t="s">
        <v>43</v>
      </c>
      <c r="U493" t="s">
        <v>33</v>
      </c>
      <c r="V493" s="2">
        <v>46009</v>
      </c>
    </row>
    <row r="494" spans="1:22" x14ac:dyDescent="0.25">
      <c r="A494" t="s">
        <v>628</v>
      </c>
      <c r="B494" s="2">
        <v>46087</v>
      </c>
      <c r="C494" t="s">
        <v>22</v>
      </c>
      <c r="D494" t="s">
        <v>23</v>
      </c>
      <c r="E494" t="s">
        <v>135</v>
      </c>
      <c r="F494" t="s">
        <v>136</v>
      </c>
      <c r="G494" t="s">
        <v>35</v>
      </c>
      <c r="H494" t="s">
        <v>137</v>
      </c>
      <c r="I494">
        <v>5</v>
      </c>
      <c r="J494">
        <v>5</v>
      </c>
      <c r="K494">
        <v>25</v>
      </c>
      <c r="L494" t="s">
        <v>94</v>
      </c>
      <c r="M494" t="s">
        <v>83</v>
      </c>
      <c r="N494" t="s">
        <v>42</v>
      </c>
      <c r="O494">
        <v>5</v>
      </c>
      <c r="P494">
        <v>5</v>
      </c>
      <c r="Q494">
        <v>25</v>
      </c>
      <c r="R494" t="str">
        <f>IF(Table5[[#This Row],[Residual Risk Score]]&gt;Table5[[#This Row],[Initial Risk Score]],"NO Reduction","Reduced")</f>
        <v>Reduced</v>
      </c>
      <c r="S494" t="s">
        <v>94</v>
      </c>
      <c r="T494" t="s">
        <v>43</v>
      </c>
      <c r="U494" t="s">
        <v>33</v>
      </c>
      <c r="V494" s="2">
        <v>46267</v>
      </c>
    </row>
    <row r="495" spans="1:22" x14ac:dyDescent="0.25">
      <c r="A495" t="s">
        <v>629</v>
      </c>
      <c r="B495" s="2">
        <v>45675</v>
      </c>
      <c r="C495" t="s">
        <v>85</v>
      </c>
      <c r="D495" t="s">
        <v>98</v>
      </c>
      <c r="E495" t="s">
        <v>86</v>
      </c>
      <c r="F495" t="s">
        <v>87</v>
      </c>
      <c r="G495" t="s">
        <v>48</v>
      </c>
      <c r="H495" t="s">
        <v>88</v>
      </c>
      <c r="I495">
        <v>2</v>
      </c>
      <c r="J495">
        <v>5</v>
      </c>
      <c r="K495">
        <v>10</v>
      </c>
      <c r="L495" t="s">
        <v>40</v>
      </c>
      <c r="M495" t="s">
        <v>69</v>
      </c>
      <c r="N495" t="s">
        <v>102</v>
      </c>
      <c r="O495">
        <v>1</v>
      </c>
      <c r="P495">
        <v>5</v>
      </c>
      <c r="Q495">
        <v>5</v>
      </c>
      <c r="R495" s="4" t="str">
        <f>IF(Table5[[#This Row],[Residual Risk Score]]&gt;Table5[[#This Row],[Initial Risk Score]],"NO Reduction","Reduced")</f>
        <v>Reduced</v>
      </c>
      <c r="S495" t="s">
        <v>28</v>
      </c>
      <c r="T495" t="s">
        <v>43</v>
      </c>
      <c r="U495" t="s">
        <v>33</v>
      </c>
      <c r="V495" s="2">
        <v>45855</v>
      </c>
    </row>
    <row r="496" spans="1:22" x14ac:dyDescent="0.25">
      <c r="A496" t="s">
        <v>630</v>
      </c>
      <c r="B496" s="2">
        <v>46323</v>
      </c>
      <c r="C496" t="s">
        <v>85</v>
      </c>
      <c r="D496" t="s">
        <v>23</v>
      </c>
      <c r="E496" t="s">
        <v>230</v>
      </c>
      <c r="F496" t="s">
        <v>231</v>
      </c>
      <c r="G496" t="s">
        <v>232</v>
      </c>
      <c r="H496" t="s">
        <v>68</v>
      </c>
      <c r="I496">
        <v>5</v>
      </c>
      <c r="J496">
        <v>3</v>
      </c>
      <c r="K496">
        <v>15</v>
      </c>
      <c r="L496" t="s">
        <v>40</v>
      </c>
      <c r="M496" t="s">
        <v>69</v>
      </c>
      <c r="N496" t="s">
        <v>89</v>
      </c>
      <c r="O496">
        <v>4</v>
      </c>
      <c r="P496">
        <v>3</v>
      </c>
      <c r="Q496">
        <v>12</v>
      </c>
      <c r="R496" s="4" t="str">
        <f>IF(Table5[[#This Row],[Residual Risk Score]]&lt;Table5[[#This Row],[Initial Risk Score]],"Reduced","No Reduction")</f>
        <v>Reduced</v>
      </c>
      <c r="S496" t="s">
        <v>40</v>
      </c>
      <c r="T496" t="s">
        <v>61</v>
      </c>
      <c r="U496" t="s">
        <v>33</v>
      </c>
      <c r="V496" s="2">
        <v>46688</v>
      </c>
    </row>
    <row r="497" spans="1:22" x14ac:dyDescent="0.25">
      <c r="A497" t="s">
        <v>631</v>
      </c>
      <c r="B497" s="2">
        <v>45894</v>
      </c>
      <c r="C497" t="s">
        <v>22</v>
      </c>
      <c r="D497" t="s">
        <v>55</v>
      </c>
      <c r="E497" t="s">
        <v>81</v>
      </c>
      <c r="F497" t="s">
        <v>82</v>
      </c>
      <c r="G497" t="s">
        <v>81</v>
      </c>
      <c r="H497" t="s">
        <v>127</v>
      </c>
      <c r="I497">
        <v>3</v>
      </c>
      <c r="J497">
        <v>5</v>
      </c>
      <c r="K497">
        <v>15</v>
      </c>
      <c r="L497" t="s">
        <v>40</v>
      </c>
      <c r="M497" t="s">
        <v>50</v>
      </c>
      <c r="N497" t="s">
        <v>70</v>
      </c>
      <c r="O497">
        <v>1</v>
      </c>
      <c r="P497">
        <v>5</v>
      </c>
      <c r="Q497">
        <v>5</v>
      </c>
      <c r="R497" s="4" t="str">
        <f>IF(Table5[[#This Row],[Residual Risk Score]]&lt;Table5[[#This Row],[Initial Risk Score]],"Reduced","No Reduction")</f>
        <v>Reduced</v>
      </c>
      <c r="S497" t="s">
        <v>28</v>
      </c>
      <c r="T497" t="s">
        <v>61</v>
      </c>
      <c r="U497" t="s">
        <v>96</v>
      </c>
      <c r="V497" s="2">
        <v>46624</v>
      </c>
    </row>
    <row r="498" spans="1:22" x14ac:dyDescent="0.25">
      <c r="A498" t="s">
        <v>632</v>
      </c>
      <c r="B498" s="2">
        <v>45734</v>
      </c>
      <c r="C498" t="s">
        <v>22</v>
      </c>
      <c r="D498" t="s">
        <v>108</v>
      </c>
      <c r="E498" t="s">
        <v>99</v>
      </c>
      <c r="F498" t="s">
        <v>100</v>
      </c>
      <c r="G498" t="s">
        <v>35</v>
      </c>
      <c r="H498" t="s">
        <v>93</v>
      </c>
      <c r="I498">
        <v>5</v>
      </c>
      <c r="J498">
        <v>5</v>
      </c>
      <c r="K498">
        <v>25</v>
      </c>
      <c r="L498" t="s">
        <v>94</v>
      </c>
      <c r="M498" t="s">
        <v>41</v>
      </c>
      <c r="N498" t="s">
        <v>60</v>
      </c>
      <c r="O498">
        <v>4</v>
      </c>
      <c r="P498">
        <v>4</v>
      </c>
      <c r="Q498">
        <v>16</v>
      </c>
      <c r="R498" s="4" t="str">
        <f>IF(Table5[[#This Row],[Residual Risk Score]]&lt;Table5[[#This Row],[Initial Risk Score]],"Reduced","No Reduction")</f>
        <v>Reduced</v>
      </c>
      <c r="S498" t="s">
        <v>40</v>
      </c>
      <c r="T498" t="s">
        <v>32</v>
      </c>
      <c r="U498" t="s">
        <v>96</v>
      </c>
      <c r="V498" s="2">
        <v>46099</v>
      </c>
    </row>
    <row r="499" spans="1:22" x14ac:dyDescent="0.25">
      <c r="A499" t="s">
        <v>633</v>
      </c>
      <c r="B499" s="2">
        <v>45872</v>
      </c>
      <c r="C499" t="s">
        <v>35</v>
      </c>
      <c r="D499" t="s">
        <v>65</v>
      </c>
      <c r="E499" t="s">
        <v>120</v>
      </c>
      <c r="F499" t="s">
        <v>121</v>
      </c>
      <c r="G499" t="s">
        <v>35</v>
      </c>
      <c r="H499" t="s">
        <v>122</v>
      </c>
      <c r="I499">
        <v>3</v>
      </c>
      <c r="J499">
        <v>2</v>
      </c>
      <c r="K499">
        <v>6</v>
      </c>
      <c r="L499" t="s">
        <v>28</v>
      </c>
      <c r="M499" t="s">
        <v>41</v>
      </c>
      <c r="N499" t="s">
        <v>42</v>
      </c>
      <c r="O499">
        <v>2</v>
      </c>
      <c r="P499">
        <v>1</v>
      </c>
      <c r="Q499">
        <v>2</v>
      </c>
      <c r="R499" s="4" t="str">
        <f>IF(Table5[[#This Row],[Residual Risk Score]]&lt;Table5[[#This Row],[Initial Risk Score]],"Reduced","No Reduction")</f>
        <v>Reduced</v>
      </c>
      <c r="S499" t="s">
        <v>31</v>
      </c>
      <c r="T499" t="s">
        <v>61</v>
      </c>
      <c r="U499" t="s">
        <v>33</v>
      </c>
      <c r="V499" s="2">
        <v>46237</v>
      </c>
    </row>
    <row r="500" spans="1:22" x14ac:dyDescent="0.25">
      <c r="A500" t="s">
        <v>634</v>
      </c>
      <c r="B500" s="2">
        <v>45734</v>
      </c>
      <c r="C500" t="s">
        <v>108</v>
      </c>
      <c r="D500" t="s">
        <v>74</v>
      </c>
      <c r="E500" t="s">
        <v>162</v>
      </c>
      <c r="F500" t="s">
        <v>163</v>
      </c>
      <c r="G500" t="s">
        <v>164</v>
      </c>
      <c r="H500" t="s">
        <v>68</v>
      </c>
      <c r="I500">
        <v>5</v>
      </c>
      <c r="J500">
        <v>2</v>
      </c>
      <c r="K500">
        <v>10</v>
      </c>
      <c r="L500" t="s">
        <v>40</v>
      </c>
      <c r="M500" t="s">
        <v>69</v>
      </c>
      <c r="N500" t="s">
        <v>106</v>
      </c>
      <c r="O500">
        <v>4</v>
      </c>
      <c r="P500">
        <v>1</v>
      </c>
      <c r="Q500">
        <v>4</v>
      </c>
      <c r="R500" s="4" t="str">
        <f>IF(Table5[[#This Row],[Residual Risk Score]]&lt;Table5[[#This Row],[Initial Risk Score]],"Reduced","No Reduction")</f>
        <v>Reduced</v>
      </c>
      <c r="S500" t="s">
        <v>31</v>
      </c>
      <c r="T500" t="s">
        <v>61</v>
      </c>
      <c r="U500" t="s">
        <v>62</v>
      </c>
      <c r="V500" s="2">
        <v>45914</v>
      </c>
    </row>
    <row r="501" spans="1:22" x14ac:dyDescent="0.25">
      <c r="A501" t="s">
        <v>635</v>
      </c>
      <c r="B501" s="2">
        <v>45811</v>
      </c>
      <c r="C501" t="s">
        <v>64</v>
      </c>
      <c r="D501" t="s">
        <v>80</v>
      </c>
      <c r="E501" t="s">
        <v>91</v>
      </c>
      <c r="F501" t="s">
        <v>92</v>
      </c>
      <c r="G501" t="s">
        <v>35</v>
      </c>
      <c r="H501" t="s">
        <v>137</v>
      </c>
      <c r="I501">
        <v>3</v>
      </c>
      <c r="J501">
        <v>4</v>
      </c>
      <c r="K501">
        <v>12</v>
      </c>
      <c r="L501" t="s">
        <v>40</v>
      </c>
      <c r="M501" t="s">
        <v>78</v>
      </c>
      <c r="N501" t="s">
        <v>60</v>
      </c>
      <c r="O501">
        <v>1</v>
      </c>
      <c r="P501">
        <v>4</v>
      </c>
      <c r="Q501">
        <v>4</v>
      </c>
      <c r="R501" s="4" t="str">
        <f>IF(Table5[[#This Row],[Residual Risk Score]]&lt;Table5[[#This Row],[Initial Risk Score]],"Reduced","No Reduction")</f>
        <v>Reduced</v>
      </c>
      <c r="S501" t="s">
        <v>31</v>
      </c>
      <c r="T501" t="s">
        <v>32</v>
      </c>
      <c r="U501" t="s">
        <v>33</v>
      </c>
      <c r="V501" s="2">
        <v>46176</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F0"/>
  </sheetPr>
  <dimension ref="A1:F59"/>
  <sheetViews>
    <sheetView zoomScale="85" zoomScaleNormal="85" workbookViewId="0">
      <selection activeCell="N4" sqref="N4"/>
    </sheetView>
  </sheetViews>
  <sheetFormatPr defaultRowHeight="15" x14ac:dyDescent="0.25"/>
  <cols>
    <col min="1" max="1" width="15" style="6" customWidth="1"/>
    <col min="2" max="2" width="16.5703125" style="6" customWidth="1"/>
    <col min="3" max="5" width="5" style="6" customWidth="1"/>
    <col min="6" max="6" width="49.7109375" style="6" customWidth="1"/>
    <col min="7" max="7" width="5.42578125" style="6" customWidth="1"/>
    <col min="8" max="8" width="15.85546875" style="6" bestFit="1" customWidth="1"/>
    <col min="9" max="9" width="17" style="6" bestFit="1" customWidth="1"/>
    <col min="10" max="10" width="21.140625" style="6" customWidth="1"/>
    <col min="11" max="11" width="14" style="6" customWidth="1"/>
    <col min="12" max="12" width="17.5703125" style="6" customWidth="1"/>
    <col min="13" max="13" width="16.42578125" style="6" customWidth="1"/>
    <col min="14" max="14" width="23.7109375" style="6" customWidth="1"/>
    <col min="15" max="15" width="11.7109375" style="6" customWidth="1"/>
    <col min="16" max="16" width="17.42578125" style="6" customWidth="1"/>
    <col min="17" max="17" width="18.5703125" style="6" customWidth="1"/>
    <col min="18" max="18" width="21.42578125" style="6" customWidth="1"/>
    <col min="19" max="19" width="19.42578125" style="6" customWidth="1"/>
    <col min="20" max="20" width="14.42578125" style="6" customWidth="1"/>
    <col min="21" max="21" width="7.28515625" style="6" customWidth="1"/>
    <col min="22" max="22" width="11.28515625" style="6" bestFit="1" customWidth="1"/>
    <col min="23" max="16384" width="9.140625" style="6"/>
  </cols>
  <sheetData>
    <row r="1" spans="1:6" ht="15" customHeight="1" x14ac:dyDescent="0.25">
      <c r="D1" s="18" t="s">
        <v>657</v>
      </c>
      <c r="E1" s="18"/>
      <c r="F1" s="18"/>
    </row>
    <row r="2" spans="1:6" ht="15" customHeight="1" x14ac:dyDescent="0.25">
      <c r="D2" s="18"/>
      <c r="E2" s="18"/>
      <c r="F2" s="18"/>
    </row>
    <row r="5" spans="1:6" x14ac:dyDescent="0.25">
      <c r="A5" s="9" t="s">
        <v>2</v>
      </c>
      <c r="B5" s="9" t="s">
        <v>656</v>
      </c>
    </row>
    <row r="6" spans="1:6" x14ac:dyDescent="0.25">
      <c r="A6" s="7" t="s">
        <v>54</v>
      </c>
      <c r="B6" s="8">
        <v>25</v>
      </c>
    </row>
    <row r="7" spans="1:6" x14ac:dyDescent="0.25">
      <c r="A7" s="7" t="s">
        <v>45</v>
      </c>
      <c r="B7" s="8">
        <v>25</v>
      </c>
    </row>
    <row r="8" spans="1:6" x14ac:dyDescent="0.25">
      <c r="A8" s="7" t="s">
        <v>108</v>
      </c>
      <c r="B8" s="8">
        <v>50</v>
      </c>
    </row>
    <row r="9" spans="1:6" x14ac:dyDescent="0.25">
      <c r="A9" s="7" t="s">
        <v>73</v>
      </c>
      <c r="B9" s="8">
        <v>52</v>
      </c>
    </row>
    <row r="10" spans="1:6" x14ac:dyDescent="0.25">
      <c r="A10" s="7" t="s">
        <v>35</v>
      </c>
      <c r="B10" s="8">
        <v>61</v>
      </c>
    </row>
    <row r="11" spans="1:6" x14ac:dyDescent="0.25">
      <c r="A11" s="7" t="s">
        <v>85</v>
      </c>
      <c r="B11" s="8">
        <v>78</v>
      </c>
    </row>
    <row r="12" spans="1:6" x14ac:dyDescent="0.25">
      <c r="A12" s="7" t="s">
        <v>64</v>
      </c>
      <c r="B12" s="8">
        <v>83</v>
      </c>
    </row>
    <row r="13" spans="1:6" x14ac:dyDescent="0.25">
      <c r="A13" s="7" t="s">
        <v>22</v>
      </c>
      <c r="B13" s="8">
        <v>126</v>
      </c>
    </row>
    <row r="14" spans="1:6" x14ac:dyDescent="0.25">
      <c r="A14"/>
      <c r="B14"/>
    </row>
    <row r="15" spans="1:6" ht="15" customHeight="1" x14ac:dyDescent="0.25">
      <c r="A15" s="9" t="s">
        <v>4</v>
      </c>
      <c r="B15" s="9" t="s">
        <v>656</v>
      </c>
    </row>
    <row r="16" spans="1:6" x14ac:dyDescent="0.25">
      <c r="A16" s="7" t="s">
        <v>24</v>
      </c>
      <c r="B16" s="8">
        <v>21</v>
      </c>
    </row>
    <row r="17" spans="1:2" x14ac:dyDescent="0.25">
      <c r="A17" s="7" t="s">
        <v>149</v>
      </c>
      <c r="B17" s="8">
        <v>22</v>
      </c>
    </row>
    <row r="18" spans="1:2" x14ac:dyDescent="0.25">
      <c r="A18" s="7" t="s">
        <v>230</v>
      </c>
      <c r="B18" s="8">
        <v>23</v>
      </c>
    </row>
    <row r="19" spans="1:2" x14ac:dyDescent="0.25">
      <c r="A19" s="7" t="s">
        <v>174</v>
      </c>
      <c r="B19" s="8">
        <v>23</v>
      </c>
    </row>
    <row r="20" spans="1:2" x14ac:dyDescent="0.25">
      <c r="A20" s="7" t="s">
        <v>109</v>
      </c>
      <c r="B20" s="8">
        <v>23</v>
      </c>
    </row>
    <row r="21" spans="1:2" x14ac:dyDescent="0.25">
      <c r="A21" s="7" t="s">
        <v>81</v>
      </c>
      <c r="B21" s="8">
        <v>23</v>
      </c>
    </row>
    <row r="22" spans="1:2" x14ac:dyDescent="0.25">
      <c r="A22" s="7" t="s">
        <v>120</v>
      </c>
      <c r="B22" s="8">
        <v>24</v>
      </c>
    </row>
    <row r="23" spans="1:2" x14ac:dyDescent="0.25">
      <c r="A23" s="7" t="s">
        <v>46</v>
      </c>
      <c r="B23" s="8">
        <v>25</v>
      </c>
    </row>
    <row r="24" spans="1:2" x14ac:dyDescent="0.25">
      <c r="A24" s="7" t="s">
        <v>56</v>
      </c>
      <c r="B24" s="8">
        <v>25</v>
      </c>
    </row>
    <row r="25" spans="1:2" x14ac:dyDescent="0.25">
      <c r="A25" s="7" t="s">
        <v>75</v>
      </c>
      <c r="B25" s="8">
        <v>26</v>
      </c>
    </row>
    <row r="26" spans="1:2" x14ac:dyDescent="0.25">
      <c r="A26" s="7" t="s">
        <v>104</v>
      </c>
      <c r="B26" s="8">
        <v>26</v>
      </c>
    </row>
    <row r="27" spans="1:2" x14ac:dyDescent="0.25">
      <c r="A27" s="7" t="s">
        <v>140</v>
      </c>
      <c r="B27" s="8">
        <v>27</v>
      </c>
    </row>
    <row r="28" spans="1:2" x14ac:dyDescent="0.25">
      <c r="A28" s="7" t="s">
        <v>99</v>
      </c>
      <c r="B28" s="8">
        <v>27</v>
      </c>
    </row>
    <row r="29" spans="1:2" x14ac:dyDescent="0.25">
      <c r="A29" s="7" t="s">
        <v>162</v>
      </c>
      <c r="B29" s="8">
        <v>28</v>
      </c>
    </row>
    <row r="30" spans="1:2" x14ac:dyDescent="0.25">
      <c r="A30" s="7" t="s">
        <v>86</v>
      </c>
      <c r="B30" s="8">
        <v>28</v>
      </c>
    </row>
    <row r="31" spans="1:2" x14ac:dyDescent="0.25">
      <c r="A31" s="7" t="s">
        <v>91</v>
      </c>
      <c r="B31" s="8">
        <v>29</v>
      </c>
    </row>
    <row r="32" spans="1:2" x14ac:dyDescent="0.25">
      <c r="A32" s="7" t="s">
        <v>66</v>
      </c>
      <c r="B32" s="8">
        <v>31</v>
      </c>
    </row>
    <row r="33" spans="1:2" x14ac:dyDescent="0.25">
      <c r="A33" s="7" t="s">
        <v>135</v>
      </c>
      <c r="B33" s="8">
        <v>32</v>
      </c>
    </row>
    <row r="34" spans="1:2" x14ac:dyDescent="0.25">
      <c r="A34" s="7" t="s">
        <v>36</v>
      </c>
      <c r="B34" s="8">
        <v>37</v>
      </c>
    </row>
    <row r="35" spans="1:2" x14ac:dyDescent="0.25">
      <c r="A35"/>
      <c r="B35"/>
    </row>
    <row r="36" spans="1:2" x14ac:dyDescent="0.25">
      <c r="A36" s="9" t="s">
        <v>639</v>
      </c>
      <c r="B36" s="9" t="s">
        <v>656</v>
      </c>
    </row>
    <row r="37" spans="1:2" x14ac:dyDescent="0.25">
      <c r="A37" s="7" t="s">
        <v>94</v>
      </c>
      <c r="B37" s="8">
        <v>100</v>
      </c>
    </row>
    <row r="38" spans="1:2" x14ac:dyDescent="0.25">
      <c r="A38" s="7" t="s">
        <v>40</v>
      </c>
      <c r="B38" s="8">
        <v>232</v>
      </c>
    </row>
    <row r="39" spans="1:2" x14ac:dyDescent="0.25">
      <c r="A39" s="7" t="s">
        <v>31</v>
      </c>
      <c r="B39" s="8">
        <v>29</v>
      </c>
    </row>
    <row r="40" spans="1:2" x14ac:dyDescent="0.25">
      <c r="A40" s="7" t="s">
        <v>28</v>
      </c>
      <c r="B40" s="8">
        <v>139</v>
      </c>
    </row>
    <row r="41" spans="1:2" x14ac:dyDescent="0.25">
      <c r="A41" s="7" t="s">
        <v>668</v>
      </c>
      <c r="B41" s="8"/>
    </row>
    <row r="42" spans="1:2" x14ac:dyDescent="0.25">
      <c r="A42"/>
      <c r="B42"/>
    </row>
    <row r="43" spans="1:2" x14ac:dyDescent="0.25">
      <c r="A43"/>
      <c r="B43"/>
    </row>
    <row r="44" spans="1:2" x14ac:dyDescent="0.25">
      <c r="A44"/>
      <c r="B44"/>
    </row>
    <row r="45" spans="1:2" x14ac:dyDescent="0.25">
      <c r="A45"/>
      <c r="B45"/>
    </row>
    <row r="46" spans="1:2" x14ac:dyDescent="0.25">
      <c r="A46"/>
      <c r="B46"/>
    </row>
    <row r="47" spans="1:2" x14ac:dyDescent="0.25">
      <c r="A47"/>
      <c r="B47"/>
    </row>
    <row r="48" spans="1:2"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sheetData>
  <mergeCells count="1">
    <mergeCell ref="D1:F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A1:K19"/>
  <sheetViews>
    <sheetView workbookViewId="0">
      <selection activeCell="G21" sqref="G21"/>
    </sheetView>
  </sheetViews>
  <sheetFormatPr defaultRowHeight="15" x14ac:dyDescent="0.25"/>
  <cols>
    <col min="1" max="1" width="14.42578125" customWidth="1"/>
    <col min="2" max="2" width="11.42578125" customWidth="1"/>
    <col min="3" max="3" width="42.7109375" customWidth="1"/>
    <col min="4" max="4" width="12.140625" customWidth="1"/>
    <col min="5" max="5" width="13.5703125" customWidth="1"/>
    <col min="6" max="6" width="10.42578125" customWidth="1"/>
    <col min="7" max="7" width="14.42578125" customWidth="1"/>
    <col min="8" max="8" width="11.140625" customWidth="1"/>
    <col min="9" max="9" width="8.140625" customWidth="1"/>
    <col min="10" max="10" width="18.28515625" bestFit="1" customWidth="1"/>
    <col min="11" max="11" width="5.42578125" customWidth="1"/>
    <col min="12" max="12" width="8.7109375" customWidth="1"/>
    <col min="13" max="13" width="7.28515625" customWidth="1"/>
    <col min="14" max="15" width="11.28515625" customWidth="1"/>
    <col min="16" max="16" width="10.28515625" customWidth="1"/>
    <col min="17" max="17" width="10.42578125" customWidth="1"/>
    <col min="18" max="18" width="14.42578125" customWidth="1"/>
    <col min="19" max="19" width="11.140625" customWidth="1"/>
    <col min="20" max="20" width="8.140625" customWidth="1"/>
    <col min="21" max="21" width="8.7109375" customWidth="1"/>
    <col min="22" max="22" width="18" customWidth="1"/>
    <col min="23" max="23" width="8.28515625" customWidth="1"/>
    <col min="24" max="24" width="15.140625" customWidth="1"/>
    <col min="25" max="25" width="14.42578125" customWidth="1"/>
    <col min="26" max="26" width="6.85546875" customWidth="1"/>
    <col min="27" max="27" width="9.140625" customWidth="1"/>
    <col min="28" max="28" width="14.85546875" customWidth="1"/>
    <col min="29" max="29" width="9" customWidth="1"/>
    <col min="30" max="30" width="10.28515625" customWidth="1"/>
    <col min="31" max="31" width="10.42578125" customWidth="1"/>
    <col min="32" max="32" width="11.140625" customWidth="1"/>
    <col min="33" max="33" width="8.140625" customWidth="1"/>
    <col min="34" max="34" width="8.7109375" customWidth="1"/>
    <col min="35" max="35" width="18" customWidth="1"/>
    <col min="36" max="36" width="8.28515625" customWidth="1"/>
    <col min="37" max="37" width="15.140625" customWidth="1"/>
    <col min="38" max="38" width="14.42578125" customWidth="1"/>
    <col min="39" max="39" width="6.85546875" customWidth="1"/>
    <col min="40" max="40" width="9.140625" customWidth="1"/>
    <col min="41" max="41" width="9" customWidth="1"/>
    <col min="42" max="42" width="10.28515625" customWidth="1"/>
    <col min="43" max="43" width="14.42578125" customWidth="1"/>
    <col min="44" max="44" width="11.140625" customWidth="1"/>
    <col min="45" max="45" width="8.140625" customWidth="1"/>
    <col min="46" max="46" width="15.140625" customWidth="1"/>
    <col min="47" max="47" width="14.42578125" customWidth="1"/>
    <col min="48" max="48" width="6.85546875" customWidth="1"/>
    <col min="49" max="49" width="9.140625" customWidth="1"/>
    <col min="50" max="50" width="14.85546875" customWidth="1"/>
    <col min="51" max="51" width="9" customWidth="1"/>
    <col min="52" max="52" width="10.28515625" customWidth="1"/>
    <col min="53" max="53" width="10.42578125" customWidth="1"/>
    <col min="54" max="54" width="14.42578125" customWidth="1"/>
    <col min="55" max="55" width="11.140625" customWidth="1"/>
    <col min="56" max="56" width="8.140625" customWidth="1"/>
    <col min="57" max="57" width="8.7109375" customWidth="1"/>
    <col min="58" max="58" width="18" customWidth="1"/>
    <col min="59" max="59" width="8.28515625" customWidth="1"/>
    <col min="60" max="60" width="15.140625" customWidth="1"/>
    <col min="61" max="61" width="14.42578125" customWidth="1"/>
    <col min="62" max="62" width="7.85546875" customWidth="1"/>
    <col min="63" max="63" width="9.140625" customWidth="1"/>
    <col min="64" max="64" width="14.85546875" customWidth="1"/>
    <col min="65" max="65" width="9" customWidth="1"/>
    <col min="66" max="66" width="10.28515625" customWidth="1"/>
    <col min="67" max="67" width="10.42578125" customWidth="1"/>
    <col min="68" max="68" width="14.42578125" customWidth="1"/>
    <col min="69" max="69" width="11.140625" customWidth="1"/>
    <col min="70" max="70" width="8.140625" customWidth="1"/>
    <col min="71" max="71" width="8.7109375" customWidth="1"/>
    <col min="72" max="72" width="18" customWidth="1"/>
    <col min="73" max="73" width="8.28515625" customWidth="1"/>
    <col min="74" max="74" width="15.140625" customWidth="1"/>
    <col min="75" max="75" width="14.42578125" customWidth="1"/>
    <col min="76" max="76" width="7.85546875" customWidth="1"/>
    <col min="77" max="77" width="9.140625" customWidth="1"/>
    <col min="78" max="78" width="14.85546875" customWidth="1"/>
    <col min="79" max="79" width="9" customWidth="1"/>
    <col min="80" max="80" width="10.28515625" customWidth="1"/>
    <col min="81" max="81" width="10.42578125" customWidth="1"/>
    <col min="82" max="82" width="14.42578125" customWidth="1"/>
    <col min="83" max="83" width="11.140625" customWidth="1"/>
    <col min="84" max="84" width="8.140625" customWidth="1"/>
    <col min="85" max="85" width="8.7109375" customWidth="1"/>
    <col min="86" max="86" width="18" customWidth="1"/>
    <col min="87" max="87" width="15.140625" customWidth="1"/>
    <col min="88" max="88" width="14.42578125" customWidth="1"/>
    <col min="89" max="89" width="7.85546875" customWidth="1"/>
    <col min="90" max="90" width="9.140625" customWidth="1"/>
    <col min="91" max="91" width="14.85546875" customWidth="1"/>
    <col min="92" max="92" width="9" customWidth="1"/>
    <col min="93" max="93" width="10.28515625" customWidth="1"/>
    <col min="94" max="94" width="10.42578125" customWidth="1"/>
    <col min="95" max="95" width="14.42578125" customWidth="1"/>
    <col min="96" max="96" width="11.140625" customWidth="1"/>
    <col min="97" max="97" width="8.140625" customWidth="1"/>
    <col min="98" max="98" width="18" customWidth="1"/>
    <col min="99" max="99" width="8.28515625" customWidth="1"/>
    <col min="100" max="100" width="15.140625" customWidth="1"/>
    <col min="101" max="101" width="14.42578125" customWidth="1"/>
    <col min="102" max="102" width="7.85546875" customWidth="1"/>
    <col min="103" max="103" width="9.140625" customWidth="1"/>
    <col min="104" max="104" width="14.85546875" customWidth="1"/>
    <col min="105" max="105" width="9" customWidth="1"/>
    <col min="106" max="106" width="10.28515625" customWidth="1"/>
    <col min="107" max="107" width="10.42578125" customWidth="1"/>
    <col min="108" max="108" width="14.42578125" customWidth="1"/>
    <col min="109" max="109" width="11.140625" customWidth="1"/>
    <col min="110" max="110" width="8.140625" customWidth="1"/>
    <col min="111" max="111" width="8.7109375" customWidth="1"/>
    <col min="112" max="112" width="18" customWidth="1"/>
    <col min="113" max="113" width="8.28515625" customWidth="1"/>
    <col min="114" max="114" width="7.85546875" customWidth="1"/>
    <col min="115" max="115" width="9.140625" customWidth="1"/>
    <col min="116" max="116" width="14.85546875" customWidth="1"/>
    <col min="117" max="117" width="9" customWidth="1"/>
    <col min="118" max="118" width="10.28515625" customWidth="1"/>
    <col min="119" max="119" width="10.42578125" customWidth="1"/>
    <col min="120" max="120" width="14.42578125" customWidth="1"/>
    <col min="121" max="121" width="11.140625" customWidth="1"/>
    <col min="122" max="122" width="8.140625" customWidth="1"/>
    <col min="123" max="123" width="8.7109375" customWidth="1"/>
    <col min="124" max="124" width="18" customWidth="1"/>
    <col min="125" max="125" width="8.28515625" customWidth="1"/>
    <col min="126" max="126" width="15.140625" customWidth="1"/>
    <col min="127" max="127" width="7.85546875" customWidth="1"/>
    <col min="128" max="128" width="11.28515625" customWidth="1"/>
    <col min="129" max="501" width="7.42578125" customWidth="1"/>
    <col min="502" max="502" width="11.28515625" bestFit="1" customWidth="1"/>
  </cols>
  <sheetData>
    <row r="1" spans="1:11" x14ac:dyDescent="0.25">
      <c r="D1" s="18" t="s">
        <v>658</v>
      </c>
      <c r="E1" s="18"/>
      <c r="F1" s="18"/>
      <c r="G1" s="18"/>
      <c r="H1" s="18"/>
    </row>
    <row r="2" spans="1:11" x14ac:dyDescent="0.25">
      <c r="D2" s="18"/>
      <c r="E2" s="18"/>
      <c r="F2" s="18"/>
      <c r="G2" s="18"/>
      <c r="H2" s="18"/>
    </row>
    <row r="4" spans="1:11" x14ac:dyDescent="0.25">
      <c r="A4" s="10" t="s">
        <v>638</v>
      </c>
      <c r="B4" s="11" t="s">
        <v>659</v>
      </c>
      <c r="D4" s="3" t="s">
        <v>638</v>
      </c>
      <c r="E4" t="s">
        <v>660</v>
      </c>
      <c r="J4" s="3" t="s">
        <v>664</v>
      </c>
      <c r="K4" s="11" t="s">
        <v>665</v>
      </c>
    </row>
    <row r="5" spans="1:11" x14ac:dyDescent="0.25">
      <c r="A5" s="4">
        <v>25</v>
      </c>
      <c r="B5" s="5">
        <v>37</v>
      </c>
      <c r="D5" s="4">
        <v>25</v>
      </c>
      <c r="E5" s="5">
        <v>4</v>
      </c>
      <c r="J5" s="4" t="s">
        <v>663</v>
      </c>
      <c r="K5" s="5">
        <v>475</v>
      </c>
    </row>
    <row r="6" spans="1:11" x14ac:dyDescent="0.25">
      <c r="A6" s="4">
        <v>20</v>
      </c>
      <c r="B6" s="5">
        <v>63</v>
      </c>
      <c r="D6" s="4">
        <v>20</v>
      </c>
      <c r="E6" s="5">
        <v>23</v>
      </c>
      <c r="J6" s="4" t="s">
        <v>662</v>
      </c>
      <c r="K6" s="5">
        <v>25</v>
      </c>
    </row>
    <row r="7" spans="1:11" x14ac:dyDescent="0.25">
      <c r="A7" s="4">
        <v>16</v>
      </c>
      <c r="B7" s="5">
        <v>32</v>
      </c>
      <c r="D7" s="4">
        <v>16</v>
      </c>
      <c r="E7" s="5">
        <v>26</v>
      </c>
      <c r="J7" s="4" t="s">
        <v>655</v>
      </c>
      <c r="K7" s="5">
        <v>500</v>
      </c>
    </row>
    <row r="8" spans="1:11" x14ac:dyDescent="0.25">
      <c r="A8" s="4">
        <v>15</v>
      </c>
      <c r="B8" s="5">
        <v>63</v>
      </c>
      <c r="D8" s="4">
        <v>15</v>
      </c>
      <c r="E8" s="5">
        <v>24</v>
      </c>
    </row>
    <row r="9" spans="1:11" x14ac:dyDescent="0.25">
      <c r="A9" s="4">
        <v>12</v>
      </c>
      <c r="B9" s="5">
        <v>74</v>
      </c>
      <c r="D9" s="4">
        <v>12</v>
      </c>
      <c r="E9" s="5">
        <v>61</v>
      </c>
    </row>
    <row r="10" spans="1:11" x14ac:dyDescent="0.25">
      <c r="A10" s="4">
        <v>10</v>
      </c>
      <c r="B10" s="5">
        <v>63</v>
      </c>
      <c r="D10" s="4">
        <v>10</v>
      </c>
      <c r="E10" s="5">
        <v>14</v>
      </c>
    </row>
    <row r="11" spans="1:11" x14ac:dyDescent="0.25">
      <c r="A11" s="4">
        <v>9</v>
      </c>
      <c r="B11" s="5">
        <v>16</v>
      </c>
      <c r="D11" s="4">
        <v>9</v>
      </c>
      <c r="E11" s="5">
        <v>38</v>
      </c>
    </row>
    <row r="12" spans="1:11" x14ac:dyDescent="0.25">
      <c r="A12" s="4">
        <v>8</v>
      </c>
      <c r="B12" s="5">
        <v>50</v>
      </c>
      <c r="D12" s="4">
        <v>8</v>
      </c>
      <c r="E12" s="5">
        <v>55</v>
      </c>
    </row>
    <row r="13" spans="1:11" x14ac:dyDescent="0.25">
      <c r="A13" s="4">
        <v>6</v>
      </c>
      <c r="B13" s="5">
        <v>73</v>
      </c>
      <c r="D13" s="4">
        <v>6</v>
      </c>
      <c r="E13" s="5">
        <v>53</v>
      </c>
    </row>
    <row r="14" spans="1:11" x14ac:dyDescent="0.25">
      <c r="A14" s="4">
        <v>4</v>
      </c>
      <c r="B14" s="5">
        <v>29</v>
      </c>
      <c r="D14" s="4">
        <v>5</v>
      </c>
      <c r="E14" s="5">
        <v>24</v>
      </c>
    </row>
    <row r="15" spans="1:11" x14ac:dyDescent="0.25">
      <c r="A15" s="4" t="s">
        <v>655</v>
      </c>
      <c r="B15" s="5">
        <v>500</v>
      </c>
      <c r="D15" s="4">
        <v>4</v>
      </c>
      <c r="E15" s="5">
        <v>74</v>
      </c>
    </row>
    <row r="16" spans="1:11" x14ac:dyDescent="0.25">
      <c r="D16" s="4">
        <v>3</v>
      </c>
      <c r="E16" s="5">
        <v>36</v>
      </c>
    </row>
    <row r="17" spans="4:5" x14ac:dyDescent="0.25">
      <c r="D17" s="4">
        <v>2</v>
      </c>
      <c r="E17" s="5">
        <v>56</v>
      </c>
    </row>
    <row r="18" spans="4:5" x14ac:dyDescent="0.25">
      <c r="D18" s="4">
        <v>1</v>
      </c>
      <c r="E18" s="5">
        <v>12</v>
      </c>
    </row>
    <row r="19" spans="4:5" x14ac:dyDescent="0.25">
      <c r="D19" s="4" t="s">
        <v>655</v>
      </c>
      <c r="E19" s="5">
        <v>500</v>
      </c>
    </row>
  </sheetData>
  <mergeCells count="1">
    <mergeCell ref="D1:H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2D050"/>
  </sheetPr>
  <dimension ref="A1:V476"/>
  <sheetViews>
    <sheetView workbookViewId="0">
      <selection activeCell="O13" sqref="O13"/>
    </sheetView>
  </sheetViews>
  <sheetFormatPr defaultRowHeight="15" x14ac:dyDescent="0.25"/>
  <cols>
    <col min="2" max="2" width="18.28515625" customWidth="1"/>
    <col min="3" max="3" width="13.85546875" customWidth="1"/>
    <col min="4" max="4" width="10.5703125" customWidth="1"/>
    <col min="5" max="5" width="9.85546875" customWidth="1"/>
    <col min="7" max="7" width="17.42578125" customWidth="1"/>
    <col min="8" max="8" width="23.7109375" customWidth="1"/>
    <col min="9" max="9" width="18" customWidth="1"/>
    <col min="10" max="10" width="20.7109375" customWidth="1"/>
    <col min="11" max="11" width="17.5703125" customWidth="1"/>
    <col min="12" max="12" width="17.42578125" customWidth="1"/>
    <col min="13" max="13" width="17.85546875" customWidth="1"/>
    <col min="14" max="14" width="20.28515625" customWidth="1"/>
    <col min="15" max="15" width="20.42578125" customWidth="1"/>
    <col min="16" max="16" width="23.140625" customWidth="1"/>
    <col min="17" max="17" width="20" customWidth="1"/>
    <col min="18" max="18" width="16.140625" customWidth="1"/>
    <col min="19" max="19" width="19.85546875" customWidth="1"/>
    <col min="20" max="20" width="30.42578125" customWidth="1"/>
    <col min="21" max="21" width="20.5703125" customWidth="1"/>
    <col min="22" max="22" width="14.2851562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661</v>
      </c>
      <c r="S1" t="s">
        <v>17</v>
      </c>
      <c r="T1" t="s">
        <v>18</v>
      </c>
      <c r="U1" t="s">
        <v>19</v>
      </c>
      <c r="V1" t="s">
        <v>20</v>
      </c>
    </row>
    <row r="2" spans="1:22" x14ac:dyDescent="0.25">
      <c r="A2" t="s">
        <v>21</v>
      </c>
      <c r="B2" s="13">
        <v>46199</v>
      </c>
      <c r="C2" t="s">
        <v>22</v>
      </c>
      <c r="D2" t="s">
        <v>23</v>
      </c>
      <c r="E2" t="s">
        <v>24</v>
      </c>
      <c r="F2" t="s">
        <v>25</v>
      </c>
      <c r="G2" t="s">
        <v>26</v>
      </c>
      <c r="H2" t="s">
        <v>27</v>
      </c>
      <c r="I2">
        <v>2</v>
      </c>
      <c r="J2">
        <v>3</v>
      </c>
      <c r="K2">
        <v>6</v>
      </c>
      <c r="L2" t="s">
        <v>28</v>
      </c>
      <c r="M2" t="s">
        <v>29</v>
      </c>
      <c r="N2" t="s">
        <v>30</v>
      </c>
      <c r="O2">
        <v>1</v>
      </c>
      <c r="P2">
        <v>2</v>
      </c>
      <c r="Q2">
        <v>2</v>
      </c>
      <c r="R2" t="s">
        <v>663</v>
      </c>
      <c r="S2" t="s">
        <v>31</v>
      </c>
      <c r="T2" t="s">
        <v>32</v>
      </c>
      <c r="U2" t="s">
        <v>33</v>
      </c>
      <c r="V2" s="13">
        <v>46564</v>
      </c>
    </row>
    <row r="3" spans="1:22" x14ac:dyDescent="0.25">
      <c r="A3" t="s">
        <v>34</v>
      </c>
      <c r="B3" s="13">
        <v>45976</v>
      </c>
      <c r="C3" t="s">
        <v>35</v>
      </c>
      <c r="D3" t="s">
        <v>23</v>
      </c>
      <c r="E3" t="s">
        <v>36</v>
      </c>
      <c r="F3" t="s">
        <v>37</v>
      </c>
      <c r="G3" t="s">
        <v>38</v>
      </c>
      <c r="H3" t="s">
        <v>39</v>
      </c>
      <c r="I3">
        <v>4</v>
      </c>
      <c r="J3">
        <v>4</v>
      </c>
      <c r="K3">
        <v>16</v>
      </c>
      <c r="L3" t="s">
        <v>40</v>
      </c>
      <c r="M3" t="s">
        <v>41</v>
      </c>
      <c r="N3" t="s">
        <v>42</v>
      </c>
      <c r="O3">
        <v>4</v>
      </c>
      <c r="P3">
        <v>3</v>
      </c>
      <c r="Q3">
        <v>12</v>
      </c>
      <c r="R3" t="s">
        <v>663</v>
      </c>
      <c r="S3" t="s">
        <v>40</v>
      </c>
      <c r="T3" t="s">
        <v>43</v>
      </c>
      <c r="U3" t="s">
        <v>33</v>
      </c>
      <c r="V3" s="13">
        <v>46156</v>
      </c>
    </row>
    <row r="4" spans="1:22" x14ac:dyDescent="0.25">
      <c r="A4" t="s">
        <v>44</v>
      </c>
      <c r="B4" s="13">
        <v>45675</v>
      </c>
      <c r="C4" t="s">
        <v>45</v>
      </c>
      <c r="D4" t="s">
        <v>23</v>
      </c>
      <c r="E4" t="s">
        <v>46</v>
      </c>
      <c r="F4" t="s">
        <v>47</v>
      </c>
      <c r="G4" t="s">
        <v>48</v>
      </c>
      <c r="H4" t="s">
        <v>49</v>
      </c>
      <c r="I4">
        <v>5</v>
      </c>
      <c r="J4">
        <v>2</v>
      </c>
      <c r="K4">
        <v>10</v>
      </c>
      <c r="L4" t="s">
        <v>40</v>
      </c>
      <c r="M4" t="s">
        <v>50</v>
      </c>
      <c r="N4" t="s">
        <v>51</v>
      </c>
      <c r="O4">
        <v>5</v>
      </c>
      <c r="P4">
        <v>1</v>
      </c>
      <c r="Q4">
        <v>5</v>
      </c>
      <c r="R4" t="s">
        <v>663</v>
      </c>
      <c r="S4" t="s">
        <v>28</v>
      </c>
      <c r="T4" t="s">
        <v>32</v>
      </c>
      <c r="U4" t="s">
        <v>52</v>
      </c>
      <c r="V4" s="13">
        <v>45855</v>
      </c>
    </row>
    <row r="5" spans="1:22" x14ac:dyDescent="0.25">
      <c r="A5" t="s">
        <v>53</v>
      </c>
      <c r="B5" s="13">
        <v>45870</v>
      </c>
      <c r="C5" t="s">
        <v>54</v>
      </c>
      <c r="D5" t="s">
        <v>55</v>
      </c>
      <c r="E5" t="s">
        <v>56</v>
      </c>
      <c r="F5" t="s">
        <v>57</v>
      </c>
      <c r="G5" t="s">
        <v>58</v>
      </c>
      <c r="H5" t="s">
        <v>59</v>
      </c>
      <c r="I5">
        <v>5</v>
      </c>
      <c r="J5">
        <v>3</v>
      </c>
      <c r="K5">
        <v>15</v>
      </c>
      <c r="L5" t="s">
        <v>40</v>
      </c>
      <c r="M5" t="s">
        <v>29</v>
      </c>
      <c r="N5" t="s">
        <v>60</v>
      </c>
      <c r="O5">
        <v>3</v>
      </c>
      <c r="P5">
        <v>3</v>
      </c>
      <c r="Q5">
        <v>9</v>
      </c>
      <c r="R5" t="s">
        <v>663</v>
      </c>
      <c r="S5" t="s">
        <v>28</v>
      </c>
      <c r="T5" t="s">
        <v>61</v>
      </c>
      <c r="U5" t="s">
        <v>62</v>
      </c>
      <c r="V5" s="13">
        <v>46600</v>
      </c>
    </row>
    <row r="6" spans="1:22" x14ac:dyDescent="0.25">
      <c r="A6" t="s">
        <v>63</v>
      </c>
      <c r="B6" s="13">
        <v>46190</v>
      </c>
      <c r="C6" t="s">
        <v>64</v>
      </c>
      <c r="D6" t="s">
        <v>65</v>
      </c>
      <c r="E6" t="s">
        <v>66</v>
      </c>
      <c r="F6" t="s">
        <v>67</v>
      </c>
      <c r="G6" t="s">
        <v>35</v>
      </c>
      <c r="H6" t="s">
        <v>68</v>
      </c>
      <c r="I6">
        <v>2</v>
      </c>
      <c r="J6">
        <v>5</v>
      </c>
      <c r="K6">
        <v>10</v>
      </c>
      <c r="L6" t="s">
        <v>40</v>
      </c>
      <c r="M6" t="s">
        <v>69</v>
      </c>
      <c r="N6" t="s">
        <v>70</v>
      </c>
      <c r="O6">
        <v>1</v>
      </c>
      <c r="P6">
        <v>5</v>
      </c>
      <c r="Q6">
        <v>5</v>
      </c>
      <c r="R6" t="s">
        <v>663</v>
      </c>
      <c r="S6" t="s">
        <v>28</v>
      </c>
      <c r="T6" t="s">
        <v>32</v>
      </c>
      <c r="U6" t="s">
        <v>71</v>
      </c>
      <c r="V6" s="13">
        <v>46920</v>
      </c>
    </row>
    <row r="7" spans="1:22" x14ac:dyDescent="0.25">
      <c r="A7" t="s">
        <v>72</v>
      </c>
      <c r="B7" s="13">
        <v>46043</v>
      </c>
      <c r="C7" t="s">
        <v>73</v>
      </c>
      <c r="D7" t="s">
        <v>74</v>
      </c>
      <c r="E7" t="s">
        <v>75</v>
      </c>
      <c r="F7" t="s">
        <v>76</v>
      </c>
      <c r="G7" t="s">
        <v>73</v>
      </c>
      <c r="H7" t="s">
        <v>77</v>
      </c>
      <c r="I7">
        <v>3</v>
      </c>
      <c r="J7">
        <v>2</v>
      </c>
      <c r="K7">
        <v>6</v>
      </c>
      <c r="L7" t="s">
        <v>28</v>
      </c>
      <c r="M7" t="s">
        <v>78</v>
      </c>
      <c r="N7" t="s">
        <v>60</v>
      </c>
      <c r="O7">
        <v>3</v>
      </c>
      <c r="P7">
        <v>1</v>
      </c>
      <c r="Q7">
        <v>3</v>
      </c>
      <c r="R7" t="s">
        <v>663</v>
      </c>
      <c r="S7" t="s">
        <v>31</v>
      </c>
      <c r="T7" t="s">
        <v>32</v>
      </c>
      <c r="U7" t="s">
        <v>52</v>
      </c>
      <c r="V7" s="13">
        <v>46773</v>
      </c>
    </row>
    <row r="8" spans="1:22" x14ac:dyDescent="0.25">
      <c r="A8" t="s">
        <v>79</v>
      </c>
      <c r="B8" s="13">
        <v>45966</v>
      </c>
      <c r="C8" t="s">
        <v>22</v>
      </c>
      <c r="D8" t="s">
        <v>80</v>
      </c>
      <c r="E8" t="s">
        <v>81</v>
      </c>
      <c r="F8" t="s">
        <v>82</v>
      </c>
      <c r="G8" t="s">
        <v>81</v>
      </c>
      <c r="H8" t="s">
        <v>68</v>
      </c>
      <c r="I8">
        <v>4</v>
      </c>
      <c r="J8">
        <v>3</v>
      </c>
      <c r="K8">
        <v>12</v>
      </c>
      <c r="L8" t="s">
        <v>40</v>
      </c>
      <c r="M8" t="s">
        <v>83</v>
      </c>
      <c r="N8" t="s">
        <v>42</v>
      </c>
      <c r="O8">
        <v>3</v>
      </c>
      <c r="P8">
        <v>2</v>
      </c>
      <c r="Q8">
        <v>6</v>
      </c>
      <c r="R8" t="s">
        <v>663</v>
      </c>
      <c r="S8" t="s">
        <v>28</v>
      </c>
      <c r="T8" t="s">
        <v>43</v>
      </c>
      <c r="U8" t="s">
        <v>52</v>
      </c>
      <c r="V8" s="13">
        <v>46331</v>
      </c>
    </row>
    <row r="9" spans="1:22" x14ac:dyDescent="0.25">
      <c r="A9" t="s">
        <v>84</v>
      </c>
      <c r="B9" s="13">
        <v>46330</v>
      </c>
      <c r="C9" t="s">
        <v>85</v>
      </c>
      <c r="D9" t="s">
        <v>55</v>
      </c>
      <c r="E9" t="s">
        <v>86</v>
      </c>
      <c r="F9" t="s">
        <v>87</v>
      </c>
      <c r="G9" t="s">
        <v>48</v>
      </c>
      <c r="H9" t="s">
        <v>88</v>
      </c>
      <c r="I9">
        <v>5</v>
      </c>
      <c r="J9">
        <v>2</v>
      </c>
      <c r="K9">
        <v>10</v>
      </c>
      <c r="L9" t="s">
        <v>40</v>
      </c>
      <c r="M9" t="s">
        <v>50</v>
      </c>
      <c r="N9" t="s">
        <v>89</v>
      </c>
      <c r="O9">
        <v>4</v>
      </c>
      <c r="P9">
        <v>1</v>
      </c>
      <c r="Q9">
        <v>4</v>
      </c>
      <c r="R9" t="s">
        <v>663</v>
      </c>
      <c r="S9" t="s">
        <v>31</v>
      </c>
      <c r="T9" t="s">
        <v>43</v>
      </c>
      <c r="U9" t="s">
        <v>33</v>
      </c>
      <c r="V9" s="13">
        <v>46510</v>
      </c>
    </row>
    <row r="10" spans="1:22" x14ac:dyDescent="0.25">
      <c r="A10" t="s">
        <v>90</v>
      </c>
      <c r="B10" s="13">
        <v>45865</v>
      </c>
      <c r="C10" t="s">
        <v>64</v>
      </c>
      <c r="D10" t="s">
        <v>80</v>
      </c>
      <c r="E10" t="s">
        <v>91</v>
      </c>
      <c r="F10" t="s">
        <v>92</v>
      </c>
      <c r="G10" t="s">
        <v>35</v>
      </c>
      <c r="H10" t="s">
        <v>93</v>
      </c>
      <c r="I10">
        <v>5</v>
      </c>
      <c r="J10">
        <v>4</v>
      </c>
      <c r="K10">
        <v>20</v>
      </c>
      <c r="L10" t="s">
        <v>94</v>
      </c>
      <c r="M10" t="s">
        <v>95</v>
      </c>
      <c r="N10" t="s">
        <v>51</v>
      </c>
      <c r="O10">
        <v>4</v>
      </c>
      <c r="P10">
        <v>4</v>
      </c>
      <c r="Q10">
        <v>16</v>
      </c>
      <c r="R10" t="s">
        <v>663</v>
      </c>
      <c r="S10" t="s">
        <v>40</v>
      </c>
      <c r="T10" t="s">
        <v>61</v>
      </c>
      <c r="U10" t="s">
        <v>96</v>
      </c>
      <c r="V10" s="13">
        <v>46595</v>
      </c>
    </row>
    <row r="11" spans="1:22" x14ac:dyDescent="0.25">
      <c r="A11" t="s">
        <v>97</v>
      </c>
      <c r="B11" s="13">
        <v>45917</v>
      </c>
      <c r="C11" t="s">
        <v>22</v>
      </c>
      <c r="D11" t="s">
        <v>98</v>
      </c>
      <c r="E11" t="s">
        <v>99</v>
      </c>
      <c r="F11" t="s">
        <v>100</v>
      </c>
      <c r="G11" t="s">
        <v>35</v>
      </c>
      <c r="H11" t="s">
        <v>68</v>
      </c>
      <c r="I11">
        <v>4</v>
      </c>
      <c r="J11">
        <v>2</v>
      </c>
      <c r="K11">
        <v>8</v>
      </c>
      <c r="L11" t="s">
        <v>28</v>
      </c>
      <c r="M11" t="s">
        <v>101</v>
      </c>
      <c r="N11" t="s">
        <v>102</v>
      </c>
      <c r="O11">
        <v>2</v>
      </c>
      <c r="P11">
        <v>1</v>
      </c>
      <c r="Q11">
        <v>2</v>
      </c>
      <c r="R11" t="s">
        <v>663</v>
      </c>
      <c r="S11" t="s">
        <v>31</v>
      </c>
      <c r="T11" t="s">
        <v>43</v>
      </c>
      <c r="U11" t="s">
        <v>52</v>
      </c>
      <c r="V11" s="13">
        <v>46282</v>
      </c>
    </row>
    <row r="12" spans="1:22" x14ac:dyDescent="0.25">
      <c r="A12" t="s">
        <v>103</v>
      </c>
      <c r="B12" s="13">
        <v>46172</v>
      </c>
      <c r="C12" t="s">
        <v>73</v>
      </c>
      <c r="D12" t="s">
        <v>98</v>
      </c>
      <c r="E12" t="s">
        <v>104</v>
      </c>
      <c r="F12" t="s">
        <v>105</v>
      </c>
      <c r="G12" t="s">
        <v>73</v>
      </c>
      <c r="H12" t="s">
        <v>77</v>
      </c>
      <c r="I12">
        <v>3</v>
      </c>
      <c r="J12">
        <v>4</v>
      </c>
      <c r="K12">
        <v>12</v>
      </c>
      <c r="L12" t="s">
        <v>40</v>
      </c>
      <c r="M12" t="s">
        <v>78</v>
      </c>
      <c r="N12" t="s">
        <v>106</v>
      </c>
      <c r="O12">
        <v>1</v>
      </c>
      <c r="P12">
        <v>3</v>
      </c>
      <c r="Q12">
        <v>3</v>
      </c>
      <c r="R12" t="s">
        <v>663</v>
      </c>
      <c r="S12" t="s">
        <v>31</v>
      </c>
      <c r="T12" t="s">
        <v>61</v>
      </c>
      <c r="U12" t="s">
        <v>52</v>
      </c>
      <c r="V12" s="13">
        <v>46537</v>
      </c>
    </row>
    <row r="13" spans="1:22" x14ac:dyDescent="0.25">
      <c r="A13" t="s">
        <v>107</v>
      </c>
      <c r="B13" s="13">
        <v>45816</v>
      </c>
      <c r="C13" t="s">
        <v>22</v>
      </c>
      <c r="D13" t="s">
        <v>108</v>
      </c>
      <c r="E13" t="s">
        <v>109</v>
      </c>
      <c r="F13" t="s">
        <v>110</v>
      </c>
      <c r="G13" t="s">
        <v>111</v>
      </c>
      <c r="H13" t="s">
        <v>68</v>
      </c>
      <c r="I13">
        <v>5</v>
      </c>
      <c r="J13">
        <v>5</v>
      </c>
      <c r="K13">
        <v>25</v>
      </c>
      <c r="L13" t="s">
        <v>94</v>
      </c>
      <c r="M13" t="s">
        <v>95</v>
      </c>
      <c r="N13" t="s">
        <v>106</v>
      </c>
      <c r="O13">
        <v>5</v>
      </c>
      <c r="P13">
        <v>5</v>
      </c>
      <c r="Q13">
        <v>25</v>
      </c>
      <c r="R13" t="s">
        <v>663</v>
      </c>
      <c r="S13" t="s">
        <v>94</v>
      </c>
      <c r="T13" t="s">
        <v>61</v>
      </c>
      <c r="U13" t="s">
        <v>33</v>
      </c>
      <c r="V13" s="13">
        <v>45996</v>
      </c>
    </row>
    <row r="14" spans="1:22" x14ac:dyDescent="0.25">
      <c r="A14" t="s">
        <v>112</v>
      </c>
      <c r="B14" s="13">
        <v>46036</v>
      </c>
      <c r="C14" t="s">
        <v>35</v>
      </c>
      <c r="D14" t="s">
        <v>108</v>
      </c>
      <c r="E14" t="s">
        <v>36</v>
      </c>
      <c r="F14" t="s">
        <v>37</v>
      </c>
      <c r="G14" t="s">
        <v>38</v>
      </c>
      <c r="H14" t="s">
        <v>113</v>
      </c>
      <c r="I14">
        <v>5</v>
      </c>
      <c r="J14">
        <v>5</v>
      </c>
      <c r="K14">
        <v>25</v>
      </c>
      <c r="L14" t="s">
        <v>94</v>
      </c>
      <c r="M14" t="s">
        <v>101</v>
      </c>
      <c r="N14" t="s">
        <v>42</v>
      </c>
      <c r="O14">
        <v>4</v>
      </c>
      <c r="P14">
        <v>4</v>
      </c>
      <c r="Q14">
        <v>16</v>
      </c>
      <c r="R14" t="s">
        <v>663</v>
      </c>
      <c r="S14" t="s">
        <v>40</v>
      </c>
      <c r="T14" t="s">
        <v>61</v>
      </c>
      <c r="U14" t="s">
        <v>71</v>
      </c>
      <c r="V14" s="13">
        <v>46401</v>
      </c>
    </row>
    <row r="15" spans="1:22" x14ac:dyDescent="0.25">
      <c r="A15" t="s">
        <v>114</v>
      </c>
      <c r="B15" s="13">
        <v>46105</v>
      </c>
      <c r="C15" t="s">
        <v>22</v>
      </c>
      <c r="D15" t="s">
        <v>108</v>
      </c>
      <c r="E15" t="s">
        <v>81</v>
      </c>
      <c r="F15" t="s">
        <v>82</v>
      </c>
      <c r="G15" t="s">
        <v>81</v>
      </c>
      <c r="H15" t="s">
        <v>68</v>
      </c>
      <c r="I15">
        <v>2</v>
      </c>
      <c r="J15">
        <v>4</v>
      </c>
      <c r="K15">
        <v>8</v>
      </c>
      <c r="L15" t="s">
        <v>28</v>
      </c>
      <c r="M15" t="s">
        <v>101</v>
      </c>
      <c r="N15" t="s">
        <v>102</v>
      </c>
      <c r="O15">
        <v>2</v>
      </c>
      <c r="P15">
        <v>3</v>
      </c>
      <c r="Q15">
        <v>6</v>
      </c>
      <c r="R15" t="s">
        <v>663</v>
      </c>
      <c r="S15" t="s">
        <v>28</v>
      </c>
      <c r="T15" t="s">
        <v>32</v>
      </c>
      <c r="U15" t="s">
        <v>52</v>
      </c>
      <c r="V15" s="13">
        <v>46470</v>
      </c>
    </row>
    <row r="16" spans="1:22" x14ac:dyDescent="0.25">
      <c r="A16" t="s">
        <v>635</v>
      </c>
      <c r="B16" s="13">
        <v>45811</v>
      </c>
      <c r="C16" t="s">
        <v>64</v>
      </c>
      <c r="D16" t="s">
        <v>80</v>
      </c>
      <c r="E16" t="s">
        <v>91</v>
      </c>
      <c r="F16" t="s">
        <v>92</v>
      </c>
      <c r="G16" t="s">
        <v>35</v>
      </c>
      <c r="H16" t="s">
        <v>137</v>
      </c>
      <c r="I16">
        <v>3</v>
      </c>
      <c r="J16">
        <v>4</v>
      </c>
      <c r="K16">
        <v>12</v>
      </c>
      <c r="L16" t="s">
        <v>40</v>
      </c>
      <c r="M16" t="s">
        <v>78</v>
      </c>
      <c r="N16" t="s">
        <v>60</v>
      </c>
      <c r="O16">
        <v>1</v>
      </c>
      <c r="P16">
        <v>4</v>
      </c>
      <c r="Q16">
        <v>4</v>
      </c>
      <c r="R16" t="s">
        <v>663</v>
      </c>
      <c r="S16" t="s">
        <v>31</v>
      </c>
      <c r="T16" t="s">
        <v>32</v>
      </c>
      <c r="U16" t="s">
        <v>33</v>
      </c>
      <c r="V16" s="13">
        <v>46176</v>
      </c>
    </row>
    <row r="17" spans="1:22" x14ac:dyDescent="0.25">
      <c r="A17" t="s">
        <v>117</v>
      </c>
      <c r="B17" s="13">
        <v>45909</v>
      </c>
      <c r="C17" t="s">
        <v>22</v>
      </c>
      <c r="D17" t="s">
        <v>98</v>
      </c>
      <c r="E17" t="s">
        <v>24</v>
      </c>
      <c r="F17" t="s">
        <v>25</v>
      </c>
      <c r="G17" t="s">
        <v>26</v>
      </c>
      <c r="H17" t="s">
        <v>27</v>
      </c>
      <c r="I17">
        <v>5</v>
      </c>
      <c r="J17">
        <v>2</v>
      </c>
      <c r="K17">
        <v>10</v>
      </c>
      <c r="L17" t="s">
        <v>40</v>
      </c>
      <c r="M17" t="s">
        <v>41</v>
      </c>
      <c r="N17" t="s">
        <v>60</v>
      </c>
      <c r="O17">
        <v>4</v>
      </c>
      <c r="P17">
        <v>1</v>
      </c>
      <c r="Q17">
        <v>4</v>
      </c>
      <c r="R17" t="s">
        <v>663</v>
      </c>
      <c r="S17" t="s">
        <v>31</v>
      </c>
      <c r="T17" t="s">
        <v>43</v>
      </c>
      <c r="U17" t="s">
        <v>52</v>
      </c>
      <c r="V17" s="13">
        <v>46089</v>
      </c>
    </row>
    <row r="18" spans="1:22" x14ac:dyDescent="0.25">
      <c r="A18" t="s">
        <v>118</v>
      </c>
      <c r="B18" s="13">
        <v>46218</v>
      </c>
      <c r="C18" t="s">
        <v>64</v>
      </c>
      <c r="D18" t="s">
        <v>23</v>
      </c>
      <c r="E18" t="s">
        <v>66</v>
      </c>
      <c r="F18" t="s">
        <v>67</v>
      </c>
      <c r="G18" t="s">
        <v>35</v>
      </c>
      <c r="H18" t="s">
        <v>68</v>
      </c>
      <c r="I18">
        <v>3</v>
      </c>
      <c r="J18">
        <v>2</v>
      </c>
      <c r="K18">
        <v>6</v>
      </c>
      <c r="L18" t="s">
        <v>28</v>
      </c>
      <c r="M18" t="s">
        <v>41</v>
      </c>
      <c r="N18" t="s">
        <v>70</v>
      </c>
      <c r="O18">
        <v>2</v>
      </c>
      <c r="P18">
        <v>1</v>
      </c>
      <c r="Q18">
        <v>2</v>
      </c>
      <c r="R18" t="s">
        <v>663</v>
      </c>
      <c r="S18" t="s">
        <v>31</v>
      </c>
      <c r="T18" t="s">
        <v>61</v>
      </c>
      <c r="U18" t="s">
        <v>33</v>
      </c>
      <c r="V18" s="13">
        <v>46948</v>
      </c>
    </row>
    <row r="19" spans="1:22" x14ac:dyDescent="0.25">
      <c r="A19" t="s">
        <v>119</v>
      </c>
      <c r="B19" s="13">
        <v>46226</v>
      </c>
      <c r="C19" t="s">
        <v>35</v>
      </c>
      <c r="D19" t="s">
        <v>98</v>
      </c>
      <c r="E19" t="s">
        <v>120</v>
      </c>
      <c r="F19" t="s">
        <v>121</v>
      </c>
      <c r="G19" t="s">
        <v>35</v>
      </c>
      <c r="H19" t="s">
        <v>122</v>
      </c>
      <c r="I19">
        <v>3</v>
      </c>
      <c r="J19">
        <v>4</v>
      </c>
      <c r="K19">
        <v>12</v>
      </c>
      <c r="L19" t="s">
        <v>40</v>
      </c>
      <c r="M19" t="s">
        <v>83</v>
      </c>
      <c r="N19" t="s">
        <v>30</v>
      </c>
      <c r="O19">
        <v>2</v>
      </c>
      <c r="P19">
        <v>4</v>
      </c>
      <c r="Q19">
        <v>8</v>
      </c>
      <c r="R19" t="s">
        <v>663</v>
      </c>
      <c r="S19" t="s">
        <v>28</v>
      </c>
      <c r="T19" t="s">
        <v>32</v>
      </c>
      <c r="U19" t="s">
        <v>33</v>
      </c>
      <c r="V19" s="13">
        <v>46956</v>
      </c>
    </row>
    <row r="20" spans="1:22" x14ac:dyDescent="0.25">
      <c r="A20" t="s">
        <v>123</v>
      </c>
      <c r="B20" s="13">
        <v>46191</v>
      </c>
      <c r="C20" t="s">
        <v>73</v>
      </c>
      <c r="D20" t="s">
        <v>108</v>
      </c>
      <c r="E20" t="s">
        <v>104</v>
      </c>
      <c r="F20" t="s">
        <v>105</v>
      </c>
      <c r="G20" t="s">
        <v>73</v>
      </c>
      <c r="H20" t="s">
        <v>68</v>
      </c>
      <c r="I20">
        <v>2</v>
      </c>
      <c r="J20">
        <v>5</v>
      </c>
      <c r="K20">
        <v>10</v>
      </c>
      <c r="L20" t="s">
        <v>40</v>
      </c>
      <c r="M20" t="s">
        <v>101</v>
      </c>
      <c r="N20" t="s">
        <v>124</v>
      </c>
      <c r="O20">
        <v>1</v>
      </c>
      <c r="P20">
        <v>4</v>
      </c>
      <c r="Q20">
        <v>4</v>
      </c>
      <c r="R20" t="s">
        <v>663</v>
      </c>
      <c r="S20" t="s">
        <v>31</v>
      </c>
      <c r="T20" t="s">
        <v>43</v>
      </c>
      <c r="U20" t="s">
        <v>71</v>
      </c>
      <c r="V20" s="13">
        <v>46556</v>
      </c>
    </row>
    <row r="21" spans="1:22" x14ac:dyDescent="0.25">
      <c r="A21" t="s">
        <v>125</v>
      </c>
      <c r="B21" s="13">
        <v>45763</v>
      </c>
      <c r="C21" t="s">
        <v>85</v>
      </c>
      <c r="D21" t="s">
        <v>108</v>
      </c>
      <c r="E21" t="s">
        <v>86</v>
      </c>
      <c r="F21" t="s">
        <v>87</v>
      </c>
      <c r="G21" t="s">
        <v>48</v>
      </c>
      <c r="H21" t="s">
        <v>88</v>
      </c>
      <c r="I21">
        <v>3</v>
      </c>
      <c r="J21">
        <v>4</v>
      </c>
      <c r="K21">
        <v>12</v>
      </c>
      <c r="L21" t="s">
        <v>40</v>
      </c>
      <c r="M21" t="s">
        <v>29</v>
      </c>
      <c r="N21" t="s">
        <v>106</v>
      </c>
      <c r="O21">
        <v>1</v>
      </c>
      <c r="P21">
        <v>4</v>
      </c>
      <c r="Q21">
        <v>4</v>
      </c>
      <c r="R21" t="s">
        <v>663</v>
      </c>
      <c r="S21" t="s">
        <v>31</v>
      </c>
      <c r="T21" t="s">
        <v>43</v>
      </c>
      <c r="U21" t="s">
        <v>96</v>
      </c>
      <c r="V21" s="13">
        <v>46493</v>
      </c>
    </row>
    <row r="22" spans="1:22" x14ac:dyDescent="0.25">
      <c r="A22" t="s">
        <v>126</v>
      </c>
      <c r="B22" s="13">
        <v>46107</v>
      </c>
      <c r="C22" t="s">
        <v>22</v>
      </c>
      <c r="D22" t="s">
        <v>23</v>
      </c>
      <c r="E22" t="s">
        <v>81</v>
      </c>
      <c r="F22" t="s">
        <v>82</v>
      </c>
      <c r="G22" t="s">
        <v>81</v>
      </c>
      <c r="H22" t="s">
        <v>127</v>
      </c>
      <c r="I22">
        <v>5</v>
      </c>
      <c r="J22">
        <v>2</v>
      </c>
      <c r="K22">
        <v>10</v>
      </c>
      <c r="L22" t="s">
        <v>40</v>
      </c>
      <c r="M22" t="s">
        <v>83</v>
      </c>
      <c r="N22" t="s">
        <v>128</v>
      </c>
      <c r="O22">
        <v>4</v>
      </c>
      <c r="P22">
        <v>1</v>
      </c>
      <c r="Q22">
        <v>4</v>
      </c>
      <c r="R22" t="s">
        <v>663</v>
      </c>
      <c r="S22" t="s">
        <v>31</v>
      </c>
      <c r="T22" t="s">
        <v>43</v>
      </c>
      <c r="U22" t="s">
        <v>52</v>
      </c>
      <c r="V22" s="13">
        <v>46287</v>
      </c>
    </row>
    <row r="23" spans="1:22" x14ac:dyDescent="0.25">
      <c r="A23" t="s">
        <v>129</v>
      </c>
      <c r="B23" s="13">
        <v>46091</v>
      </c>
      <c r="C23" t="s">
        <v>35</v>
      </c>
      <c r="D23" t="s">
        <v>55</v>
      </c>
      <c r="E23" t="s">
        <v>120</v>
      </c>
      <c r="F23" t="s">
        <v>121</v>
      </c>
      <c r="G23" t="s">
        <v>35</v>
      </c>
      <c r="H23" t="s">
        <v>68</v>
      </c>
      <c r="I23">
        <v>3</v>
      </c>
      <c r="J23">
        <v>5</v>
      </c>
      <c r="K23">
        <v>15</v>
      </c>
      <c r="L23" t="s">
        <v>40</v>
      </c>
      <c r="M23" t="s">
        <v>95</v>
      </c>
      <c r="N23" t="s">
        <v>60</v>
      </c>
      <c r="O23">
        <v>2</v>
      </c>
      <c r="P23">
        <v>4</v>
      </c>
      <c r="Q23">
        <v>8</v>
      </c>
      <c r="R23" t="s">
        <v>663</v>
      </c>
      <c r="S23" t="s">
        <v>28</v>
      </c>
      <c r="T23" t="s">
        <v>32</v>
      </c>
      <c r="U23" t="s">
        <v>33</v>
      </c>
      <c r="V23" s="13">
        <v>46271</v>
      </c>
    </row>
    <row r="24" spans="1:22" x14ac:dyDescent="0.25">
      <c r="A24" t="s">
        <v>130</v>
      </c>
      <c r="B24" s="13">
        <v>45842</v>
      </c>
      <c r="C24" t="s">
        <v>35</v>
      </c>
      <c r="D24" t="s">
        <v>23</v>
      </c>
      <c r="E24" t="s">
        <v>36</v>
      </c>
      <c r="F24" t="s">
        <v>37</v>
      </c>
      <c r="G24" t="s">
        <v>38</v>
      </c>
      <c r="H24" t="s">
        <v>113</v>
      </c>
      <c r="I24">
        <v>5</v>
      </c>
      <c r="J24">
        <v>4</v>
      </c>
      <c r="K24">
        <v>20</v>
      </c>
      <c r="L24" t="s">
        <v>94</v>
      </c>
      <c r="M24" t="s">
        <v>78</v>
      </c>
      <c r="N24" t="s">
        <v>102</v>
      </c>
      <c r="O24">
        <v>4</v>
      </c>
      <c r="P24">
        <v>3</v>
      </c>
      <c r="Q24">
        <v>12</v>
      </c>
      <c r="R24" t="s">
        <v>663</v>
      </c>
      <c r="S24" t="s">
        <v>40</v>
      </c>
      <c r="T24" t="s">
        <v>43</v>
      </c>
      <c r="U24" t="s">
        <v>33</v>
      </c>
      <c r="V24" s="13">
        <v>46022</v>
      </c>
    </row>
    <row r="25" spans="1:22" x14ac:dyDescent="0.25">
      <c r="A25" t="s">
        <v>634</v>
      </c>
      <c r="B25" s="13">
        <v>45734</v>
      </c>
      <c r="C25" t="s">
        <v>108</v>
      </c>
      <c r="D25" t="s">
        <v>74</v>
      </c>
      <c r="E25" t="s">
        <v>162</v>
      </c>
      <c r="F25" t="s">
        <v>163</v>
      </c>
      <c r="G25" t="s">
        <v>164</v>
      </c>
      <c r="H25" t="s">
        <v>68</v>
      </c>
      <c r="I25">
        <v>5</v>
      </c>
      <c r="J25">
        <v>2</v>
      </c>
      <c r="K25">
        <v>10</v>
      </c>
      <c r="L25" t="s">
        <v>40</v>
      </c>
      <c r="M25" t="s">
        <v>69</v>
      </c>
      <c r="N25" t="s">
        <v>106</v>
      </c>
      <c r="O25">
        <v>4</v>
      </c>
      <c r="P25">
        <v>1</v>
      </c>
      <c r="Q25">
        <v>4</v>
      </c>
      <c r="R25" t="s">
        <v>663</v>
      </c>
      <c r="S25" t="s">
        <v>31</v>
      </c>
      <c r="T25" t="s">
        <v>61</v>
      </c>
      <c r="U25" t="s">
        <v>62</v>
      </c>
      <c r="V25" s="13">
        <v>45914</v>
      </c>
    </row>
    <row r="26" spans="1:22" x14ac:dyDescent="0.25">
      <c r="A26" t="s">
        <v>132</v>
      </c>
      <c r="B26" s="13">
        <v>45842</v>
      </c>
      <c r="C26" t="s">
        <v>35</v>
      </c>
      <c r="D26" t="s">
        <v>80</v>
      </c>
      <c r="E26" t="s">
        <v>36</v>
      </c>
      <c r="F26" t="s">
        <v>37</v>
      </c>
      <c r="G26" t="s">
        <v>38</v>
      </c>
      <c r="H26" t="s">
        <v>116</v>
      </c>
      <c r="I26">
        <v>2</v>
      </c>
      <c r="J26">
        <v>2</v>
      </c>
      <c r="K26">
        <v>4</v>
      </c>
      <c r="L26" t="s">
        <v>31</v>
      </c>
      <c r="M26" t="s">
        <v>101</v>
      </c>
      <c r="N26" t="s">
        <v>124</v>
      </c>
      <c r="O26">
        <v>2</v>
      </c>
      <c r="P26">
        <v>1</v>
      </c>
      <c r="Q26">
        <v>2</v>
      </c>
      <c r="R26" t="s">
        <v>663</v>
      </c>
      <c r="S26" t="s">
        <v>31</v>
      </c>
      <c r="T26" t="s">
        <v>32</v>
      </c>
      <c r="U26" t="s">
        <v>52</v>
      </c>
      <c r="V26" s="13">
        <v>46022</v>
      </c>
    </row>
    <row r="27" spans="1:22" x14ac:dyDescent="0.25">
      <c r="A27" t="s">
        <v>133</v>
      </c>
      <c r="B27" s="13">
        <v>45936</v>
      </c>
      <c r="C27" t="s">
        <v>22</v>
      </c>
      <c r="D27" t="s">
        <v>98</v>
      </c>
      <c r="E27" t="s">
        <v>81</v>
      </c>
      <c r="F27" t="s">
        <v>82</v>
      </c>
      <c r="G27" t="s">
        <v>81</v>
      </c>
      <c r="H27" t="s">
        <v>127</v>
      </c>
      <c r="I27">
        <v>3</v>
      </c>
      <c r="J27">
        <v>2</v>
      </c>
      <c r="K27">
        <v>6</v>
      </c>
      <c r="L27" t="s">
        <v>28</v>
      </c>
      <c r="M27" t="s">
        <v>83</v>
      </c>
      <c r="N27" t="s">
        <v>128</v>
      </c>
      <c r="O27">
        <v>1</v>
      </c>
      <c r="P27">
        <v>2</v>
      </c>
      <c r="Q27">
        <v>2</v>
      </c>
      <c r="R27" t="s">
        <v>663</v>
      </c>
      <c r="S27" t="s">
        <v>31</v>
      </c>
      <c r="T27" t="s">
        <v>61</v>
      </c>
      <c r="U27" t="s">
        <v>62</v>
      </c>
      <c r="V27" s="13">
        <v>46666</v>
      </c>
    </row>
    <row r="28" spans="1:22" x14ac:dyDescent="0.25">
      <c r="A28" t="s">
        <v>134</v>
      </c>
      <c r="B28" s="13">
        <v>45847</v>
      </c>
      <c r="C28" t="s">
        <v>22</v>
      </c>
      <c r="D28" t="s">
        <v>80</v>
      </c>
      <c r="E28" t="s">
        <v>135</v>
      </c>
      <c r="F28" t="s">
        <v>136</v>
      </c>
      <c r="G28" t="s">
        <v>35</v>
      </c>
      <c r="H28" t="s">
        <v>137</v>
      </c>
      <c r="I28">
        <v>5</v>
      </c>
      <c r="J28">
        <v>3</v>
      </c>
      <c r="K28">
        <v>15</v>
      </c>
      <c r="L28" t="s">
        <v>40</v>
      </c>
      <c r="M28" t="s">
        <v>50</v>
      </c>
      <c r="N28" t="s">
        <v>60</v>
      </c>
      <c r="O28">
        <v>3</v>
      </c>
      <c r="P28">
        <v>3</v>
      </c>
      <c r="Q28">
        <v>9</v>
      </c>
      <c r="R28" t="s">
        <v>663</v>
      </c>
      <c r="S28" t="s">
        <v>28</v>
      </c>
      <c r="T28" t="s">
        <v>61</v>
      </c>
      <c r="U28" t="s">
        <v>71</v>
      </c>
      <c r="V28" s="13">
        <v>46212</v>
      </c>
    </row>
    <row r="29" spans="1:22" x14ac:dyDescent="0.25">
      <c r="A29" t="s">
        <v>138</v>
      </c>
      <c r="B29" s="13">
        <v>46200</v>
      </c>
      <c r="C29" t="s">
        <v>22</v>
      </c>
      <c r="D29" t="s">
        <v>55</v>
      </c>
      <c r="E29" t="s">
        <v>135</v>
      </c>
      <c r="F29" t="s">
        <v>136</v>
      </c>
      <c r="G29" t="s">
        <v>35</v>
      </c>
      <c r="H29" t="s">
        <v>93</v>
      </c>
      <c r="I29">
        <v>4</v>
      </c>
      <c r="J29">
        <v>2</v>
      </c>
      <c r="K29">
        <v>8</v>
      </c>
      <c r="L29" t="s">
        <v>28</v>
      </c>
      <c r="M29" t="s">
        <v>95</v>
      </c>
      <c r="N29" t="s">
        <v>30</v>
      </c>
      <c r="O29">
        <v>3</v>
      </c>
      <c r="P29">
        <v>1</v>
      </c>
      <c r="Q29">
        <v>3</v>
      </c>
      <c r="R29" t="s">
        <v>663</v>
      </c>
      <c r="S29" t="s">
        <v>31</v>
      </c>
      <c r="T29" t="s">
        <v>61</v>
      </c>
      <c r="U29" t="s">
        <v>62</v>
      </c>
      <c r="V29" s="13">
        <v>46930</v>
      </c>
    </row>
    <row r="30" spans="1:22" x14ac:dyDescent="0.25">
      <c r="A30" t="s">
        <v>139</v>
      </c>
      <c r="B30" s="13">
        <v>46304</v>
      </c>
      <c r="C30" t="s">
        <v>85</v>
      </c>
      <c r="D30" t="s">
        <v>74</v>
      </c>
      <c r="E30" t="s">
        <v>140</v>
      </c>
      <c r="F30" t="s">
        <v>141</v>
      </c>
      <c r="G30" t="s">
        <v>142</v>
      </c>
      <c r="H30" t="s">
        <v>143</v>
      </c>
      <c r="I30">
        <v>3</v>
      </c>
      <c r="J30">
        <v>4</v>
      </c>
      <c r="K30">
        <v>12</v>
      </c>
      <c r="L30" t="s">
        <v>40</v>
      </c>
      <c r="M30" t="s">
        <v>83</v>
      </c>
      <c r="N30" t="s">
        <v>89</v>
      </c>
      <c r="O30">
        <v>1</v>
      </c>
      <c r="P30">
        <v>4</v>
      </c>
      <c r="Q30">
        <v>4</v>
      </c>
      <c r="R30" t="s">
        <v>663</v>
      </c>
      <c r="S30" t="s">
        <v>31</v>
      </c>
      <c r="T30" t="s">
        <v>32</v>
      </c>
      <c r="U30" t="s">
        <v>62</v>
      </c>
      <c r="V30" s="13">
        <v>46669</v>
      </c>
    </row>
    <row r="31" spans="1:22" x14ac:dyDescent="0.25">
      <c r="A31" t="s">
        <v>144</v>
      </c>
      <c r="B31" s="13">
        <v>46240</v>
      </c>
      <c r="C31" t="s">
        <v>22</v>
      </c>
      <c r="D31" t="s">
        <v>23</v>
      </c>
      <c r="E31" t="s">
        <v>81</v>
      </c>
      <c r="F31" t="s">
        <v>82</v>
      </c>
      <c r="G31" t="s">
        <v>81</v>
      </c>
      <c r="H31" t="s">
        <v>127</v>
      </c>
      <c r="I31">
        <v>2</v>
      </c>
      <c r="J31">
        <v>5</v>
      </c>
      <c r="K31">
        <v>10</v>
      </c>
      <c r="L31" t="s">
        <v>40</v>
      </c>
      <c r="M31" t="s">
        <v>78</v>
      </c>
      <c r="N31" t="s">
        <v>106</v>
      </c>
      <c r="O31">
        <v>1</v>
      </c>
      <c r="P31">
        <v>5</v>
      </c>
      <c r="Q31">
        <v>5</v>
      </c>
      <c r="R31" t="s">
        <v>663</v>
      </c>
      <c r="S31" t="s">
        <v>28</v>
      </c>
      <c r="T31" t="s">
        <v>61</v>
      </c>
      <c r="U31" t="s">
        <v>71</v>
      </c>
      <c r="V31" s="13">
        <v>46970</v>
      </c>
    </row>
    <row r="32" spans="1:22" x14ac:dyDescent="0.25">
      <c r="A32" t="s">
        <v>145</v>
      </c>
      <c r="B32" s="13">
        <v>45793</v>
      </c>
      <c r="C32" t="s">
        <v>35</v>
      </c>
      <c r="D32" t="s">
        <v>55</v>
      </c>
      <c r="E32" t="s">
        <v>36</v>
      </c>
      <c r="F32" t="s">
        <v>37</v>
      </c>
      <c r="G32" t="s">
        <v>38</v>
      </c>
      <c r="H32" t="s">
        <v>39</v>
      </c>
      <c r="I32">
        <v>5</v>
      </c>
      <c r="J32">
        <v>4</v>
      </c>
      <c r="K32">
        <v>20</v>
      </c>
      <c r="L32" t="s">
        <v>94</v>
      </c>
      <c r="M32" t="s">
        <v>83</v>
      </c>
      <c r="N32" t="s">
        <v>51</v>
      </c>
      <c r="O32">
        <v>5</v>
      </c>
      <c r="P32">
        <v>3</v>
      </c>
      <c r="Q32">
        <v>15</v>
      </c>
      <c r="R32" t="s">
        <v>663</v>
      </c>
      <c r="S32" t="s">
        <v>40</v>
      </c>
      <c r="T32" t="s">
        <v>61</v>
      </c>
      <c r="U32" t="s">
        <v>96</v>
      </c>
      <c r="V32" s="13">
        <v>46523</v>
      </c>
    </row>
    <row r="33" spans="1:22" x14ac:dyDescent="0.25">
      <c r="A33" t="s">
        <v>146</v>
      </c>
      <c r="B33" s="13">
        <v>46064</v>
      </c>
      <c r="C33" t="s">
        <v>35</v>
      </c>
      <c r="D33" t="s">
        <v>80</v>
      </c>
      <c r="E33" t="s">
        <v>120</v>
      </c>
      <c r="F33" t="s">
        <v>121</v>
      </c>
      <c r="G33" t="s">
        <v>35</v>
      </c>
      <c r="H33" t="s">
        <v>137</v>
      </c>
      <c r="I33">
        <v>2</v>
      </c>
      <c r="J33">
        <v>4</v>
      </c>
      <c r="K33">
        <v>8</v>
      </c>
      <c r="L33" t="s">
        <v>28</v>
      </c>
      <c r="M33" t="s">
        <v>95</v>
      </c>
      <c r="N33" t="s">
        <v>106</v>
      </c>
      <c r="O33">
        <v>1</v>
      </c>
      <c r="P33">
        <v>3</v>
      </c>
      <c r="Q33">
        <v>3</v>
      </c>
      <c r="R33" t="s">
        <v>663</v>
      </c>
      <c r="S33" t="s">
        <v>31</v>
      </c>
      <c r="T33" t="s">
        <v>61</v>
      </c>
      <c r="U33" t="s">
        <v>62</v>
      </c>
      <c r="V33" s="13">
        <v>46429</v>
      </c>
    </row>
    <row r="34" spans="1:22" x14ac:dyDescent="0.25">
      <c r="A34" t="s">
        <v>147</v>
      </c>
      <c r="B34" s="13">
        <v>46156</v>
      </c>
      <c r="C34" t="s">
        <v>22</v>
      </c>
      <c r="D34" t="s">
        <v>55</v>
      </c>
      <c r="E34" t="s">
        <v>24</v>
      </c>
      <c r="F34" t="s">
        <v>25</v>
      </c>
      <c r="G34" t="s">
        <v>26</v>
      </c>
      <c r="H34" t="s">
        <v>116</v>
      </c>
      <c r="I34">
        <v>2</v>
      </c>
      <c r="J34">
        <v>5</v>
      </c>
      <c r="K34">
        <v>10</v>
      </c>
      <c r="L34" t="s">
        <v>40</v>
      </c>
      <c r="M34" t="s">
        <v>78</v>
      </c>
      <c r="N34" t="s">
        <v>60</v>
      </c>
      <c r="O34">
        <v>1</v>
      </c>
      <c r="P34">
        <v>4</v>
      </c>
      <c r="Q34">
        <v>4</v>
      </c>
      <c r="R34" t="s">
        <v>663</v>
      </c>
      <c r="S34" t="s">
        <v>31</v>
      </c>
      <c r="T34" t="s">
        <v>32</v>
      </c>
      <c r="U34" t="s">
        <v>52</v>
      </c>
      <c r="V34" s="13">
        <v>46886</v>
      </c>
    </row>
    <row r="35" spans="1:22" x14ac:dyDescent="0.25">
      <c r="A35" t="s">
        <v>148</v>
      </c>
      <c r="B35" s="13">
        <v>46054</v>
      </c>
      <c r="C35" t="s">
        <v>108</v>
      </c>
      <c r="D35" t="s">
        <v>65</v>
      </c>
      <c r="E35" t="s">
        <v>149</v>
      </c>
      <c r="F35" t="s">
        <v>150</v>
      </c>
      <c r="G35" t="s">
        <v>151</v>
      </c>
      <c r="H35" t="s">
        <v>143</v>
      </c>
      <c r="I35">
        <v>5</v>
      </c>
      <c r="J35">
        <v>5</v>
      </c>
      <c r="K35">
        <v>25</v>
      </c>
      <c r="L35" t="s">
        <v>94</v>
      </c>
      <c r="M35" t="s">
        <v>41</v>
      </c>
      <c r="N35" t="s">
        <v>106</v>
      </c>
      <c r="O35">
        <v>4</v>
      </c>
      <c r="P35">
        <v>4</v>
      </c>
      <c r="Q35">
        <v>16</v>
      </c>
      <c r="R35" t="s">
        <v>663</v>
      </c>
      <c r="S35" t="s">
        <v>40</v>
      </c>
      <c r="T35" t="s">
        <v>61</v>
      </c>
      <c r="U35" t="s">
        <v>96</v>
      </c>
      <c r="V35" s="13">
        <v>46234</v>
      </c>
    </row>
    <row r="36" spans="1:22" x14ac:dyDescent="0.25">
      <c r="A36" t="s">
        <v>152</v>
      </c>
      <c r="B36" s="13">
        <v>45957</v>
      </c>
      <c r="C36" t="s">
        <v>85</v>
      </c>
      <c r="D36" t="s">
        <v>98</v>
      </c>
      <c r="E36" t="s">
        <v>140</v>
      </c>
      <c r="F36" t="s">
        <v>141</v>
      </c>
      <c r="G36" t="s">
        <v>142</v>
      </c>
      <c r="H36" t="s">
        <v>153</v>
      </c>
      <c r="I36">
        <v>3</v>
      </c>
      <c r="J36">
        <v>2</v>
      </c>
      <c r="K36">
        <v>6</v>
      </c>
      <c r="L36" t="s">
        <v>28</v>
      </c>
      <c r="M36" t="s">
        <v>101</v>
      </c>
      <c r="N36" t="s">
        <v>124</v>
      </c>
      <c r="O36">
        <v>2</v>
      </c>
      <c r="P36">
        <v>2</v>
      </c>
      <c r="Q36">
        <v>4</v>
      </c>
      <c r="R36" t="s">
        <v>663</v>
      </c>
      <c r="S36" t="s">
        <v>31</v>
      </c>
      <c r="T36" t="s">
        <v>61</v>
      </c>
      <c r="U36" t="s">
        <v>52</v>
      </c>
      <c r="V36" s="13">
        <v>46137</v>
      </c>
    </row>
    <row r="37" spans="1:22" x14ac:dyDescent="0.25">
      <c r="A37" t="s">
        <v>154</v>
      </c>
      <c r="B37" s="13">
        <v>45726</v>
      </c>
      <c r="C37" t="s">
        <v>45</v>
      </c>
      <c r="D37" t="s">
        <v>65</v>
      </c>
      <c r="E37" t="s">
        <v>46</v>
      </c>
      <c r="F37" t="s">
        <v>47</v>
      </c>
      <c r="G37" t="s">
        <v>48</v>
      </c>
      <c r="H37" t="s">
        <v>49</v>
      </c>
      <c r="I37">
        <v>5</v>
      </c>
      <c r="J37">
        <v>5</v>
      </c>
      <c r="K37">
        <v>25</v>
      </c>
      <c r="L37" t="s">
        <v>94</v>
      </c>
      <c r="M37" t="s">
        <v>101</v>
      </c>
      <c r="N37" t="s">
        <v>60</v>
      </c>
      <c r="O37">
        <v>4</v>
      </c>
      <c r="P37">
        <v>5</v>
      </c>
      <c r="Q37">
        <v>20</v>
      </c>
      <c r="R37" t="s">
        <v>663</v>
      </c>
      <c r="S37" t="s">
        <v>94</v>
      </c>
      <c r="T37" t="s">
        <v>43</v>
      </c>
      <c r="U37" t="s">
        <v>52</v>
      </c>
      <c r="V37" s="13">
        <v>46091</v>
      </c>
    </row>
    <row r="38" spans="1:22" x14ac:dyDescent="0.25">
      <c r="A38" t="s">
        <v>155</v>
      </c>
      <c r="B38" s="13">
        <v>45843</v>
      </c>
      <c r="C38" t="s">
        <v>64</v>
      </c>
      <c r="D38" t="s">
        <v>98</v>
      </c>
      <c r="E38" t="s">
        <v>91</v>
      </c>
      <c r="F38" t="s">
        <v>92</v>
      </c>
      <c r="G38" t="s">
        <v>35</v>
      </c>
      <c r="H38" t="s">
        <v>122</v>
      </c>
      <c r="I38">
        <v>4</v>
      </c>
      <c r="J38">
        <v>5</v>
      </c>
      <c r="K38">
        <v>20</v>
      </c>
      <c r="L38" t="s">
        <v>94</v>
      </c>
      <c r="M38" t="s">
        <v>83</v>
      </c>
      <c r="N38" t="s">
        <v>51</v>
      </c>
      <c r="O38">
        <v>3</v>
      </c>
      <c r="P38">
        <v>4</v>
      </c>
      <c r="Q38">
        <v>12</v>
      </c>
      <c r="R38" t="s">
        <v>663</v>
      </c>
      <c r="S38" t="s">
        <v>40</v>
      </c>
      <c r="T38" t="s">
        <v>32</v>
      </c>
      <c r="U38" t="s">
        <v>52</v>
      </c>
      <c r="V38" s="13">
        <v>46208</v>
      </c>
    </row>
    <row r="39" spans="1:22" x14ac:dyDescent="0.25">
      <c r="A39" t="s">
        <v>156</v>
      </c>
      <c r="B39" s="13">
        <v>46166</v>
      </c>
      <c r="C39" t="s">
        <v>22</v>
      </c>
      <c r="D39" t="s">
        <v>23</v>
      </c>
      <c r="E39" t="s">
        <v>109</v>
      </c>
      <c r="F39" t="s">
        <v>110</v>
      </c>
      <c r="G39" t="s">
        <v>111</v>
      </c>
      <c r="H39" t="s">
        <v>143</v>
      </c>
      <c r="I39">
        <v>2</v>
      </c>
      <c r="J39">
        <v>5</v>
      </c>
      <c r="K39">
        <v>10</v>
      </c>
      <c r="L39" t="s">
        <v>40</v>
      </c>
      <c r="M39" t="s">
        <v>29</v>
      </c>
      <c r="N39" t="s">
        <v>30</v>
      </c>
      <c r="O39">
        <v>2</v>
      </c>
      <c r="P39">
        <v>4</v>
      </c>
      <c r="Q39">
        <v>8</v>
      </c>
      <c r="R39" t="s">
        <v>663</v>
      </c>
      <c r="S39" t="s">
        <v>28</v>
      </c>
      <c r="T39" t="s">
        <v>61</v>
      </c>
      <c r="U39" t="s">
        <v>96</v>
      </c>
      <c r="V39" s="13">
        <v>46346</v>
      </c>
    </row>
    <row r="40" spans="1:22" x14ac:dyDescent="0.25">
      <c r="A40" t="s">
        <v>157</v>
      </c>
      <c r="B40" s="13">
        <v>45838</v>
      </c>
      <c r="C40" t="s">
        <v>85</v>
      </c>
      <c r="D40" t="s">
        <v>65</v>
      </c>
      <c r="E40" t="s">
        <v>140</v>
      </c>
      <c r="F40" t="s">
        <v>141</v>
      </c>
      <c r="G40" t="s">
        <v>142</v>
      </c>
      <c r="H40" t="s">
        <v>153</v>
      </c>
      <c r="I40">
        <v>5</v>
      </c>
      <c r="J40">
        <v>5</v>
      </c>
      <c r="K40">
        <v>25</v>
      </c>
      <c r="L40" t="s">
        <v>94</v>
      </c>
      <c r="M40" t="s">
        <v>69</v>
      </c>
      <c r="N40" t="s">
        <v>102</v>
      </c>
      <c r="O40">
        <v>4</v>
      </c>
      <c r="P40">
        <v>4</v>
      </c>
      <c r="Q40">
        <v>16</v>
      </c>
      <c r="R40" t="s">
        <v>663</v>
      </c>
      <c r="S40" t="s">
        <v>40</v>
      </c>
      <c r="T40" t="s">
        <v>43</v>
      </c>
      <c r="U40" t="s">
        <v>62</v>
      </c>
      <c r="V40" s="13">
        <v>46203</v>
      </c>
    </row>
    <row r="41" spans="1:22" x14ac:dyDescent="0.25">
      <c r="A41" t="s">
        <v>158</v>
      </c>
      <c r="B41" s="13">
        <v>45664</v>
      </c>
      <c r="C41" t="s">
        <v>54</v>
      </c>
      <c r="D41" t="s">
        <v>108</v>
      </c>
      <c r="E41" t="s">
        <v>56</v>
      </c>
      <c r="F41" t="s">
        <v>57</v>
      </c>
      <c r="G41" t="s">
        <v>58</v>
      </c>
      <c r="H41" t="s">
        <v>59</v>
      </c>
      <c r="I41">
        <v>4</v>
      </c>
      <c r="J41">
        <v>4</v>
      </c>
      <c r="K41">
        <v>16</v>
      </c>
      <c r="L41" t="s">
        <v>40</v>
      </c>
      <c r="M41" t="s">
        <v>29</v>
      </c>
      <c r="N41" t="s">
        <v>70</v>
      </c>
      <c r="O41">
        <v>2</v>
      </c>
      <c r="P41">
        <v>3</v>
      </c>
      <c r="Q41">
        <v>6</v>
      </c>
      <c r="R41" t="s">
        <v>663</v>
      </c>
      <c r="S41" t="s">
        <v>28</v>
      </c>
      <c r="T41" t="s">
        <v>61</v>
      </c>
      <c r="U41" t="s">
        <v>96</v>
      </c>
      <c r="V41" s="13">
        <v>46029</v>
      </c>
    </row>
    <row r="42" spans="1:22" x14ac:dyDescent="0.25">
      <c r="A42" t="s">
        <v>159</v>
      </c>
      <c r="B42" s="13">
        <v>46020</v>
      </c>
      <c r="C42" t="s">
        <v>73</v>
      </c>
      <c r="D42" t="s">
        <v>23</v>
      </c>
      <c r="E42" t="s">
        <v>75</v>
      </c>
      <c r="F42" t="s">
        <v>76</v>
      </c>
      <c r="G42" t="s">
        <v>73</v>
      </c>
      <c r="H42" t="s">
        <v>68</v>
      </c>
      <c r="I42">
        <v>2</v>
      </c>
      <c r="J42">
        <v>5</v>
      </c>
      <c r="K42">
        <v>10</v>
      </c>
      <c r="L42" t="s">
        <v>40</v>
      </c>
      <c r="M42" t="s">
        <v>78</v>
      </c>
      <c r="N42" t="s">
        <v>89</v>
      </c>
      <c r="O42">
        <v>2</v>
      </c>
      <c r="P42">
        <v>4</v>
      </c>
      <c r="Q42">
        <v>8</v>
      </c>
      <c r="R42" t="s">
        <v>663</v>
      </c>
      <c r="S42" t="s">
        <v>28</v>
      </c>
      <c r="T42" t="s">
        <v>32</v>
      </c>
      <c r="U42" t="s">
        <v>96</v>
      </c>
      <c r="V42" s="13">
        <v>46385</v>
      </c>
    </row>
    <row r="43" spans="1:22" x14ac:dyDescent="0.25">
      <c r="A43" t="s">
        <v>160</v>
      </c>
      <c r="B43" s="13">
        <v>45965</v>
      </c>
      <c r="C43" t="s">
        <v>45</v>
      </c>
      <c r="D43" t="s">
        <v>108</v>
      </c>
      <c r="E43" t="s">
        <v>46</v>
      </c>
      <c r="F43" t="s">
        <v>47</v>
      </c>
      <c r="G43" t="s">
        <v>48</v>
      </c>
      <c r="H43" t="s">
        <v>88</v>
      </c>
      <c r="I43">
        <v>4</v>
      </c>
      <c r="J43">
        <v>4</v>
      </c>
      <c r="K43">
        <v>16</v>
      </c>
      <c r="L43" t="s">
        <v>40</v>
      </c>
      <c r="M43" t="s">
        <v>29</v>
      </c>
      <c r="N43" t="s">
        <v>124</v>
      </c>
      <c r="O43">
        <v>4</v>
      </c>
      <c r="P43">
        <v>3</v>
      </c>
      <c r="Q43">
        <v>12</v>
      </c>
      <c r="R43" t="s">
        <v>663</v>
      </c>
      <c r="S43" t="s">
        <v>40</v>
      </c>
      <c r="T43" t="s">
        <v>32</v>
      </c>
      <c r="U43" t="s">
        <v>96</v>
      </c>
      <c r="V43" s="13">
        <v>46330</v>
      </c>
    </row>
    <row r="44" spans="1:22" x14ac:dyDescent="0.25">
      <c r="A44" t="s">
        <v>161</v>
      </c>
      <c r="B44" s="13">
        <v>46036</v>
      </c>
      <c r="C44" t="s">
        <v>108</v>
      </c>
      <c r="D44" t="s">
        <v>98</v>
      </c>
      <c r="E44" t="s">
        <v>162</v>
      </c>
      <c r="F44" t="s">
        <v>163</v>
      </c>
      <c r="G44" t="s">
        <v>164</v>
      </c>
      <c r="H44" t="s">
        <v>68</v>
      </c>
      <c r="I44">
        <v>4</v>
      </c>
      <c r="J44">
        <v>2</v>
      </c>
      <c r="K44">
        <v>8</v>
      </c>
      <c r="L44" t="s">
        <v>28</v>
      </c>
      <c r="M44" t="s">
        <v>69</v>
      </c>
      <c r="N44" t="s">
        <v>42</v>
      </c>
      <c r="O44">
        <v>2</v>
      </c>
      <c r="P44">
        <v>2</v>
      </c>
      <c r="Q44">
        <v>4</v>
      </c>
      <c r="R44" t="s">
        <v>663</v>
      </c>
      <c r="S44" t="s">
        <v>31</v>
      </c>
      <c r="T44" t="s">
        <v>61</v>
      </c>
      <c r="U44" t="s">
        <v>96</v>
      </c>
      <c r="V44" s="13">
        <v>46216</v>
      </c>
    </row>
    <row r="45" spans="1:22" x14ac:dyDescent="0.25">
      <c r="A45" t="s">
        <v>165</v>
      </c>
      <c r="B45" s="13">
        <v>46068</v>
      </c>
      <c r="C45" t="s">
        <v>22</v>
      </c>
      <c r="D45" t="s">
        <v>23</v>
      </c>
      <c r="E45" t="s">
        <v>81</v>
      </c>
      <c r="F45" t="s">
        <v>82</v>
      </c>
      <c r="G45" t="s">
        <v>81</v>
      </c>
      <c r="H45" t="s">
        <v>68</v>
      </c>
      <c r="I45">
        <v>3</v>
      </c>
      <c r="J45">
        <v>2</v>
      </c>
      <c r="K45">
        <v>6</v>
      </c>
      <c r="L45" t="s">
        <v>28</v>
      </c>
      <c r="M45" t="s">
        <v>29</v>
      </c>
      <c r="N45" t="s">
        <v>42</v>
      </c>
      <c r="O45">
        <v>2</v>
      </c>
      <c r="P45">
        <v>1</v>
      </c>
      <c r="Q45">
        <v>2</v>
      </c>
      <c r="R45" t="s">
        <v>663</v>
      </c>
      <c r="S45" t="s">
        <v>31</v>
      </c>
      <c r="T45" t="s">
        <v>43</v>
      </c>
      <c r="U45" t="s">
        <v>52</v>
      </c>
      <c r="V45" s="13">
        <v>46798</v>
      </c>
    </row>
    <row r="46" spans="1:22" x14ac:dyDescent="0.25">
      <c r="A46" t="s">
        <v>166</v>
      </c>
      <c r="B46" s="13">
        <v>46202</v>
      </c>
      <c r="C46" t="s">
        <v>64</v>
      </c>
      <c r="D46" t="s">
        <v>98</v>
      </c>
      <c r="E46" t="s">
        <v>66</v>
      </c>
      <c r="F46" t="s">
        <v>67</v>
      </c>
      <c r="G46" t="s">
        <v>35</v>
      </c>
      <c r="H46" t="s">
        <v>93</v>
      </c>
      <c r="I46">
        <v>4</v>
      </c>
      <c r="J46">
        <v>3</v>
      </c>
      <c r="K46">
        <v>12</v>
      </c>
      <c r="L46" t="s">
        <v>40</v>
      </c>
      <c r="M46" t="s">
        <v>101</v>
      </c>
      <c r="N46" t="s">
        <v>128</v>
      </c>
      <c r="O46">
        <v>3</v>
      </c>
      <c r="P46">
        <v>2</v>
      </c>
      <c r="Q46">
        <v>6</v>
      </c>
      <c r="R46" t="s">
        <v>663</v>
      </c>
      <c r="S46" t="s">
        <v>28</v>
      </c>
      <c r="T46" t="s">
        <v>61</v>
      </c>
      <c r="U46" t="s">
        <v>96</v>
      </c>
      <c r="V46" s="13">
        <v>46932</v>
      </c>
    </row>
    <row r="47" spans="1:22" x14ac:dyDescent="0.25">
      <c r="A47" t="s">
        <v>167</v>
      </c>
      <c r="B47" s="13">
        <v>46297</v>
      </c>
      <c r="C47" t="s">
        <v>22</v>
      </c>
      <c r="D47" t="s">
        <v>65</v>
      </c>
      <c r="E47" t="s">
        <v>81</v>
      </c>
      <c r="F47" t="s">
        <v>82</v>
      </c>
      <c r="G47" t="s">
        <v>81</v>
      </c>
      <c r="H47" t="s">
        <v>68</v>
      </c>
      <c r="I47">
        <v>5</v>
      </c>
      <c r="J47">
        <v>2</v>
      </c>
      <c r="K47">
        <v>10</v>
      </c>
      <c r="L47" t="s">
        <v>40</v>
      </c>
      <c r="M47" t="s">
        <v>50</v>
      </c>
      <c r="N47" t="s">
        <v>51</v>
      </c>
      <c r="O47">
        <v>3</v>
      </c>
      <c r="P47">
        <v>2</v>
      </c>
      <c r="Q47">
        <v>6</v>
      </c>
      <c r="R47" t="s">
        <v>663</v>
      </c>
      <c r="S47" t="s">
        <v>28</v>
      </c>
      <c r="T47" t="s">
        <v>61</v>
      </c>
      <c r="U47" t="s">
        <v>33</v>
      </c>
      <c r="V47" s="13">
        <v>46662</v>
      </c>
    </row>
    <row r="48" spans="1:22" x14ac:dyDescent="0.25">
      <c r="A48" t="s">
        <v>168</v>
      </c>
      <c r="B48" s="13">
        <v>45980</v>
      </c>
      <c r="C48" t="s">
        <v>22</v>
      </c>
      <c r="D48" t="s">
        <v>80</v>
      </c>
      <c r="E48" t="s">
        <v>109</v>
      </c>
      <c r="F48" t="s">
        <v>110</v>
      </c>
      <c r="G48" t="s">
        <v>111</v>
      </c>
      <c r="H48" t="s">
        <v>143</v>
      </c>
      <c r="I48">
        <v>2</v>
      </c>
      <c r="J48">
        <v>2</v>
      </c>
      <c r="K48">
        <v>4</v>
      </c>
      <c r="L48" t="s">
        <v>31</v>
      </c>
      <c r="M48" t="s">
        <v>101</v>
      </c>
      <c r="N48" t="s">
        <v>60</v>
      </c>
      <c r="O48">
        <v>1</v>
      </c>
      <c r="P48">
        <v>2</v>
      </c>
      <c r="Q48">
        <v>2</v>
      </c>
      <c r="R48" t="s">
        <v>663</v>
      </c>
      <c r="S48" t="s">
        <v>31</v>
      </c>
      <c r="T48" t="s">
        <v>32</v>
      </c>
      <c r="U48" t="s">
        <v>96</v>
      </c>
      <c r="V48" s="13">
        <v>46345</v>
      </c>
    </row>
    <row r="49" spans="1:22" x14ac:dyDescent="0.25">
      <c r="A49" t="s">
        <v>169</v>
      </c>
      <c r="B49" s="13">
        <v>45840</v>
      </c>
      <c r="C49" t="s">
        <v>73</v>
      </c>
      <c r="D49" t="s">
        <v>108</v>
      </c>
      <c r="E49" t="s">
        <v>104</v>
      </c>
      <c r="F49" t="s">
        <v>105</v>
      </c>
      <c r="G49" t="s">
        <v>73</v>
      </c>
      <c r="H49" t="s">
        <v>68</v>
      </c>
      <c r="I49">
        <v>3</v>
      </c>
      <c r="J49">
        <v>5</v>
      </c>
      <c r="K49">
        <v>15</v>
      </c>
      <c r="L49" t="s">
        <v>40</v>
      </c>
      <c r="M49" t="s">
        <v>95</v>
      </c>
      <c r="N49" t="s">
        <v>124</v>
      </c>
      <c r="O49">
        <v>1</v>
      </c>
      <c r="P49">
        <v>4</v>
      </c>
      <c r="Q49">
        <v>4</v>
      </c>
      <c r="R49" t="s">
        <v>663</v>
      </c>
      <c r="S49" t="s">
        <v>31</v>
      </c>
      <c r="T49" t="s">
        <v>32</v>
      </c>
      <c r="U49" t="s">
        <v>62</v>
      </c>
      <c r="V49" s="13">
        <v>46570</v>
      </c>
    </row>
    <row r="50" spans="1:22" x14ac:dyDescent="0.25">
      <c r="A50" t="s">
        <v>170</v>
      </c>
      <c r="B50" s="13">
        <v>45907</v>
      </c>
      <c r="C50" t="s">
        <v>54</v>
      </c>
      <c r="D50" t="s">
        <v>80</v>
      </c>
      <c r="E50" t="s">
        <v>56</v>
      </c>
      <c r="F50" t="s">
        <v>57</v>
      </c>
      <c r="G50" t="s">
        <v>58</v>
      </c>
      <c r="H50" t="s">
        <v>59</v>
      </c>
      <c r="I50">
        <v>5</v>
      </c>
      <c r="J50">
        <v>2</v>
      </c>
      <c r="K50">
        <v>10</v>
      </c>
      <c r="L50" t="s">
        <v>40</v>
      </c>
      <c r="M50" t="s">
        <v>101</v>
      </c>
      <c r="N50" t="s">
        <v>70</v>
      </c>
      <c r="O50">
        <v>5</v>
      </c>
      <c r="P50">
        <v>1</v>
      </c>
      <c r="Q50">
        <v>5</v>
      </c>
      <c r="R50" t="s">
        <v>663</v>
      </c>
      <c r="S50" t="s">
        <v>28</v>
      </c>
      <c r="T50" t="s">
        <v>32</v>
      </c>
      <c r="U50" t="s">
        <v>33</v>
      </c>
      <c r="V50" s="13">
        <v>46272</v>
      </c>
    </row>
    <row r="51" spans="1:22" x14ac:dyDescent="0.25">
      <c r="A51" t="s">
        <v>171</v>
      </c>
      <c r="B51" s="13">
        <v>46126</v>
      </c>
      <c r="C51" t="s">
        <v>22</v>
      </c>
      <c r="D51" t="s">
        <v>98</v>
      </c>
      <c r="E51" t="s">
        <v>81</v>
      </c>
      <c r="F51" t="s">
        <v>82</v>
      </c>
      <c r="G51" t="s">
        <v>81</v>
      </c>
      <c r="H51" t="s">
        <v>68</v>
      </c>
      <c r="I51">
        <v>3</v>
      </c>
      <c r="J51">
        <v>5</v>
      </c>
      <c r="K51">
        <v>15</v>
      </c>
      <c r="L51" t="s">
        <v>40</v>
      </c>
      <c r="M51" t="s">
        <v>95</v>
      </c>
      <c r="N51" t="s">
        <v>128</v>
      </c>
      <c r="O51">
        <v>1</v>
      </c>
      <c r="P51">
        <v>4</v>
      </c>
      <c r="Q51">
        <v>4</v>
      </c>
      <c r="R51" t="s">
        <v>663</v>
      </c>
      <c r="S51" t="s">
        <v>31</v>
      </c>
      <c r="T51" t="s">
        <v>32</v>
      </c>
      <c r="U51" t="s">
        <v>62</v>
      </c>
      <c r="V51" s="13">
        <v>46491</v>
      </c>
    </row>
    <row r="52" spans="1:22" x14ac:dyDescent="0.25">
      <c r="A52" t="s">
        <v>172</v>
      </c>
      <c r="B52" s="13">
        <v>46235</v>
      </c>
      <c r="C52" t="s">
        <v>22</v>
      </c>
      <c r="D52" t="s">
        <v>23</v>
      </c>
      <c r="E52" t="s">
        <v>109</v>
      </c>
      <c r="F52" t="s">
        <v>110</v>
      </c>
      <c r="G52" t="s">
        <v>111</v>
      </c>
      <c r="H52" t="s">
        <v>143</v>
      </c>
      <c r="I52">
        <v>5</v>
      </c>
      <c r="J52">
        <v>4</v>
      </c>
      <c r="K52">
        <v>20</v>
      </c>
      <c r="L52" t="s">
        <v>94</v>
      </c>
      <c r="M52" t="s">
        <v>95</v>
      </c>
      <c r="N52" t="s">
        <v>30</v>
      </c>
      <c r="O52">
        <v>4</v>
      </c>
      <c r="P52">
        <v>3</v>
      </c>
      <c r="Q52">
        <v>12</v>
      </c>
      <c r="R52" t="s">
        <v>663</v>
      </c>
      <c r="S52" t="s">
        <v>40</v>
      </c>
      <c r="T52" t="s">
        <v>32</v>
      </c>
      <c r="U52" t="s">
        <v>96</v>
      </c>
      <c r="V52" s="13">
        <v>46600</v>
      </c>
    </row>
    <row r="53" spans="1:22" x14ac:dyDescent="0.25">
      <c r="A53" t="s">
        <v>173</v>
      </c>
      <c r="B53" s="13">
        <v>45745</v>
      </c>
      <c r="C53" t="s">
        <v>64</v>
      </c>
      <c r="D53" t="s">
        <v>108</v>
      </c>
      <c r="E53" t="s">
        <v>174</v>
      </c>
      <c r="F53" t="s">
        <v>175</v>
      </c>
      <c r="G53" t="s">
        <v>176</v>
      </c>
      <c r="H53" t="s">
        <v>177</v>
      </c>
      <c r="I53">
        <v>2</v>
      </c>
      <c r="J53">
        <v>3</v>
      </c>
      <c r="K53">
        <v>6</v>
      </c>
      <c r="L53" t="s">
        <v>28</v>
      </c>
      <c r="M53" t="s">
        <v>50</v>
      </c>
      <c r="N53" t="s">
        <v>102</v>
      </c>
      <c r="O53">
        <v>1</v>
      </c>
      <c r="P53">
        <v>3</v>
      </c>
      <c r="Q53">
        <v>3</v>
      </c>
      <c r="R53" t="s">
        <v>663</v>
      </c>
      <c r="S53" t="s">
        <v>31</v>
      </c>
      <c r="T53" t="s">
        <v>32</v>
      </c>
      <c r="U53" t="s">
        <v>96</v>
      </c>
      <c r="V53" s="13">
        <v>46475</v>
      </c>
    </row>
    <row r="54" spans="1:22" x14ac:dyDescent="0.25">
      <c r="A54" t="s">
        <v>178</v>
      </c>
      <c r="B54" s="13">
        <v>46066</v>
      </c>
      <c r="C54" t="s">
        <v>22</v>
      </c>
      <c r="D54" t="s">
        <v>23</v>
      </c>
      <c r="E54" t="s">
        <v>135</v>
      </c>
      <c r="F54" t="s">
        <v>136</v>
      </c>
      <c r="G54" t="s">
        <v>35</v>
      </c>
      <c r="H54" t="s">
        <v>137</v>
      </c>
      <c r="I54">
        <v>4</v>
      </c>
      <c r="J54">
        <v>3</v>
      </c>
      <c r="K54">
        <v>12</v>
      </c>
      <c r="L54" t="s">
        <v>40</v>
      </c>
      <c r="M54" t="s">
        <v>95</v>
      </c>
      <c r="N54" t="s">
        <v>89</v>
      </c>
      <c r="O54">
        <v>2</v>
      </c>
      <c r="P54">
        <v>2</v>
      </c>
      <c r="Q54">
        <v>4</v>
      </c>
      <c r="R54" t="s">
        <v>663</v>
      </c>
      <c r="S54" t="s">
        <v>31</v>
      </c>
      <c r="T54" t="s">
        <v>43</v>
      </c>
      <c r="U54" t="s">
        <v>52</v>
      </c>
      <c r="V54" s="13">
        <v>46431</v>
      </c>
    </row>
    <row r="55" spans="1:22" x14ac:dyDescent="0.25">
      <c r="A55" t="s">
        <v>179</v>
      </c>
      <c r="B55" s="13">
        <v>45765</v>
      </c>
      <c r="C55" t="s">
        <v>22</v>
      </c>
      <c r="D55" t="s">
        <v>80</v>
      </c>
      <c r="E55" t="s">
        <v>135</v>
      </c>
      <c r="F55" t="s">
        <v>136</v>
      </c>
      <c r="G55" t="s">
        <v>35</v>
      </c>
      <c r="H55" t="s">
        <v>137</v>
      </c>
      <c r="I55">
        <v>5</v>
      </c>
      <c r="J55">
        <v>4</v>
      </c>
      <c r="K55">
        <v>20</v>
      </c>
      <c r="L55" t="s">
        <v>94</v>
      </c>
      <c r="M55" t="s">
        <v>78</v>
      </c>
      <c r="N55" t="s">
        <v>60</v>
      </c>
      <c r="O55">
        <v>4</v>
      </c>
      <c r="P55">
        <v>4</v>
      </c>
      <c r="Q55">
        <v>16</v>
      </c>
      <c r="R55" t="s">
        <v>663</v>
      </c>
      <c r="S55" t="s">
        <v>40</v>
      </c>
      <c r="T55" t="s">
        <v>43</v>
      </c>
      <c r="U55" t="s">
        <v>52</v>
      </c>
      <c r="V55" s="13">
        <v>46130</v>
      </c>
    </row>
    <row r="56" spans="1:22" x14ac:dyDescent="0.25">
      <c r="A56" t="s">
        <v>180</v>
      </c>
      <c r="B56" s="13">
        <v>45958</v>
      </c>
      <c r="C56" t="s">
        <v>73</v>
      </c>
      <c r="D56" t="s">
        <v>23</v>
      </c>
      <c r="E56" t="s">
        <v>104</v>
      </c>
      <c r="F56" t="s">
        <v>105</v>
      </c>
      <c r="G56" t="s">
        <v>73</v>
      </c>
      <c r="H56" t="s">
        <v>116</v>
      </c>
      <c r="I56">
        <v>2</v>
      </c>
      <c r="J56">
        <v>2</v>
      </c>
      <c r="K56">
        <v>4</v>
      </c>
      <c r="L56" t="s">
        <v>31</v>
      </c>
      <c r="M56" t="s">
        <v>69</v>
      </c>
      <c r="N56" t="s">
        <v>102</v>
      </c>
      <c r="O56">
        <v>1</v>
      </c>
      <c r="P56">
        <v>1</v>
      </c>
      <c r="Q56">
        <v>1</v>
      </c>
      <c r="R56" t="s">
        <v>663</v>
      </c>
      <c r="S56" t="s">
        <v>31</v>
      </c>
      <c r="T56" t="s">
        <v>32</v>
      </c>
      <c r="U56" t="s">
        <v>33</v>
      </c>
      <c r="V56" s="13">
        <v>46138</v>
      </c>
    </row>
    <row r="57" spans="1:22" x14ac:dyDescent="0.25">
      <c r="A57" t="s">
        <v>181</v>
      </c>
      <c r="B57" s="13">
        <v>46079</v>
      </c>
      <c r="C57" t="s">
        <v>22</v>
      </c>
      <c r="D57" t="s">
        <v>80</v>
      </c>
      <c r="E57" t="s">
        <v>99</v>
      </c>
      <c r="F57" t="s">
        <v>100</v>
      </c>
      <c r="G57" t="s">
        <v>35</v>
      </c>
      <c r="H57" t="s">
        <v>122</v>
      </c>
      <c r="I57">
        <v>2</v>
      </c>
      <c r="J57">
        <v>3</v>
      </c>
      <c r="K57">
        <v>6</v>
      </c>
      <c r="L57" t="s">
        <v>28</v>
      </c>
      <c r="M57" t="s">
        <v>95</v>
      </c>
      <c r="N57" t="s">
        <v>102</v>
      </c>
      <c r="O57">
        <v>1</v>
      </c>
      <c r="P57">
        <v>2</v>
      </c>
      <c r="Q57">
        <v>2</v>
      </c>
      <c r="R57" t="s">
        <v>663</v>
      </c>
      <c r="S57" t="s">
        <v>31</v>
      </c>
      <c r="T57" t="s">
        <v>61</v>
      </c>
      <c r="U57" t="s">
        <v>96</v>
      </c>
      <c r="V57" s="13">
        <v>46809</v>
      </c>
    </row>
    <row r="58" spans="1:22" x14ac:dyDescent="0.25">
      <c r="A58" t="s">
        <v>182</v>
      </c>
      <c r="B58" s="13">
        <v>46039</v>
      </c>
      <c r="C58" t="s">
        <v>22</v>
      </c>
      <c r="D58" t="s">
        <v>98</v>
      </c>
      <c r="E58" t="s">
        <v>99</v>
      </c>
      <c r="F58" t="s">
        <v>100</v>
      </c>
      <c r="G58" t="s">
        <v>35</v>
      </c>
      <c r="H58" t="s">
        <v>93</v>
      </c>
      <c r="I58">
        <v>3</v>
      </c>
      <c r="J58">
        <v>4</v>
      </c>
      <c r="K58">
        <v>12</v>
      </c>
      <c r="L58" t="s">
        <v>40</v>
      </c>
      <c r="M58" t="s">
        <v>78</v>
      </c>
      <c r="N58" t="s">
        <v>128</v>
      </c>
      <c r="O58">
        <v>2</v>
      </c>
      <c r="P58">
        <v>3</v>
      </c>
      <c r="Q58">
        <v>6</v>
      </c>
      <c r="R58" t="s">
        <v>663</v>
      </c>
      <c r="S58" t="s">
        <v>28</v>
      </c>
      <c r="T58" t="s">
        <v>43</v>
      </c>
      <c r="U58" t="s">
        <v>62</v>
      </c>
      <c r="V58" s="13">
        <v>46404</v>
      </c>
    </row>
    <row r="59" spans="1:22" x14ac:dyDescent="0.25">
      <c r="A59" t="s">
        <v>183</v>
      </c>
      <c r="B59" s="13">
        <v>46301</v>
      </c>
      <c r="C59" t="s">
        <v>22</v>
      </c>
      <c r="D59" t="s">
        <v>108</v>
      </c>
      <c r="E59" t="s">
        <v>81</v>
      </c>
      <c r="F59" t="s">
        <v>82</v>
      </c>
      <c r="G59" t="s">
        <v>81</v>
      </c>
      <c r="H59" t="s">
        <v>68</v>
      </c>
      <c r="I59">
        <v>3</v>
      </c>
      <c r="J59">
        <v>2</v>
      </c>
      <c r="K59">
        <v>6</v>
      </c>
      <c r="L59" t="s">
        <v>28</v>
      </c>
      <c r="M59" t="s">
        <v>69</v>
      </c>
      <c r="N59" t="s">
        <v>42</v>
      </c>
      <c r="O59">
        <v>2</v>
      </c>
      <c r="P59">
        <v>1</v>
      </c>
      <c r="Q59">
        <v>2</v>
      </c>
      <c r="R59" t="s">
        <v>663</v>
      </c>
      <c r="S59" t="s">
        <v>31</v>
      </c>
      <c r="T59" t="s">
        <v>61</v>
      </c>
      <c r="U59" t="s">
        <v>52</v>
      </c>
      <c r="V59" s="13">
        <v>46666</v>
      </c>
    </row>
    <row r="60" spans="1:22" x14ac:dyDescent="0.25">
      <c r="A60" t="s">
        <v>184</v>
      </c>
      <c r="B60" s="13">
        <v>45838</v>
      </c>
      <c r="C60" t="s">
        <v>22</v>
      </c>
      <c r="D60" t="s">
        <v>98</v>
      </c>
      <c r="E60" t="s">
        <v>99</v>
      </c>
      <c r="F60" t="s">
        <v>100</v>
      </c>
      <c r="G60" t="s">
        <v>35</v>
      </c>
      <c r="H60" t="s">
        <v>68</v>
      </c>
      <c r="I60">
        <v>5</v>
      </c>
      <c r="J60">
        <v>3</v>
      </c>
      <c r="K60">
        <v>15</v>
      </c>
      <c r="L60" t="s">
        <v>40</v>
      </c>
      <c r="M60" t="s">
        <v>29</v>
      </c>
      <c r="N60" t="s">
        <v>106</v>
      </c>
      <c r="O60">
        <v>3</v>
      </c>
      <c r="P60">
        <v>2</v>
      </c>
      <c r="Q60">
        <v>6</v>
      </c>
      <c r="R60" t="s">
        <v>663</v>
      </c>
      <c r="S60" t="s">
        <v>28</v>
      </c>
      <c r="T60" t="s">
        <v>32</v>
      </c>
      <c r="U60" t="s">
        <v>62</v>
      </c>
      <c r="V60" s="13">
        <v>46018</v>
      </c>
    </row>
    <row r="61" spans="1:22" x14ac:dyDescent="0.25">
      <c r="A61" t="s">
        <v>185</v>
      </c>
      <c r="B61" s="13">
        <v>45999</v>
      </c>
      <c r="C61" t="s">
        <v>64</v>
      </c>
      <c r="D61" t="s">
        <v>65</v>
      </c>
      <c r="E61" t="s">
        <v>91</v>
      </c>
      <c r="F61" t="s">
        <v>92</v>
      </c>
      <c r="G61" t="s">
        <v>35</v>
      </c>
      <c r="H61" t="s">
        <v>93</v>
      </c>
      <c r="I61">
        <v>3</v>
      </c>
      <c r="J61">
        <v>3</v>
      </c>
      <c r="K61">
        <v>9</v>
      </c>
      <c r="L61" t="s">
        <v>28</v>
      </c>
      <c r="M61" t="s">
        <v>78</v>
      </c>
      <c r="N61" t="s">
        <v>89</v>
      </c>
      <c r="O61">
        <v>2</v>
      </c>
      <c r="P61">
        <v>2</v>
      </c>
      <c r="Q61">
        <v>4</v>
      </c>
      <c r="R61" t="s">
        <v>663</v>
      </c>
      <c r="S61" t="s">
        <v>31</v>
      </c>
      <c r="T61" t="s">
        <v>61</v>
      </c>
      <c r="U61" t="s">
        <v>52</v>
      </c>
      <c r="V61" s="13">
        <v>46729</v>
      </c>
    </row>
    <row r="62" spans="1:22" x14ac:dyDescent="0.25">
      <c r="A62" t="s">
        <v>186</v>
      </c>
      <c r="B62" s="13">
        <v>45837</v>
      </c>
      <c r="C62" t="s">
        <v>35</v>
      </c>
      <c r="D62" t="s">
        <v>65</v>
      </c>
      <c r="E62" t="s">
        <v>120</v>
      </c>
      <c r="F62" t="s">
        <v>121</v>
      </c>
      <c r="G62" t="s">
        <v>35</v>
      </c>
      <c r="H62" t="s">
        <v>93</v>
      </c>
      <c r="I62">
        <v>5</v>
      </c>
      <c r="J62">
        <v>3</v>
      </c>
      <c r="K62">
        <v>15</v>
      </c>
      <c r="L62" t="s">
        <v>40</v>
      </c>
      <c r="M62" t="s">
        <v>101</v>
      </c>
      <c r="N62" t="s">
        <v>70</v>
      </c>
      <c r="O62">
        <v>4</v>
      </c>
      <c r="P62">
        <v>2</v>
      </c>
      <c r="Q62">
        <v>8</v>
      </c>
      <c r="R62" t="s">
        <v>663</v>
      </c>
      <c r="S62" t="s">
        <v>28</v>
      </c>
      <c r="T62" t="s">
        <v>32</v>
      </c>
      <c r="U62" t="s">
        <v>71</v>
      </c>
      <c r="V62" s="13">
        <v>46202</v>
      </c>
    </row>
    <row r="63" spans="1:22" x14ac:dyDescent="0.25">
      <c r="A63" t="s">
        <v>187</v>
      </c>
      <c r="B63" s="13">
        <v>45985</v>
      </c>
      <c r="C63" t="s">
        <v>85</v>
      </c>
      <c r="D63" t="s">
        <v>55</v>
      </c>
      <c r="E63" t="s">
        <v>86</v>
      </c>
      <c r="F63" t="s">
        <v>87</v>
      </c>
      <c r="G63" t="s">
        <v>48</v>
      </c>
      <c r="H63" t="s">
        <v>88</v>
      </c>
      <c r="I63">
        <v>2</v>
      </c>
      <c r="J63">
        <v>4</v>
      </c>
      <c r="K63">
        <v>8</v>
      </c>
      <c r="L63" t="s">
        <v>28</v>
      </c>
      <c r="M63" t="s">
        <v>41</v>
      </c>
      <c r="N63" t="s">
        <v>42</v>
      </c>
      <c r="O63">
        <v>1</v>
      </c>
      <c r="P63">
        <v>3</v>
      </c>
      <c r="Q63">
        <v>3</v>
      </c>
      <c r="R63" t="s">
        <v>663</v>
      </c>
      <c r="S63" t="s">
        <v>31</v>
      </c>
      <c r="T63" t="s">
        <v>61</v>
      </c>
      <c r="U63" t="s">
        <v>96</v>
      </c>
      <c r="V63" s="13">
        <v>46350</v>
      </c>
    </row>
    <row r="64" spans="1:22" x14ac:dyDescent="0.25">
      <c r="A64" t="s">
        <v>188</v>
      </c>
      <c r="B64" s="13">
        <v>45690</v>
      </c>
      <c r="C64" t="s">
        <v>35</v>
      </c>
      <c r="D64" t="s">
        <v>80</v>
      </c>
      <c r="E64" t="s">
        <v>120</v>
      </c>
      <c r="F64" t="s">
        <v>121</v>
      </c>
      <c r="G64" t="s">
        <v>35</v>
      </c>
      <c r="H64" t="s">
        <v>68</v>
      </c>
      <c r="I64">
        <v>5</v>
      </c>
      <c r="J64">
        <v>3</v>
      </c>
      <c r="K64">
        <v>15</v>
      </c>
      <c r="L64" t="s">
        <v>40</v>
      </c>
      <c r="M64" t="s">
        <v>101</v>
      </c>
      <c r="N64" t="s">
        <v>106</v>
      </c>
      <c r="O64">
        <v>3</v>
      </c>
      <c r="P64">
        <v>2</v>
      </c>
      <c r="Q64">
        <v>6</v>
      </c>
      <c r="R64" t="s">
        <v>663</v>
      </c>
      <c r="S64" t="s">
        <v>28</v>
      </c>
      <c r="T64" t="s">
        <v>61</v>
      </c>
      <c r="U64" t="s">
        <v>71</v>
      </c>
      <c r="V64" s="13">
        <v>45870</v>
      </c>
    </row>
    <row r="65" spans="1:22" x14ac:dyDescent="0.25">
      <c r="A65" t="s">
        <v>189</v>
      </c>
      <c r="B65" s="13">
        <v>45794</v>
      </c>
      <c r="C65" t="s">
        <v>85</v>
      </c>
      <c r="D65" t="s">
        <v>74</v>
      </c>
      <c r="E65" t="s">
        <v>140</v>
      </c>
      <c r="F65" t="s">
        <v>141</v>
      </c>
      <c r="G65" t="s">
        <v>142</v>
      </c>
      <c r="H65" t="s">
        <v>68</v>
      </c>
      <c r="I65">
        <v>4</v>
      </c>
      <c r="J65">
        <v>3</v>
      </c>
      <c r="K65">
        <v>12</v>
      </c>
      <c r="L65" t="s">
        <v>40</v>
      </c>
      <c r="M65" t="s">
        <v>69</v>
      </c>
      <c r="N65" t="s">
        <v>128</v>
      </c>
      <c r="O65">
        <v>3</v>
      </c>
      <c r="P65">
        <v>3</v>
      </c>
      <c r="Q65">
        <v>9</v>
      </c>
      <c r="R65" t="s">
        <v>663</v>
      </c>
      <c r="S65" t="s">
        <v>28</v>
      </c>
      <c r="T65" t="s">
        <v>61</v>
      </c>
      <c r="U65" t="s">
        <v>52</v>
      </c>
      <c r="V65" s="13">
        <v>46159</v>
      </c>
    </row>
    <row r="66" spans="1:22" x14ac:dyDescent="0.25">
      <c r="A66" t="s">
        <v>190</v>
      </c>
      <c r="B66" s="13">
        <v>46056</v>
      </c>
      <c r="C66" t="s">
        <v>64</v>
      </c>
      <c r="D66" t="s">
        <v>98</v>
      </c>
      <c r="E66" t="s">
        <v>91</v>
      </c>
      <c r="F66" t="s">
        <v>92</v>
      </c>
      <c r="G66" t="s">
        <v>35</v>
      </c>
      <c r="H66" t="s">
        <v>122</v>
      </c>
      <c r="I66">
        <v>5</v>
      </c>
      <c r="J66">
        <v>4</v>
      </c>
      <c r="K66">
        <v>20</v>
      </c>
      <c r="L66" t="s">
        <v>94</v>
      </c>
      <c r="M66" t="s">
        <v>83</v>
      </c>
      <c r="N66" t="s">
        <v>89</v>
      </c>
      <c r="O66">
        <v>3</v>
      </c>
      <c r="P66">
        <v>4</v>
      </c>
      <c r="Q66">
        <v>12</v>
      </c>
      <c r="R66" t="s">
        <v>663</v>
      </c>
      <c r="S66" t="s">
        <v>40</v>
      </c>
      <c r="T66" t="s">
        <v>61</v>
      </c>
      <c r="U66" t="s">
        <v>71</v>
      </c>
      <c r="V66" s="13">
        <v>46786</v>
      </c>
    </row>
    <row r="67" spans="1:22" x14ac:dyDescent="0.25">
      <c r="A67" t="s">
        <v>633</v>
      </c>
      <c r="B67" s="13">
        <v>45872</v>
      </c>
      <c r="C67" t="s">
        <v>35</v>
      </c>
      <c r="D67" t="s">
        <v>65</v>
      </c>
      <c r="E67" t="s">
        <v>120</v>
      </c>
      <c r="F67" t="s">
        <v>121</v>
      </c>
      <c r="G67" t="s">
        <v>35</v>
      </c>
      <c r="H67" t="s">
        <v>122</v>
      </c>
      <c r="I67">
        <v>3</v>
      </c>
      <c r="J67">
        <v>2</v>
      </c>
      <c r="K67">
        <v>6</v>
      </c>
      <c r="L67" t="s">
        <v>28</v>
      </c>
      <c r="M67" t="s">
        <v>41</v>
      </c>
      <c r="N67" t="s">
        <v>42</v>
      </c>
      <c r="O67">
        <v>2</v>
      </c>
      <c r="P67">
        <v>1</v>
      </c>
      <c r="Q67">
        <v>2</v>
      </c>
      <c r="R67" t="s">
        <v>663</v>
      </c>
      <c r="S67" t="s">
        <v>31</v>
      </c>
      <c r="T67" t="s">
        <v>61</v>
      </c>
      <c r="U67" t="s">
        <v>33</v>
      </c>
      <c r="V67" s="13">
        <v>46237</v>
      </c>
    </row>
    <row r="68" spans="1:22" x14ac:dyDescent="0.25">
      <c r="A68" t="s">
        <v>192</v>
      </c>
      <c r="B68" s="13">
        <v>46282</v>
      </c>
      <c r="C68" t="s">
        <v>73</v>
      </c>
      <c r="D68" t="s">
        <v>98</v>
      </c>
      <c r="E68" t="s">
        <v>104</v>
      </c>
      <c r="F68" t="s">
        <v>105</v>
      </c>
      <c r="G68" t="s">
        <v>73</v>
      </c>
      <c r="H68" t="s">
        <v>116</v>
      </c>
      <c r="I68">
        <v>3</v>
      </c>
      <c r="J68">
        <v>3</v>
      </c>
      <c r="K68">
        <v>9</v>
      </c>
      <c r="L68" t="s">
        <v>28</v>
      </c>
      <c r="M68" t="s">
        <v>95</v>
      </c>
      <c r="N68" t="s">
        <v>128</v>
      </c>
      <c r="O68">
        <v>2</v>
      </c>
      <c r="P68">
        <v>2</v>
      </c>
      <c r="Q68">
        <v>4</v>
      </c>
      <c r="R68" t="s">
        <v>663</v>
      </c>
      <c r="S68" t="s">
        <v>31</v>
      </c>
      <c r="T68" t="s">
        <v>61</v>
      </c>
      <c r="U68" t="s">
        <v>33</v>
      </c>
      <c r="V68" s="13">
        <v>46462</v>
      </c>
    </row>
    <row r="69" spans="1:22" x14ac:dyDescent="0.25">
      <c r="A69" t="s">
        <v>193</v>
      </c>
      <c r="B69" s="13">
        <v>46116</v>
      </c>
      <c r="C69" t="s">
        <v>22</v>
      </c>
      <c r="D69" t="s">
        <v>108</v>
      </c>
      <c r="E69" t="s">
        <v>99</v>
      </c>
      <c r="F69" t="s">
        <v>100</v>
      </c>
      <c r="G69" t="s">
        <v>35</v>
      </c>
      <c r="H69" t="s">
        <v>68</v>
      </c>
      <c r="I69">
        <v>5</v>
      </c>
      <c r="J69">
        <v>3</v>
      </c>
      <c r="K69">
        <v>15</v>
      </c>
      <c r="L69" t="s">
        <v>40</v>
      </c>
      <c r="M69" t="s">
        <v>29</v>
      </c>
      <c r="N69" t="s">
        <v>30</v>
      </c>
      <c r="O69">
        <v>4</v>
      </c>
      <c r="P69">
        <v>3</v>
      </c>
      <c r="Q69">
        <v>12</v>
      </c>
      <c r="R69" t="s">
        <v>663</v>
      </c>
      <c r="S69" t="s">
        <v>40</v>
      </c>
      <c r="T69" t="s">
        <v>32</v>
      </c>
      <c r="U69" t="s">
        <v>71</v>
      </c>
      <c r="V69" s="13">
        <v>46481</v>
      </c>
    </row>
    <row r="70" spans="1:22" x14ac:dyDescent="0.25">
      <c r="A70" t="s">
        <v>194</v>
      </c>
      <c r="B70" s="13">
        <v>45847</v>
      </c>
      <c r="C70" t="s">
        <v>85</v>
      </c>
      <c r="D70" t="s">
        <v>55</v>
      </c>
      <c r="E70" t="s">
        <v>140</v>
      </c>
      <c r="F70" t="s">
        <v>141</v>
      </c>
      <c r="G70" t="s">
        <v>142</v>
      </c>
      <c r="H70" t="s">
        <v>143</v>
      </c>
      <c r="I70">
        <v>3</v>
      </c>
      <c r="J70">
        <v>5</v>
      </c>
      <c r="K70">
        <v>15</v>
      </c>
      <c r="L70" t="s">
        <v>40</v>
      </c>
      <c r="M70" t="s">
        <v>78</v>
      </c>
      <c r="N70" t="s">
        <v>124</v>
      </c>
      <c r="O70">
        <v>2</v>
      </c>
      <c r="P70">
        <v>5</v>
      </c>
      <c r="Q70">
        <v>10</v>
      </c>
      <c r="R70" t="s">
        <v>663</v>
      </c>
      <c r="S70" t="s">
        <v>40</v>
      </c>
      <c r="T70" t="s">
        <v>43</v>
      </c>
      <c r="U70" t="s">
        <v>52</v>
      </c>
      <c r="V70" s="13">
        <v>46212</v>
      </c>
    </row>
    <row r="71" spans="1:22" x14ac:dyDescent="0.25">
      <c r="A71" t="s">
        <v>195</v>
      </c>
      <c r="B71" s="13">
        <v>46340</v>
      </c>
      <c r="C71" t="s">
        <v>22</v>
      </c>
      <c r="D71" t="s">
        <v>98</v>
      </c>
      <c r="E71" t="s">
        <v>109</v>
      </c>
      <c r="F71" t="s">
        <v>110</v>
      </c>
      <c r="G71" t="s">
        <v>111</v>
      </c>
      <c r="H71" t="s">
        <v>143</v>
      </c>
      <c r="I71">
        <v>3</v>
      </c>
      <c r="J71">
        <v>5</v>
      </c>
      <c r="K71">
        <v>15</v>
      </c>
      <c r="L71" t="s">
        <v>40</v>
      </c>
      <c r="M71" t="s">
        <v>50</v>
      </c>
      <c r="N71" t="s">
        <v>106</v>
      </c>
      <c r="O71">
        <v>2</v>
      </c>
      <c r="P71">
        <v>5</v>
      </c>
      <c r="Q71">
        <v>10</v>
      </c>
      <c r="R71" t="s">
        <v>663</v>
      </c>
      <c r="S71" t="s">
        <v>40</v>
      </c>
      <c r="T71" t="s">
        <v>32</v>
      </c>
      <c r="U71" t="s">
        <v>62</v>
      </c>
      <c r="V71" s="13">
        <v>46705</v>
      </c>
    </row>
    <row r="72" spans="1:22" x14ac:dyDescent="0.25">
      <c r="A72" t="s">
        <v>196</v>
      </c>
      <c r="B72" s="13">
        <v>45843</v>
      </c>
      <c r="C72" t="s">
        <v>22</v>
      </c>
      <c r="D72" t="s">
        <v>80</v>
      </c>
      <c r="E72" t="s">
        <v>109</v>
      </c>
      <c r="F72" t="s">
        <v>110</v>
      </c>
      <c r="G72" t="s">
        <v>111</v>
      </c>
      <c r="H72" t="s">
        <v>197</v>
      </c>
      <c r="I72">
        <v>5</v>
      </c>
      <c r="J72">
        <v>3</v>
      </c>
      <c r="K72">
        <v>15</v>
      </c>
      <c r="L72" t="s">
        <v>40</v>
      </c>
      <c r="M72" t="s">
        <v>29</v>
      </c>
      <c r="N72" t="s">
        <v>60</v>
      </c>
      <c r="O72">
        <v>4</v>
      </c>
      <c r="P72">
        <v>2</v>
      </c>
      <c r="Q72">
        <v>8</v>
      </c>
      <c r="R72" t="s">
        <v>663</v>
      </c>
      <c r="S72" t="s">
        <v>28</v>
      </c>
      <c r="T72" t="s">
        <v>43</v>
      </c>
      <c r="U72" t="s">
        <v>52</v>
      </c>
      <c r="V72" s="13">
        <v>46208</v>
      </c>
    </row>
    <row r="73" spans="1:22" x14ac:dyDescent="0.25">
      <c r="A73" t="s">
        <v>198</v>
      </c>
      <c r="B73" s="13">
        <v>46199</v>
      </c>
      <c r="C73" t="s">
        <v>64</v>
      </c>
      <c r="D73" t="s">
        <v>108</v>
      </c>
      <c r="E73" t="s">
        <v>91</v>
      </c>
      <c r="F73" t="s">
        <v>92</v>
      </c>
      <c r="G73" t="s">
        <v>35</v>
      </c>
      <c r="H73" t="s">
        <v>122</v>
      </c>
      <c r="I73">
        <v>3</v>
      </c>
      <c r="J73">
        <v>4</v>
      </c>
      <c r="K73">
        <v>12</v>
      </c>
      <c r="L73" t="s">
        <v>40</v>
      </c>
      <c r="M73" t="s">
        <v>69</v>
      </c>
      <c r="N73" t="s">
        <v>60</v>
      </c>
      <c r="O73">
        <v>2</v>
      </c>
      <c r="P73">
        <v>4</v>
      </c>
      <c r="Q73">
        <v>8</v>
      </c>
      <c r="R73" t="s">
        <v>663</v>
      </c>
      <c r="S73" t="s">
        <v>28</v>
      </c>
      <c r="T73" t="s">
        <v>43</v>
      </c>
      <c r="U73" t="s">
        <v>71</v>
      </c>
      <c r="V73" s="13">
        <v>46564</v>
      </c>
    </row>
    <row r="74" spans="1:22" x14ac:dyDescent="0.25">
      <c r="A74" t="s">
        <v>199</v>
      </c>
      <c r="B74" s="13">
        <v>46211</v>
      </c>
      <c r="C74" t="s">
        <v>35</v>
      </c>
      <c r="D74" t="s">
        <v>80</v>
      </c>
      <c r="E74" t="s">
        <v>36</v>
      </c>
      <c r="F74" t="s">
        <v>37</v>
      </c>
      <c r="G74" t="s">
        <v>38</v>
      </c>
      <c r="H74" t="s">
        <v>116</v>
      </c>
      <c r="I74">
        <v>2</v>
      </c>
      <c r="J74">
        <v>5</v>
      </c>
      <c r="K74">
        <v>10</v>
      </c>
      <c r="L74" t="s">
        <v>40</v>
      </c>
      <c r="M74" t="s">
        <v>50</v>
      </c>
      <c r="N74" t="s">
        <v>102</v>
      </c>
      <c r="O74">
        <v>1</v>
      </c>
      <c r="P74">
        <v>5</v>
      </c>
      <c r="Q74">
        <v>5</v>
      </c>
      <c r="R74" t="s">
        <v>663</v>
      </c>
      <c r="S74" t="s">
        <v>28</v>
      </c>
      <c r="T74" t="s">
        <v>43</v>
      </c>
      <c r="U74" t="s">
        <v>33</v>
      </c>
      <c r="V74" s="13">
        <v>46576</v>
      </c>
    </row>
    <row r="75" spans="1:22" x14ac:dyDescent="0.25">
      <c r="A75" t="s">
        <v>200</v>
      </c>
      <c r="B75" s="13">
        <v>45793</v>
      </c>
      <c r="C75" t="s">
        <v>64</v>
      </c>
      <c r="D75" t="s">
        <v>80</v>
      </c>
      <c r="E75" t="s">
        <v>174</v>
      </c>
      <c r="F75" t="s">
        <v>175</v>
      </c>
      <c r="G75" t="s">
        <v>176</v>
      </c>
      <c r="H75" t="s">
        <v>201</v>
      </c>
      <c r="I75">
        <v>4</v>
      </c>
      <c r="J75">
        <v>5</v>
      </c>
      <c r="K75">
        <v>20</v>
      </c>
      <c r="L75" t="s">
        <v>94</v>
      </c>
      <c r="M75" t="s">
        <v>50</v>
      </c>
      <c r="N75" t="s">
        <v>42</v>
      </c>
      <c r="O75">
        <v>3</v>
      </c>
      <c r="P75">
        <v>5</v>
      </c>
      <c r="Q75">
        <v>15</v>
      </c>
      <c r="R75" t="s">
        <v>663</v>
      </c>
      <c r="S75" t="s">
        <v>40</v>
      </c>
      <c r="T75" t="s">
        <v>43</v>
      </c>
      <c r="U75" t="s">
        <v>62</v>
      </c>
      <c r="V75" s="13">
        <v>46158</v>
      </c>
    </row>
    <row r="76" spans="1:22" x14ac:dyDescent="0.25">
      <c r="A76" t="s">
        <v>202</v>
      </c>
      <c r="B76" s="13">
        <v>45949</v>
      </c>
      <c r="C76" t="s">
        <v>85</v>
      </c>
      <c r="D76" t="s">
        <v>98</v>
      </c>
      <c r="E76" t="s">
        <v>86</v>
      </c>
      <c r="F76" t="s">
        <v>87</v>
      </c>
      <c r="G76" t="s">
        <v>48</v>
      </c>
      <c r="H76" t="s">
        <v>49</v>
      </c>
      <c r="I76">
        <v>4</v>
      </c>
      <c r="J76">
        <v>2</v>
      </c>
      <c r="K76">
        <v>8</v>
      </c>
      <c r="L76" t="s">
        <v>28</v>
      </c>
      <c r="M76" t="s">
        <v>41</v>
      </c>
      <c r="N76" t="s">
        <v>70</v>
      </c>
      <c r="O76">
        <v>4</v>
      </c>
      <c r="P76">
        <v>1</v>
      </c>
      <c r="Q76">
        <v>4</v>
      </c>
      <c r="R76" t="s">
        <v>663</v>
      </c>
      <c r="S76" t="s">
        <v>31</v>
      </c>
      <c r="T76" t="s">
        <v>32</v>
      </c>
      <c r="U76" t="s">
        <v>62</v>
      </c>
      <c r="V76" s="13">
        <v>46314</v>
      </c>
    </row>
    <row r="77" spans="1:22" x14ac:dyDescent="0.25">
      <c r="A77" t="s">
        <v>203</v>
      </c>
      <c r="B77" s="13">
        <v>46333</v>
      </c>
      <c r="C77" t="s">
        <v>85</v>
      </c>
      <c r="D77" t="s">
        <v>23</v>
      </c>
      <c r="E77" t="s">
        <v>86</v>
      </c>
      <c r="F77" t="s">
        <v>87</v>
      </c>
      <c r="G77" t="s">
        <v>48</v>
      </c>
      <c r="H77" t="s">
        <v>49</v>
      </c>
      <c r="I77">
        <v>2</v>
      </c>
      <c r="J77">
        <v>5</v>
      </c>
      <c r="K77">
        <v>10</v>
      </c>
      <c r="L77" t="s">
        <v>40</v>
      </c>
      <c r="M77" t="s">
        <v>41</v>
      </c>
      <c r="N77" t="s">
        <v>106</v>
      </c>
      <c r="O77">
        <v>1</v>
      </c>
      <c r="P77">
        <v>5</v>
      </c>
      <c r="Q77">
        <v>5</v>
      </c>
      <c r="R77" t="s">
        <v>663</v>
      </c>
      <c r="S77" t="s">
        <v>28</v>
      </c>
      <c r="T77" t="s">
        <v>32</v>
      </c>
      <c r="U77" t="s">
        <v>96</v>
      </c>
      <c r="V77" s="13">
        <v>46513</v>
      </c>
    </row>
    <row r="78" spans="1:22" x14ac:dyDescent="0.25">
      <c r="A78" t="s">
        <v>204</v>
      </c>
      <c r="B78" s="13">
        <v>46045</v>
      </c>
      <c r="C78" t="s">
        <v>85</v>
      </c>
      <c r="D78" t="s">
        <v>74</v>
      </c>
      <c r="E78" t="s">
        <v>86</v>
      </c>
      <c r="F78" t="s">
        <v>87</v>
      </c>
      <c r="G78" t="s">
        <v>48</v>
      </c>
      <c r="H78" t="s">
        <v>88</v>
      </c>
      <c r="I78">
        <v>2</v>
      </c>
      <c r="J78">
        <v>5</v>
      </c>
      <c r="K78">
        <v>10</v>
      </c>
      <c r="L78" t="s">
        <v>40</v>
      </c>
      <c r="M78" t="s">
        <v>78</v>
      </c>
      <c r="N78" t="s">
        <v>30</v>
      </c>
      <c r="O78">
        <v>1</v>
      </c>
      <c r="P78">
        <v>4</v>
      </c>
      <c r="Q78">
        <v>4</v>
      </c>
      <c r="R78" t="s">
        <v>663</v>
      </c>
      <c r="S78" t="s">
        <v>31</v>
      </c>
      <c r="T78" t="s">
        <v>43</v>
      </c>
      <c r="U78" t="s">
        <v>62</v>
      </c>
      <c r="V78" s="13">
        <v>46225</v>
      </c>
    </row>
    <row r="79" spans="1:22" x14ac:dyDescent="0.25">
      <c r="A79" t="s">
        <v>205</v>
      </c>
      <c r="B79" s="13">
        <v>45906</v>
      </c>
      <c r="C79" t="s">
        <v>22</v>
      </c>
      <c r="D79" t="s">
        <v>55</v>
      </c>
      <c r="E79" t="s">
        <v>135</v>
      </c>
      <c r="F79" t="s">
        <v>136</v>
      </c>
      <c r="G79" t="s">
        <v>35</v>
      </c>
      <c r="H79" t="s">
        <v>68</v>
      </c>
      <c r="I79">
        <v>2</v>
      </c>
      <c r="J79">
        <v>4</v>
      </c>
      <c r="K79">
        <v>8</v>
      </c>
      <c r="L79" t="s">
        <v>28</v>
      </c>
      <c r="M79" t="s">
        <v>69</v>
      </c>
      <c r="N79" t="s">
        <v>128</v>
      </c>
      <c r="O79">
        <v>1</v>
      </c>
      <c r="P79">
        <v>3</v>
      </c>
      <c r="Q79">
        <v>3</v>
      </c>
      <c r="R79" t="s">
        <v>663</v>
      </c>
      <c r="S79" t="s">
        <v>31</v>
      </c>
      <c r="T79" t="s">
        <v>43</v>
      </c>
      <c r="U79" t="s">
        <v>33</v>
      </c>
      <c r="V79" s="13">
        <v>46271</v>
      </c>
    </row>
    <row r="80" spans="1:22" x14ac:dyDescent="0.25">
      <c r="A80" t="s">
        <v>206</v>
      </c>
      <c r="B80" s="13">
        <v>46311</v>
      </c>
      <c r="C80" t="s">
        <v>35</v>
      </c>
      <c r="D80" t="s">
        <v>65</v>
      </c>
      <c r="E80" t="s">
        <v>36</v>
      </c>
      <c r="F80" t="s">
        <v>37</v>
      </c>
      <c r="G80" t="s">
        <v>38</v>
      </c>
      <c r="H80" t="s">
        <v>113</v>
      </c>
      <c r="I80">
        <v>3</v>
      </c>
      <c r="J80">
        <v>4</v>
      </c>
      <c r="K80">
        <v>12</v>
      </c>
      <c r="L80" t="s">
        <v>40</v>
      </c>
      <c r="M80" t="s">
        <v>69</v>
      </c>
      <c r="N80" t="s">
        <v>89</v>
      </c>
      <c r="O80">
        <v>2</v>
      </c>
      <c r="P80">
        <v>4</v>
      </c>
      <c r="Q80">
        <v>8</v>
      </c>
      <c r="R80" t="s">
        <v>663</v>
      </c>
      <c r="S80" t="s">
        <v>28</v>
      </c>
      <c r="T80" t="s">
        <v>61</v>
      </c>
      <c r="U80" t="s">
        <v>52</v>
      </c>
      <c r="V80" s="13">
        <v>47041</v>
      </c>
    </row>
    <row r="81" spans="1:22" x14ac:dyDescent="0.25">
      <c r="A81" t="s">
        <v>207</v>
      </c>
      <c r="B81" s="13">
        <v>46222</v>
      </c>
      <c r="C81" t="s">
        <v>85</v>
      </c>
      <c r="D81" t="s">
        <v>80</v>
      </c>
      <c r="E81" t="s">
        <v>86</v>
      </c>
      <c r="F81" t="s">
        <v>87</v>
      </c>
      <c r="G81" t="s">
        <v>48</v>
      </c>
      <c r="H81" t="s">
        <v>39</v>
      </c>
      <c r="I81">
        <v>3</v>
      </c>
      <c r="J81">
        <v>3</v>
      </c>
      <c r="K81">
        <v>9</v>
      </c>
      <c r="L81" t="s">
        <v>28</v>
      </c>
      <c r="M81" t="s">
        <v>50</v>
      </c>
      <c r="N81" t="s">
        <v>42</v>
      </c>
      <c r="O81">
        <v>2</v>
      </c>
      <c r="P81">
        <v>2</v>
      </c>
      <c r="Q81">
        <v>4</v>
      </c>
      <c r="R81" t="s">
        <v>663</v>
      </c>
      <c r="S81" t="s">
        <v>31</v>
      </c>
      <c r="T81" t="s">
        <v>61</v>
      </c>
      <c r="U81" t="s">
        <v>52</v>
      </c>
      <c r="V81" s="13">
        <v>46587</v>
      </c>
    </row>
    <row r="82" spans="1:22" x14ac:dyDescent="0.25">
      <c r="A82" t="s">
        <v>208</v>
      </c>
      <c r="B82" s="13">
        <v>45790</v>
      </c>
      <c r="C82" t="s">
        <v>54</v>
      </c>
      <c r="D82" t="s">
        <v>74</v>
      </c>
      <c r="E82" t="s">
        <v>56</v>
      </c>
      <c r="F82" t="s">
        <v>57</v>
      </c>
      <c r="G82" t="s">
        <v>58</v>
      </c>
      <c r="H82" t="s">
        <v>209</v>
      </c>
      <c r="I82">
        <v>5</v>
      </c>
      <c r="J82">
        <v>5</v>
      </c>
      <c r="K82">
        <v>25</v>
      </c>
      <c r="L82" t="s">
        <v>94</v>
      </c>
      <c r="M82" t="s">
        <v>50</v>
      </c>
      <c r="N82" t="s">
        <v>42</v>
      </c>
      <c r="O82">
        <v>4</v>
      </c>
      <c r="P82">
        <v>5</v>
      </c>
      <c r="Q82">
        <v>20</v>
      </c>
      <c r="R82" t="s">
        <v>663</v>
      </c>
      <c r="S82" t="s">
        <v>94</v>
      </c>
      <c r="T82" t="s">
        <v>61</v>
      </c>
      <c r="U82" t="s">
        <v>33</v>
      </c>
      <c r="V82" s="13">
        <v>46520</v>
      </c>
    </row>
    <row r="83" spans="1:22" x14ac:dyDescent="0.25">
      <c r="A83" t="s">
        <v>210</v>
      </c>
      <c r="B83" s="13">
        <v>45953</v>
      </c>
      <c r="C83" t="s">
        <v>22</v>
      </c>
      <c r="D83" t="s">
        <v>74</v>
      </c>
      <c r="E83" t="s">
        <v>109</v>
      </c>
      <c r="F83" t="s">
        <v>110</v>
      </c>
      <c r="G83" t="s">
        <v>111</v>
      </c>
      <c r="H83" t="s">
        <v>68</v>
      </c>
      <c r="I83">
        <v>2</v>
      </c>
      <c r="J83">
        <v>4</v>
      </c>
      <c r="K83">
        <v>8</v>
      </c>
      <c r="L83" t="s">
        <v>28</v>
      </c>
      <c r="M83" t="s">
        <v>78</v>
      </c>
      <c r="N83" t="s">
        <v>70</v>
      </c>
      <c r="O83">
        <v>1</v>
      </c>
      <c r="P83">
        <v>4</v>
      </c>
      <c r="Q83">
        <v>4</v>
      </c>
      <c r="R83" t="s">
        <v>663</v>
      </c>
      <c r="S83" t="s">
        <v>31</v>
      </c>
      <c r="T83" t="s">
        <v>32</v>
      </c>
      <c r="U83" t="s">
        <v>62</v>
      </c>
      <c r="V83" s="13">
        <v>46133</v>
      </c>
    </row>
    <row r="84" spans="1:22" x14ac:dyDescent="0.25">
      <c r="A84" t="s">
        <v>211</v>
      </c>
      <c r="B84" s="13">
        <v>46340</v>
      </c>
      <c r="C84" t="s">
        <v>85</v>
      </c>
      <c r="D84" t="s">
        <v>98</v>
      </c>
      <c r="E84" t="s">
        <v>140</v>
      </c>
      <c r="F84" t="s">
        <v>141</v>
      </c>
      <c r="G84" t="s">
        <v>142</v>
      </c>
      <c r="H84" t="s">
        <v>153</v>
      </c>
      <c r="I84">
        <v>4</v>
      </c>
      <c r="J84">
        <v>5</v>
      </c>
      <c r="K84">
        <v>20</v>
      </c>
      <c r="L84" t="s">
        <v>94</v>
      </c>
      <c r="M84" t="s">
        <v>101</v>
      </c>
      <c r="N84" t="s">
        <v>60</v>
      </c>
      <c r="O84">
        <v>3</v>
      </c>
      <c r="P84">
        <v>4</v>
      </c>
      <c r="Q84">
        <v>12</v>
      </c>
      <c r="R84" t="s">
        <v>663</v>
      </c>
      <c r="S84" t="s">
        <v>40</v>
      </c>
      <c r="T84" t="s">
        <v>61</v>
      </c>
      <c r="U84" t="s">
        <v>62</v>
      </c>
      <c r="V84" s="13">
        <v>46705</v>
      </c>
    </row>
    <row r="85" spans="1:22" x14ac:dyDescent="0.25">
      <c r="A85" t="s">
        <v>212</v>
      </c>
      <c r="B85" s="13">
        <v>46182</v>
      </c>
      <c r="C85" t="s">
        <v>64</v>
      </c>
      <c r="D85" t="s">
        <v>108</v>
      </c>
      <c r="E85" t="s">
        <v>66</v>
      </c>
      <c r="F85" t="s">
        <v>67</v>
      </c>
      <c r="G85" t="s">
        <v>35</v>
      </c>
      <c r="H85" t="s">
        <v>122</v>
      </c>
      <c r="I85">
        <v>4</v>
      </c>
      <c r="J85">
        <v>3</v>
      </c>
      <c r="K85">
        <v>12</v>
      </c>
      <c r="L85" t="s">
        <v>40</v>
      </c>
      <c r="M85" t="s">
        <v>69</v>
      </c>
      <c r="N85" t="s">
        <v>102</v>
      </c>
      <c r="O85">
        <v>4</v>
      </c>
      <c r="P85">
        <v>2</v>
      </c>
      <c r="Q85">
        <v>8</v>
      </c>
      <c r="R85" t="s">
        <v>663</v>
      </c>
      <c r="S85" t="s">
        <v>28</v>
      </c>
      <c r="T85" t="s">
        <v>32</v>
      </c>
      <c r="U85" t="s">
        <v>33</v>
      </c>
      <c r="V85" s="13">
        <v>46362</v>
      </c>
    </row>
    <row r="86" spans="1:22" x14ac:dyDescent="0.25">
      <c r="A86" t="s">
        <v>213</v>
      </c>
      <c r="B86" s="13">
        <v>46267</v>
      </c>
      <c r="C86" t="s">
        <v>85</v>
      </c>
      <c r="D86" t="s">
        <v>98</v>
      </c>
      <c r="E86" t="s">
        <v>86</v>
      </c>
      <c r="F86" t="s">
        <v>87</v>
      </c>
      <c r="G86" t="s">
        <v>48</v>
      </c>
      <c r="H86" t="s">
        <v>49</v>
      </c>
      <c r="I86">
        <v>4</v>
      </c>
      <c r="J86">
        <v>3</v>
      </c>
      <c r="K86">
        <v>12</v>
      </c>
      <c r="L86" t="s">
        <v>40</v>
      </c>
      <c r="M86" t="s">
        <v>101</v>
      </c>
      <c r="N86" t="s">
        <v>30</v>
      </c>
      <c r="O86">
        <v>3</v>
      </c>
      <c r="P86">
        <v>2</v>
      </c>
      <c r="Q86">
        <v>6</v>
      </c>
      <c r="R86" t="s">
        <v>663</v>
      </c>
      <c r="S86" t="s">
        <v>28</v>
      </c>
      <c r="T86" t="s">
        <v>43</v>
      </c>
      <c r="U86" t="s">
        <v>33</v>
      </c>
      <c r="V86" s="13">
        <v>46632</v>
      </c>
    </row>
    <row r="87" spans="1:22" x14ac:dyDescent="0.25">
      <c r="A87" t="s">
        <v>214</v>
      </c>
      <c r="B87" s="13">
        <v>46134</v>
      </c>
      <c r="C87" t="s">
        <v>45</v>
      </c>
      <c r="D87" t="s">
        <v>65</v>
      </c>
      <c r="E87" t="s">
        <v>46</v>
      </c>
      <c r="F87" t="s">
        <v>47</v>
      </c>
      <c r="G87" t="s">
        <v>48</v>
      </c>
      <c r="H87" t="s">
        <v>39</v>
      </c>
      <c r="I87">
        <v>2</v>
      </c>
      <c r="J87">
        <v>5</v>
      </c>
      <c r="K87">
        <v>10</v>
      </c>
      <c r="L87" t="s">
        <v>40</v>
      </c>
      <c r="M87" t="s">
        <v>83</v>
      </c>
      <c r="N87" t="s">
        <v>70</v>
      </c>
      <c r="O87">
        <v>1</v>
      </c>
      <c r="P87">
        <v>5</v>
      </c>
      <c r="Q87">
        <v>5</v>
      </c>
      <c r="R87" t="s">
        <v>663</v>
      </c>
      <c r="S87" t="s">
        <v>28</v>
      </c>
      <c r="T87" t="s">
        <v>61</v>
      </c>
      <c r="U87" t="s">
        <v>33</v>
      </c>
      <c r="V87" s="13">
        <v>46314</v>
      </c>
    </row>
    <row r="88" spans="1:22" x14ac:dyDescent="0.25">
      <c r="A88" t="s">
        <v>215</v>
      </c>
      <c r="B88" s="13">
        <v>45781</v>
      </c>
      <c r="C88" t="s">
        <v>85</v>
      </c>
      <c r="D88" t="s">
        <v>23</v>
      </c>
      <c r="E88" t="s">
        <v>140</v>
      </c>
      <c r="F88" t="s">
        <v>141</v>
      </c>
      <c r="G88" t="s">
        <v>142</v>
      </c>
      <c r="H88" t="s">
        <v>153</v>
      </c>
      <c r="I88">
        <v>5</v>
      </c>
      <c r="J88">
        <v>3</v>
      </c>
      <c r="K88">
        <v>15</v>
      </c>
      <c r="L88" t="s">
        <v>40</v>
      </c>
      <c r="M88" t="s">
        <v>29</v>
      </c>
      <c r="N88" t="s">
        <v>89</v>
      </c>
      <c r="O88">
        <v>3</v>
      </c>
      <c r="P88">
        <v>2</v>
      </c>
      <c r="Q88">
        <v>6</v>
      </c>
      <c r="R88" t="s">
        <v>663</v>
      </c>
      <c r="S88" t="s">
        <v>28</v>
      </c>
      <c r="T88" t="s">
        <v>32</v>
      </c>
      <c r="U88" t="s">
        <v>96</v>
      </c>
      <c r="V88" s="13">
        <v>46146</v>
      </c>
    </row>
    <row r="89" spans="1:22" x14ac:dyDescent="0.25">
      <c r="A89" t="s">
        <v>216</v>
      </c>
      <c r="B89" s="13">
        <v>46131</v>
      </c>
      <c r="C89" t="s">
        <v>73</v>
      </c>
      <c r="D89" t="s">
        <v>55</v>
      </c>
      <c r="E89" t="s">
        <v>104</v>
      </c>
      <c r="F89" t="s">
        <v>105</v>
      </c>
      <c r="G89" t="s">
        <v>73</v>
      </c>
      <c r="H89" t="s">
        <v>77</v>
      </c>
      <c r="I89">
        <v>3</v>
      </c>
      <c r="J89">
        <v>5</v>
      </c>
      <c r="K89">
        <v>15</v>
      </c>
      <c r="L89" t="s">
        <v>40</v>
      </c>
      <c r="M89" t="s">
        <v>50</v>
      </c>
      <c r="N89" t="s">
        <v>106</v>
      </c>
      <c r="O89">
        <v>3</v>
      </c>
      <c r="P89">
        <v>4</v>
      </c>
      <c r="Q89">
        <v>12</v>
      </c>
      <c r="R89" t="s">
        <v>663</v>
      </c>
      <c r="S89" t="s">
        <v>40</v>
      </c>
      <c r="T89" t="s">
        <v>43</v>
      </c>
      <c r="U89" t="s">
        <v>71</v>
      </c>
      <c r="V89" s="13">
        <v>46496</v>
      </c>
    </row>
    <row r="90" spans="1:22" x14ac:dyDescent="0.25">
      <c r="A90" t="s">
        <v>217</v>
      </c>
      <c r="B90" s="13">
        <v>45885</v>
      </c>
      <c r="C90" t="s">
        <v>64</v>
      </c>
      <c r="D90" t="s">
        <v>98</v>
      </c>
      <c r="E90" t="s">
        <v>174</v>
      </c>
      <c r="F90" t="s">
        <v>175</v>
      </c>
      <c r="G90" t="s">
        <v>176</v>
      </c>
      <c r="H90" t="s">
        <v>177</v>
      </c>
      <c r="I90">
        <v>4</v>
      </c>
      <c r="J90">
        <v>5</v>
      </c>
      <c r="K90">
        <v>20</v>
      </c>
      <c r="L90" t="s">
        <v>94</v>
      </c>
      <c r="M90" t="s">
        <v>29</v>
      </c>
      <c r="N90" t="s">
        <v>60</v>
      </c>
      <c r="O90">
        <v>3</v>
      </c>
      <c r="P90">
        <v>5</v>
      </c>
      <c r="Q90">
        <v>15</v>
      </c>
      <c r="R90" t="s">
        <v>663</v>
      </c>
      <c r="S90" t="s">
        <v>40</v>
      </c>
      <c r="T90" t="s">
        <v>61</v>
      </c>
      <c r="U90" t="s">
        <v>62</v>
      </c>
      <c r="V90" s="13">
        <v>46250</v>
      </c>
    </row>
    <row r="91" spans="1:22" x14ac:dyDescent="0.25">
      <c r="A91" t="s">
        <v>218</v>
      </c>
      <c r="B91" s="13">
        <v>46196</v>
      </c>
      <c r="C91" t="s">
        <v>108</v>
      </c>
      <c r="D91" t="s">
        <v>98</v>
      </c>
      <c r="E91" t="s">
        <v>162</v>
      </c>
      <c r="F91" t="s">
        <v>163</v>
      </c>
      <c r="G91" t="s">
        <v>164</v>
      </c>
      <c r="H91" t="s">
        <v>219</v>
      </c>
      <c r="I91">
        <v>3</v>
      </c>
      <c r="J91">
        <v>3</v>
      </c>
      <c r="K91">
        <v>9</v>
      </c>
      <c r="L91" t="s">
        <v>28</v>
      </c>
      <c r="M91" t="s">
        <v>50</v>
      </c>
      <c r="N91" t="s">
        <v>70</v>
      </c>
      <c r="O91">
        <v>2</v>
      </c>
      <c r="P91">
        <v>2</v>
      </c>
      <c r="Q91">
        <v>4</v>
      </c>
      <c r="R91" t="s">
        <v>663</v>
      </c>
      <c r="S91" t="s">
        <v>31</v>
      </c>
      <c r="T91" t="s">
        <v>61</v>
      </c>
      <c r="U91" t="s">
        <v>71</v>
      </c>
      <c r="V91" s="13">
        <v>46926</v>
      </c>
    </row>
    <row r="92" spans="1:22" x14ac:dyDescent="0.25">
      <c r="A92" t="s">
        <v>220</v>
      </c>
      <c r="B92" s="13">
        <v>45684</v>
      </c>
      <c r="C92" t="s">
        <v>35</v>
      </c>
      <c r="D92" t="s">
        <v>74</v>
      </c>
      <c r="E92" t="s">
        <v>120</v>
      </c>
      <c r="F92" t="s">
        <v>121</v>
      </c>
      <c r="G92" t="s">
        <v>35</v>
      </c>
      <c r="H92" t="s">
        <v>68</v>
      </c>
      <c r="I92">
        <v>4</v>
      </c>
      <c r="J92">
        <v>5</v>
      </c>
      <c r="K92">
        <v>20</v>
      </c>
      <c r="L92" t="s">
        <v>94</v>
      </c>
      <c r="M92" t="s">
        <v>95</v>
      </c>
      <c r="N92" t="s">
        <v>42</v>
      </c>
      <c r="O92">
        <v>2</v>
      </c>
      <c r="P92">
        <v>4</v>
      </c>
      <c r="Q92">
        <v>8</v>
      </c>
      <c r="R92" t="s">
        <v>663</v>
      </c>
      <c r="S92" t="s">
        <v>28</v>
      </c>
      <c r="T92" t="s">
        <v>43</v>
      </c>
      <c r="U92" t="s">
        <v>52</v>
      </c>
      <c r="V92" s="13">
        <v>46414</v>
      </c>
    </row>
    <row r="93" spans="1:22" x14ac:dyDescent="0.25">
      <c r="A93" t="s">
        <v>632</v>
      </c>
      <c r="B93" s="13">
        <v>45734</v>
      </c>
      <c r="C93" t="s">
        <v>22</v>
      </c>
      <c r="D93" t="s">
        <v>108</v>
      </c>
      <c r="E93" t="s">
        <v>99</v>
      </c>
      <c r="F93" t="s">
        <v>100</v>
      </c>
      <c r="G93" t="s">
        <v>35</v>
      </c>
      <c r="H93" t="s">
        <v>93</v>
      </c>
      <c r="I93">
        <v>5</v>
      </c>
      <c r="J93">
        <v>5</v>
      </c>
      <c r="K93">
        <v>25</v>
      </c>
      <c r="L93" t="s">
        <v>94</v>
      </c>
      <c r="M93" t="s">
        <v>41</v>
      </c>
      <c r="N93" t="s">
        <v>60</v>
      </c>
      <c r="O93">
        <v>4</v>
      </c>
      <c r="P93">
        <v>4</v>
      </c>
      <c r="Q93">
        <v>16</v>
      </c>
      <c r="R93" t="s">
        <v>663</v>
      </c>
      <c r="S93" t="s">
        <v>40</v>
      </c>
      <c r="T93" t="s">
        <v>32</v>
      </c>
      <c r="U93" t="s">
        <v>96</v>
      </c>
      <c r="V93" s="13">
        <v>46099</v>
      </c>
    </row>
    <row r="94" spans="1:22" x14ac:dyDescent="0.25">
      <c r="A94" t="s">
        <v>222</v>
      </c>
      <c r="B94" s="13">
        <v>46245</v>
      </c>
      <c r="C94" t="s">
        <v>22</v>
      </c>
      <c r="D94" t="s">
        <v>65</v>
      </c>
      <c r="E94" t="s">
        <v>24</v>
      </c>
      <c r="F94" t="s">
        <v>25</v>
      </c>
      <c r="G94" t="s">
        <v>26</v>
      </c>
      <c r="H94" t="s">
        <v>223</v>
      </c>
      <c r="I94">
        <v>3</v>
      </c>
      <c r="J94">
        <v>4</v>
      </c>
      <c r="K94">
        <v>12</v>
      </c>
      <c r="L94" t="s">
        <v>40</v>
      </c>
      <c r="M94" t="s">
        <v>78</v>
      </c>
      <c r="N94" t="s">
        <v>102</v>
      </c>
      <c r="O94">
        <v>2</v>
      </c>
      <c r="P94">
        <v>3</v>
      </c>
      <c r="Q94">
        <v>6</v>
      </c>
      <c r="R94" t="s">
        <v>663</v>
      </c>
      <c r="S94" t="s">
        <v>28</v>
      </c>
      <c r="T94" t="s">
        <v>32</v>
      </c>
      <c r="U94" t="s">
        <v>96</v>
      </c>
      <c r="V94" s="13">
        <v>46610</v>
      </c>
    </row>
    <row r="95" spans="1:22" x14ac:dyDescent="0.25">
      <c r="A95" t="s">
        <v>224</v>
      </c>
      <c r="B95" s="13">
        <v>46298</v>
      </c>
      <c r="C95" t="s">
        <v>108</v>
      </c>
      <c r="D95" t="s">
        <v>55</v>
      </c>
      <c r="E95" t="s">
        <v>149</v>
      </c>
      <c r="F95" t="s">
        <v>150</v>
      </c>
      <c r="G95" t="s">
        <v>151</v>
      </c>
      <c r="H95" t="s">
        <v>225</v>
      </c>
      <c r="I95">
        <v>4</v>
      </c>
      <c r="J95">
        <v>4</v>
      </c>
      <c r="K95">
        <v>16</v>
      </c>
      <c r="L95" t="s">
        <v>40</v>
      </c>
      <c r="M95" t="s">
        <v>78</v>
      </c>
      <c r="N95" t="s">
        <v>51</v>
      </c>
      <c r="O95">
        <v>4</v>
      </c>
      <c r="P95">
        <v>3</v>
      </c>
      <c r="Q95">
        <v>12</v>
      </c>
      <c r="R95" t="s">
        <v>663</v>
      </c>
      <c r="S95" t="s">
        <v>40</v>
      </c>
      <c r="T95" t="s">
        <v>32</v>
      </c>
      <c r="U95" t="s">
        <v>52</v>
      </c>
      <c r="V95" s="13">
        <v>47028</v>
      </c>
    </row>
    <row r="96" spans="1:22" x14ac:dyDescent="0.25">
      <c r="A96" t="s">
        <v>226</v>
      </c>
      <c r="B96" s="13">
        <v>45875</v>
      </c>
      <c r="C96" t="s">
        <v>85</v>
      </c>
      <c r="D96" t="s">
        <v>98</v>
      </c>
      <c r="E96" t="s">
        <v>86</v>
      </c>
      <c r="F96" t="s">
        <v>87</v>
      </c>
      <c r="G96" t="s">
        <v>48</v>
      </c>
      <c r="H96" t="s">
        <v>49</v>
      </c>
      <c r="I96">
        <v>3</v>
      </c>
      <c r="J96">
        <v>2</v>
      </c>
      <c r="K96">
        <v>6</v>
      </c>
      <c r="L96" t="s">
        <v>28</v>
      </c>
      <c r="M96" t="s">
        <v>95</v>
      </c>
      <c r="N96" t="s">
        <v>124</v>
      </c>
      <c r="O96">
        <v>3</v>
      </c>
      <c r="P96">
        <v>2</v>
      </c>
      <c r="Q96">
        <v>6</v>
      </c>
      <c r="R96" t="s">
        <v>663</v>
      </c>
      <c r="S96" t="s">
        <v>28</v>
      </c>
      <c r="T96" t="s">
        <v>43</v>
      </c>
      <c r="U96" t="s">
        <v>62</v>
      </c>
      <c r="V96" s="13">
        <v>46240</v>
      </c>
    </row>
    <row r="97" spans="1:22" x14ac:dyDescent="0.25">
      <c r="A97" t="s">
        <v>227</v>
      </c>
      <c r="B97" s="13">
        <v>45798</v>
      </c>
      <c r="C97" t="s">
        <v>73</v>
      </c>
      <c r="D97" t="s">
        <v>80</v>
      </c>
      <c r="E97" t="s">
        <v>104</v>
      </c>
      <c r="F97" t="s">
        <v>105</v>
      </c>
      <c r="G97" t="s">
        <v>73</v>
      </c>
      <c r="H97" t="s">
        <v>68</v>
      </c>
      <c r="I97">
        <v>3</v>
      </c>
      <c r="J97">
        <v>2</v>
      </c>
      <c r="K97">
        <v>6</v>
      </c>
      <c r="L97" t="s">
        <v>28</v>
      </c>
      <c r="M97" t="s">
        <v>101</v>
      </c>
      <c r="N97" t="s">
        <v>51</v>
      </c>
      <c r="O97">
        <v>2</v>
      </c>
      <c r="P97">
        <v>1</v>
      </c>
      <c r="Q97">
        <v>2</v>
      </c>
      <c r="R97" t="s">
        <v>663</v>
      </c>
      <c r="S97" t="s">
        <v>31</v>
      </c>
      <c r="T97" t="s">
        <v>43</v>
      </c>
      <c r="U97" t="s">
        <v>33</v>
      </c>
      <c r="V97" s="13">
        <v>46163</v>
      </c>
    </row>
    <row r="98" spans="1:22" x14ac:dyDescent="0.25">
      <c r="A98" t="s">
        <v>228</v>
      </c>
      <c r="B98" s="13">
        <v>46064</v>
      </c>
      <c r="C98" t="s">
        <v>64</v>
      </c>
      <c r="D98" t="s">
        <v>98</v>
      </c>
      <c r="E98" t="s">
        <v>66</v>
      </c>
      <c r="F98" t="s">
        <v>67</v>
      </c>
      <c r="G98" t="s">
        <v>35</v>
      </c>
      <c r="H98" t="s">
        <v>68</v>
      </c>
      <c r="I98">
        <v>4</v>
      </c>
      <c r="J98">
        <v>4</v>
      </c>
      <c r="K98">
        <v>16</v>
      </c>
      <c r="L98" t="s">
        <v>40</v>
      </c>
      <c r="M98" t="s">
        <v>50</v>
      </c>
      <c r="N98" t="s">
        <v>30</v>
      </c>
      <c r="O98">
        <v>3</v>
      </c>
      <c r="P98">
        <v>3</v>
      </c>
      <c r="Q98">
        <v>9</v>
      </c>
      <c r="R98" t="s">
        <v>663</v>
      </c>
      <c r="S98" t="s">
        <v>28</v>
      </c>
      <c r="T98" t="s">
        <v>61</v>
      </c>
      <c r="U98" t="s">
        <v>96</v>
      </c>
      <c r="V98" s="13">
        <v>46794</v>
      </c>
    </row>
    <row r="99" spans="1:22" x14ac:dyDescent="0.25">
      <c r="A99" t="s">
        <v>229</v>
      </c>
      <c r="B99" s="13">
        <v>45777</v>
      </c>
      <c r="C99" t="s">
        <v>85</v>
      </c>
      <c r="D99" t="s">
        <v>65</v>
      </c>
      <c r="E99" t="s">
        <v>230</v>
      </c>
      <c r="F99" t="s">
        <v>231</v>
      </c>
      <c r="G99" t="s">
        <v>232</v>
      </c>
      <c r="H99" t="s">
        <v>233</v>
      </c>
      <c r="I99">
        <v>2</v>
      </c>
      <c r="J99">
        <v>5</v>
      </c>
      <c r="K99">
        <v>10</v>
      </c>
      <c r="L99" t="s">
        <v>40</v>
      </c>
      <c r="M99" t="s">
        <v>83</v>
      </c>
      <c r="N99" t="s">
        <v>51</v>
      </c>
      <c r="O99">
        <v>1</v>
      </c>
      <c r="P99">
        <v>4</v>
      </c>
      <c r="Q99">
        <v>4</v>
      </c>
      <c r="R99" t="s">
        <v>663</v>
      </c>
      <c r="S99" t="s">
        <v>31</v>
      </c>
      <c r="T99" t="s">
        <v>32</v>
      </c>
      <c r="U99" t="s">
        <v>62</v>
      </c>
      <c r="V99" s="13">
        <v>46507</v>
      </c>
    </row>
    <row r="100" spans="1:22" x14ac:dyDescent="0.25">
      <c r="A100" t="s">
        <v>234</v>
      </c>
      <c r="B100" s="13">
        <v>46007</v>
      </c>
      <c r="C100" t="s">
        <v>73</v>
      </c>
      <c r="D100" t="s">
        <v>23</v>
      </c>
      <c r="E100" t="s">
        <v>104</v>
      </c>
      <c r="F100" t="s">
        <v>105</v>
      </c>
      <c r="G100" t="s">
        <v>73</v>
      </c>
      <c r="H100" t="s">
        <v>68</v>
      </c>
      <c r="I100">
        <v>2</v>
      </c>
      <c r="J100">
        <v>4</v>
      </c>
      <c r="K100">
        <v>8</v>
      </c>
      <c r="L100" t="s">
        <v>28</v>
      </c>
      <c r="M100" t="s">
        <v>69</v>
      </c>
      <c r="N100" t="s">
        <v>89</v>
      </c>
      <c r="O100">
        <v>1</v>
      </c>
      <c r="P100">
        <v>4</v>
      </c>
      <c r="Q100">
        <v>4</v>
      </c>
      <c r="R100" t="s">
        <v>663</v>
      </c>
      <c r="S100" t="s">
        <v>31</v>
      </c>
      <c r="T100" t="s">
        <v>43</v>
      </c>
      <c r="U100" t="s">
        <v>96</v>
      </c>
      <c r="V100" s="13">
        <v>46187</v>
      </c>
    </row>
    <row r="101" spans="1:22" x14ac:dyDescent="0.25">
      <c r="A101" t="s">
        <v>235</v>
      </c>
      <c r="B101" s="13">
        <v>45845</v>
      </c>
      <c r="C101" t="s">
        <v>35</v>
      </c>
      <c r="D101" t="s">
        <v>65</v>
      </c>
      <c r="E101" t="s">
        <v>120</v>
      </c>
      <c r="F101" t="s">
        <v>121</v>
      </c>
      <c r="G101" t="s">
        <v>35</v>
      </c>
      <c r="H101" t="s">
        <v>137</v>
      </c>
      <c r="I101">
        <v>5</v>
      </c>
      <c r="J101">
        <v>2</v>
      </c>
      <c r="K101">
        <v>10</v>
      </c>
      <c r="L101" t="s">
        <v>40</v>
      </c>
      <c r="M101" t="s">
        <v>83</v>
      </c>
      <c r="N101" t="s">
        <v>89</v>
      </c>
      <c r="O101">
        <v>4</v>
      </c>
      <c r="P101">
        <v>1</v>
      </c>
      <c r="Q101">
        <v>4</v>
      </c>
      <c r="R101" t="s">
        <v>663</v>
      </c>
      <c r="S101" t="s">
        <v>31</v>
      </c>
      <c r="T101" t="s">
        <v>61</v>
      </c>
      <c r="U101" t="s">
        <v>62</v>
      </c>
      <c r="V101" s="13">
        <v>46210</v>
      </c>
    </row>
    <row r="102" spans="1:22" x14ac:dyDescent="0.25">
      <c r="A102" t="s">
        <v>236</v>
      </c>
      <c r="B102" s="13">
        <v>46247</v>
      </c>
      <c r="C102" t="s">
        <v>108</v>
      </c>
      <c r="D102" t="s">
        <v>23</v>
      </c>
      <c r="E102" t="s">
        <v>149</v>
      </c>
      <c r="F102" t="s">
        <v>150</v>
      </c>
      <c r="G102" t="s">
        <v>151</v>
      </c>
      <c r="H102" t="s">
        <v>143</v>
      </c>
      <c r="I102">
        <v>3</v>
      </c>
      <c r="J102">
        <v>3</v>
      </c>
      <c r="K102">
        <v>9</v>
      </c>
      <c r="L102" t="s">
        <v>28</v>
      </c>
      <c r="M102" t="s">
        <v>50</v>
      </c>
      <c r="N102" t="s">
        <v>51</v>
      </c>
      <c r="O102">
        <v>2</v>
      </c>
      <c r="P102">
        <v>2</v>
      </c>
      <c r="Q102">
        <v>4</v>
      </c>
      <c r="R102" t="s">
        <v>663</v>
      </c>
      <c r="S102" t="s">
        <v>31</v>
      </c>
      <c r="T102" t="s">
        <v>43</v>
      </c>
      <c r="U102" t="s">
        <v>33</v>
      </c>
      <c r="V102" s="13">
        <v>46977</v>
      </c>
    </row>
    <row r="103" spans="1:22" x14ac:dyDescent="0.25">
      <c r="A103" t="s">
        <v>237</v>
      </c>
      <c r="B103" s="13">
        <v>45772</v>
      </c>
      <c r="C103" t="s">
        <v>22</v>
      </c>
      <c r="D103" t="s">
        <v>80</v>
      </c>
      <c r="E103" t="s">
        <v>99</v>
      </c>
      <c r="F103" t="s">
        <v>100</v>
      </c>
      <c r="G103" t="s">
        <v>35</v>
      </c>
      <c r="H103" t="s">
        <v>122</v>
      </c>
      <c r="I103">
        <v>5</v>
      </c>
      <c r="J103">
        <v>3</v>
      </c>
      <c r="K103">
        <v>15</v>
      </c>
      <c r="L103" t="s">
        <v>40</v>
      </c>
      <c r="M103" t="s">
        <v>41</v>
      </c>
      <c r="N103" t="s">
        <v>60</v>
      </c>
      <c r="O103">
        <v>4</v>
      </c>
      <c r="P103">
        <v>3</v>
      </c>
      <c r="Q103">
        <v>12</v>
      </c>
      <c r="R103" t="s">
        <v>663</v>
      </c>
      <c r="S103" t="s">
        <v>40</v>
      </c>
      <c r="T103" t="s">
        <v>32</v>
      </c>
      <c r="U103" t="s">
        <v>33</v>
      </c>
      <c r="V103" s="13">
        <v>46502</v>
      </c>
    </row>
    <row r="104" spans="1:22" x14ac:dyDescent="0.25">
      <c r="A104" t="s">
        <v>238</v>
      </c>
      <c r="B104" s="13">
        <v>46044</v>
      </c>
      <c r="C104" t="s">
        <v>22</v>
      </c>
      <c r="D104" t="s">
        <v>23</v>
      </c>
      <c r="E104" t="s">
        <v>135</v>
      </c>
      <c r="F104" t="s">
        <v>136</v>
      </c>
      <c r="G104" t="s">
        <v>35</v>
      </c>
      <c r="H104" t="s">
        <v>68</v>
      </c>
      <c r="I104">
        <v>5</v>
      </c>
      <c r="J104">
        <v>3</v>
      </c>
      <c r="K104">
        <v>15</v>
      </c>
      <c r="L104" t="s">
        <v>40</v>
      </c>
      <c r="M104" t="s">
        <v>83</v>
      </c>
      <c r="N104" t="s">
        <v>30</v>
      </c>
      <c r="O104">
        <v>3</v>
      </c>
      <c r="P104">
        <v>3</v>
      </c>
      <c r="Q104">
        <v>9</v>
      </c>
      <c r="R104" t="s">
        <v>663</v>
      </c>
      <c r="S104" t="s">
        <v>28</v>
      </c>
      <c r="T104" t="s">
        <v>32</v>
      </c>
      <c r="U104" t="s">
        <v>96</v>
      </c>
      <c r="V104" s="13">
        <v>46409</v>
      </c>
    </row>
    <row r="105" spans="1:22" x14ac:dyDescent="0.25">
      <c r="A105" t="s">
        <v>239</v>
      </c>
      <c r="B105" s="13">
        <v>46118</v>
      </c>
      <c r="C105" t="s">
        <v>22</v>
      </c>
      <c r="D105" t="s">
        <v>55</v>
      </c>
      <c r="E105" t="s">
        <v>24</v>
      </c>
      <c r="F105" t="s">
        <v>25</v>
      </c>
      <c r="G105" t="s">
        <v>26</v>
      </c>
      <c r="H105" t="s">
        <v>223</v>
      </c>
      <c r="I105">
        <v>4</v>
      </c>
      <c r="J105">
        <v>3</v>
      </c>
      <c r="K105">
        <v>12</v>
      </c>
      <c r="L105" t="s">
        <v>40</v>
      </c>
      <c r="M105" t="s">
        <v>41</v>
      </c>
      <c r="N105" t="s">
        <v>89</v>
      </c>
      <c r="O105">
        <v>3</v>
      </c>
      <c r="P105">
        <v>2</v>
      </c>
      <c r="Q105">
        <v>6</v>
      </c>
      <c r="R105" t="s">
        <v>663</v>
      </c>
      <c r="S105" t="s">
        <v>28</v>
      </c>
      <c r="T105" t="s">
        <v>32</v>
      </c>
      <c r="U105" t="s">
        <v>62</v>
      </c>
      <c r="V105" s="13">
        <v>46848</v>
      </c>
    </row>
    <row r="106" spans="1:22" x14ac:dyDescent="0.25">
      <c r="A106" t="s">
        <v>240</v>
      </c>
      <c r="B106" s="13">
        <v>45747</v>
      </c>
      <c r="C106" t="s">
        <v>85</v>
      </c>
      <c r="D106" t="s">
        <v>55</v>
      </c>
      <c r="E106" t="s">
        <v>86</v>
      </c>
      <c r="F106" t="s">
        <v>87</v>
      </c>
      <c r="G106" t="s">
        <v>48</v>
      </c>
      <c r="H106" t="s">
        <v>39</v>
      </c>
      <c r="I106">
        <v>4</v>
      </c>
      <c r="J106">
        <v>3</v>
      </c>
      <c r="K106">
        <v>12</v>
      </c>
      <c r="L106" t="s">
        <v>40</v>
      </c>
      <c r="M106" t="s">
        <v>83</v>
      </c>
      <c r="N106" t="s">
        <v>30</v>
      </c>
      <c r="O106">
        <v>3</v>
      </c>
      <c r="P106">
        <v>3</v>
      </c>
      <c r="Q106">
        <v>9</v>
      </c>
      <c r="R106" t="s">
        <v>663</v>
      </c>
      <c r="S106" t="s">
        <v>28</v>
      </c>
      <c r="T106" t="s">
        <v>61</v>
      </c>
      <c r="U106" t="s">
        <v>71</v>
      </c>
      <c r="V106" s="13">
        <v>45927</v>
      </c>
    </row>
    <row r="107" spans="1:22" x14ac:dyDescent="0.25">
      <c r="A107" t="s">
        <v>241</v>
      </c>
      <c r="B107" s="13">
        <v>46125</v>
      </c>
      <c r="C107" t="s">
        <v>108</v>
      </c>
      <c r="D107" t="s">
        <v>98</v>
      </c>
      <c r="E107" t="s">
        <v>162</v>
      </c>
      <c r="F107" t="s">
        <v>163</v>
      </c>
      <c r="G107" t="s">
        <v>164</v>
      </c>
      <c r="H107" t="s">
        <v>68</v>
      </c>
      <c r="I107">
        <v>5</v>
      </c>
      <c r="J107">
        <v>4</v>
      </c>
      <c r="K107">
        <v>20</v>
      </c>
      <c r="L107" t="s">
        <v>94</v>
      </c>
      <c r="M107" t="s">
        <v>50</v>
      </c>
      <c r="N107" t="s">
        <v>30</v>
      </c>
      <c r="O107">
        <v>4</v>
      </c>
      <c r="P107">
        <v>4</v>
      </c>
      <c r="Q107">
        <v>16</v>
      </c>
      <c r="R107" t="s">
        <v>663</v>
      </c>
      <c r="S107" t="s">
        <v>40</v>
      </c>
      <c r="T107" t="s">
        <v>61</v>
      </c>
      <c r="U107" t="s">
        <v>96</v>
      </c>
      <c r="V107" s="13">
        <v>46490</v>
      </c>
    </row>
    <row r="108" spans="1:22" x14ac:dyDescent="0.25">
      <c r="A108" t="s">
        <v>242</v>
      </c>
      <c r="B108" s="13">
        <v>45674</v>
      </c>
      <c r="C108" t="s">
        <v>73</v>
      </c>
      <c r="D108" t="s">
        <v>98</v>
      </c>
      <c r="E108" t="s">
        <v>104</v>
      </c>
      <c r="F108" t="s">
        <v>105</v>
      </c>
      <c r="G108" t="s">
        <v>73</v>
      </c>
      <c r="H108" t="s">
        <v>77</v>
      </c>
      <c r="I108">
        <v>2</v>
      </c>
      <c r="J108">
        <v>3</v>
      </c>
      <c r="K108">
        <v>6</v>
      </c>
      <c r="L108" t="s">
        <v>28</v>
      </c>
      <c r="M108" t="s">
        <v>41</v>
      </c>
      <c r="N108" t="s">
        <v>70</v>
      </c>
      <c r="O108">
        <v>1</v>
      </c>
      <c r="P108">
        <v>2</v>
      </c>
      <c r="Q108">
        <v>2</v>
      </c>
      <c r="R108" t="s">
        <v>663</v>
      </c>
      <c r="S108" t="s">
        <v>31</v>
      </c>
      <c r="T108" t="s">
        <v>43</v>
      </c>
      <c r="U108" t="s">
        <v>52</v>
      </c>
      <c r="V108" s="13">
        <v>45854</v>
      </c>
    </row>
    <row r="109" spans="1:22" x14ac:dyDescent="0.25">
      <c r="A109" t="s">
        <v>243</v>
      </c>
      <c r="B109" s="13">
        <v>46350</v>
      </c>
      <c r="C109" t="s">
        <v>54</v>
      </c>
      <c r="D109" t="s">
        <v>98</v>
      </c>
      <c r="E109" t="s">
        <v>56</v>
      </c>
      <c r="F109" t="s">
        <v>57</v>
      </c>
      <c r="G109" t="s">
        <v>58</v>
      </c>
      <c r="H109" t="s">
        <v>59</v>
      </c>
      <c r="I109">
        <v>3</v>
      </c>
      <c r="J109">
        <v>5</v>
      </c>
      <c r="K109">
        <v>15</v>
      </c>
      <c r="L109" t="s">
        <v>40</v>
      </c>
      <c r="M109" t="s">
        <v>83</v>
      </c>
      <c r="N109" t="s">
        <v>70</v>
      </c>
      <c r="O109">
        <v>2</v>
      </c>
      <c r="P109">
        <v>5</v>
      </c>
      <c r="Q109">
        <v>10</v>
      </c>
      <c r="R109" t="s">
        <v>663</v>
      </c>
      <c r="S109" t="s">
        <v>40</v>
      </c>
      <c r="T109" t="s">
        <v>61</v>
      </c>
      <c r="U109" t="s">
        <v>52</v>
      </c>
      <c r="V109" s="13">
        <v>46715</v>
      </c>
    </row>
    <row r="110" spans="1:22" x14ac:dyDescent="0.25">
      <c r="A110" t="s">
        <v>244</v>
      </c>
      <c r="B110" s="13">
        <v>46245</v>
      </c>
      <c r="C110" t="s">
        <v>108</v>
      </c>
      <c r="D110" t="s">
        <v>65</v>
      </c>
      <c r="E110" t="s">
        <v>149</v>
      </c>
      <c r="F110" t="s">
        <v>150</v>
      </c>
      <c r="G110" t="s">
        <v>151</v>
      </c>
      <c r="H110" t="s">
        <v>225</v>
      </c>
      <c r="I110">
        <v>3</v>
      </c>
      <c r="J110">
        <v>5</v>
      </c>
      <c r="K110">
        <v>15</v>
      </c>
      <c r="L110" t="s">
        <v>40</v>
      </c>
      <c r="M110" t="s">
        <v>83</v>
      </c>
      <c r="N110" t="s">
        <v>89</v>
      </c>
      <c r="O110">
        <v>2</v>
      </c>
      <c r="P110">
        <v>5</v>
      </c>
      <c r="Q110">
        <v>10</v>
      </c>
      <c r="R110" t="s">
        <v>663</v>
      </c>
      <c r="S110" t="s">
        <v>40</v>
      </c>
      <c r="T110" t="s">
        <v>43</v>
      </c>
      <c r="U110" t="s">
        <v>62</v>
      </c>
      <c r="V110" s="13">
        <v>46425</v>
      </c>
    </row>
    <row r="111" spans="1:22" x14ac:dyDescent="0.25">
      <c r="A111" t="s">
        <v>245</v>
      </c>
      <c r="B111" s="13">
        <v>45939</v>
      </c>
      <c r="C111" t="s">
        <v>85</v>
      </c>
      <c r="D111" t="s">
        <v>65</v>
      </c>
      <c r="E111" t="s">
        <v>230</v>
      </c>
      <c r="F111" t="s">
        <v>231</v>
      </c>
      <c r="G111" t="s">
        <v>232</v>
      </c>
      <c r="H111" t="s">
        <v>233</v>
      </c>
      <c r="I111">
        <v>4</v>
      </c>
      <c r="J111">
        <v>3</v>
      </c>
      <c r="K111">
        <v>12</v>
      </c>
      <c r="L111" t="s">
        <v>40</v>
      </c>
      <c r="M111" t="s">
        <v>83</v>
      </c>
      <c r="N111" t="s">
        <v>70</v>
      </c>
      <c r="O111">
        <v>2</v>
      </c>
      <c r="P111">
        <v>3</v>
      </c>
      <c r="Q111">
        <v>6</v>
      </c>
      <c r="R111" t="s">
        <v>663</v>
      </c>
      <c r="S111" t="s">
        <v>28</v>
      </c>
      <c r="T111" t="s">
        <v>32</v>
      </c>
      <c r="U111" t="s">
        <v>71</v>
      </c>
      <c r="V111" s="13">
        <v>46669</v>
      </c>
    </row>
    <row r="112" spans="1:22" x14ac:dyDescent="0.25">
      <c r="A112" t="s">
        <v>246</v>
      </c>
      <c r="B112" s="13">
        <v>45670</v>
      </c>
      <c r="C112" t="s">
        <v>54</v>
      </c>
      <c r="D112" t="s">
        <v>65</v>
      </c>
      <c r="E112" t="s">
        <v>56</v>
      </c>
      <c r="F112" t="s">
        <v>57</v>
      </c>
      <c r="G112" t="s">
        <v>58</v>
      </c>
      <c r="H112" t="s">
        <v>59</v>
      </c>
      <c r="I112">
        <v>4</v>
      </c>
      <c r="J112">
        <v>3</v>
      </c>
      <c r="K112">
        <v>12</v>
      </c>
      <c r="L112" t="s">
        <v>40</v>
      </c>
      <c r="M112" t="s">
        <v>29</v>
      </c>
      <c r="N112" t="s">
        <v>106</v>
      </c>
      <c r="O112">
        <v>3</v>
      </c>
      <c r="P112">
        <v>2</v>
      </c>
      <c r="Q112">
        <v>6</v>
      </c>
      <c r="R112" t="s">
        <v>663</v>
      </c>
      <c r="S112" t="s">
        <v>28</v>
      </c>
      <c r="T112" t="s">
        <v>61</v>
      </c>
      <c r="U112" t="s">
        <v>71</v>
      </c>
      <c r="V112" s="13">
        <v>46035</v>
      </c>
    </row>
    <row r="113" spans="1:22" x14ac:dyDescent="0.25">
      <c r="A113" t="s">
        <v>247</v>
      </c>
      <c r="B113" s="13">
        <v>46337</v>
      </c>
      <c r="C113" t="s">
        <v>54</v>
      </c>
      <c r="D113" t="s">
        <v>108</v>
      </c>
      <c r="E113" t="s">
        <v>56</v>
      </c>
      <c r="F113" t="s">
        <v>57</v>
      </c>
      <c r="G113" t="s">
        <v>58</v>
      </c>
      <c r="H113" t="s">
        <v>59</v>
      </c>
      <c r="I113">
        <v>2</v>
      </c>
      <c r="J113">
        <v>5</v>
      </c>
      <c r="K113">
        <v>10</v>
      </c>
      <c r="L113" t="s">
        <v>40</v>
      </c>
      <c r="M113" t="s">
        <v>50</v>
      </c>
      <c r="N113" t="s">
        <v>128</v>
      </c>
      <c r="O113">
        <v>1</v>
      </c>
      <c r="P113">
        <v>4</v>
      </c>
      <c r="Q113">
        <v>4</v>
      </c>
      <c r="R113" t="s">
        <v>663</v>
      </c>
      <c r="S113" t="s">
        <v>31</v>
      </c>
      <c r="T113" t="s">
        <v>32</v>
      </c>
      <c r="U113" t="s">
        <v>62</v>
      </c>
      <c r="V113" s="13">
        <v>46702</v>
      </c>
    </row>
    <row r="114" spans="1:22" x14ac:dyDescent="0.25">
      <c r="A114" t="s">
        <v>248</v>
      </c>
      <c r="B114" s="13">
        <v>46077</v>
      </c>
      <c r="C114" t="s">
        <v>64</v>
      </c>
      <c r="D114" t="s">
        <v>80</v>
      </c>
      <c r="E114" t="s">
        <v>174</v>
      </c>
      <c r="F114" t="s">
        <v>175</v>
      </c>
      <c r="G114" t="s">
        <v>176</v>
      </c>
      <c r="H114" t="s">
        <v>177</v>
      </c>
      <c r="I114">
        <v>5</v>
      </c>
      <c r="J114">
        <v>5</v>
      </c>
      <c r="K114">
        <v>25</v>
      </c>
      <c r="L114" t="s">
        <v>94</v>
      </c>
      <c r="M114" t="s">
        <v>69</v>
      </c>
      <c r="N114" t="s">
        <v>124</v>
      </c>
      <c r="O114">
        <v>4</v>
      </c>
      <c r="P114">
        <v>4</v>
      </c>
      <c r="Q114">
        <v>16</v>
      </c>
      <c r="R114" t="s">
        <v>663</v>
      </c>
      <c r="S114" t="s">
        <v>40</v>
      </c>
      <c r="T114" t="s">
        <v>61</v>
      </c>
      <c r="U114" t="s">
        <v>52</v>
      </c>
      <c r="V114" s="13">
        <v>46257</v>
      </c>
    </row>
    <row r="115" spans="1:22" x14ac:dyDescent="0.25">
      <c r="A115" t="s">
        <v>249</v>
      </c>
      <c r="B115" s="13">
        <v>46381</v>
      </c>
      <c r="C115" t="s">
        <v>35</v>
      </c>
      <c r="D115" t="s">
        <v>55</v>
      </c>
      <c r="E115" t="s">
        <v>120</v>
      </c>
      <c r="F115" t="s">
        <v>121</v>
      </c>
      <c r="G115" t="s">
        <v>35</v>
      </c>
      <c r="H115" t="s">
        <v>137</v>
      </c>
      <c r="I115">
        <v>4</v>
      </c>
      <c r="J115">
        <v>2</v>
      </c>
      <c r="K115">
        <v>8</v>
      </c>
      <c r="L115" t="s">
        <v>28</v>
      </c>
      <c r="M115" t="s">
        <v>83</v>
      </c>
      <c r="N115" t="s">
        <v>70</v>
      </c>
      <c r="O115">
        <v>3</v>
      </c>
      <c r="P115">
        <v>2</v>
      </c>
      <c r="Q115">
        <v>6</v>
      </c>
      <c r="R115" t="s">
        <v>663</v>
      </c>
      <c r="S115" t="s">
        <v>28</v>
      </c>
      <c r="T115" t="s">
        <v>43</v>
      </c>
      <c r="U115" t="s">
        <v>52</v>
      </c>
      <c r="V115" s="13">
        <v>46746</v>
      </c>
    </row>
    <row r="116" spans="1:22" x14ac:dyDescent="0.25">
      <c r="A116" t="s">
        <v>250</v>
      </c>
      <c r="B116" s="13">
        <v>46113</v>
      </c>
      <c r="C116" t="s">
        <v>85</v>
      </c>
      <c r="D116" t="s">
        <v>98</v>
      </c>
      <c r="E116" t="s">
        <v>140</v>
      </c>
      <c r="F116" t="s">
        <v>141</v>
      </c>
      <c r="G116" t="s">
        <v>142</v>
      </c>
      <c r="H116" t="s">
        <v>68</v>
      </c>
      <c r="I116">
        <v>2</v>
      </c>
      <c r="J116">
        <v>4</v>
      </c>
      <c r="K116">
        <v>8</v>
      </c>
      <c r="L116" t="s">
        <v>28</v>
      </c>
      <c r="M116" t="s">
        <v>50</v>
      </c>
      <c r="N116" t="s">
        <v>51</v>
      </c>
      <c r="O116">
        <v>1</v>
      </c>
      <c r="P116">
        <v>3</v>
      </c>
      <c r="Q116">
        <v>3</v>
      </c>
      <c r="R116" t="s">
        <v>663</v>
      </c>
      <c r="S116" t="s">
        <v>31</v>
      </c>
      <c r="T116" t="s">
        <v>43</v>
      </c>
      <c r="U116" t="s">
        <v>96</v>
      </c>
      <c r="V116" s="13">
        <v>46478</v>
      </c>
    </row>
    <row r="117" spans="1:22" x14ac:dyDescent="0.25">
      <c r="A117" t="s">
        <v>251</v>
      </c>
      <c r="B117" s="13">
        <v>45856</v>
      </c>
      <c r="C117" t="s">
        <v>22</v>
      </c>
      <c r="D117" t="s">
        <v>55</v>
      </c>
      <c r="E117" t="s">
        <v>109</v>
      </c>
      <c r="F117" t="s">
        <v>110</v>
      </c>
      <c r="G117" t="s">
        <v>111</v>
      </c>
      <c r="H117" t="s">
        <v>68</v>
      </c>
      <c r="I117">
        <v>3</v>
      </c>
      <c r="J117">
        <v>2</v>
      </c>
      <c r="K117">
        <v>6</v>
      </c>
      <c r="L117" t="s">
        <v>28</v>
      </c>
      <c r="M117" t="s">
        <v>83</v>
      </c>
      <c r="N117" t="s">
        <v>89</v>
      </c>
      <c r="O117">
        <v>3</v>
      </c>
      <c r="P117">
        <v>2</v>
      </c>
      <c r="Q117">
        <v>6</v>
      </c>
      <c r="R117" t="s">
        <v>663</v>
      </c>
      <c r="S117" t="s">
        <v>28</v>
      </c>
      <c r="T117" t="s">
        <v>61</v>
      </c>
      <c r="U117" t="s">
        <v>62</v>
      </c>
      <c r="V117" s="13">
        <v>46221</v>
      </c>
    </row>
    <row r="118" spans="1:22" x14ac:dyDescent="0.25">
      <c r="A118" t="s">
        <v>252</v>
      </c>
      <c r="B118" s="13">
        <v>46178</v>
      </c>
      <c r="C118" t="s">
        <v>22</v>
      </c>
      <c r="D118" t="s">
        <v>80</v>
      </c>
      <c r="E118" t="s">
        <v>135</v>
      </c>
      <c r="F118" t="s">
        <v>136</v>
      </c>
      <c r="G118" t="s">
        <v>35</v>
      </c>
      <c r="H118" t="s">
        <v>137</v>
      </c>
      <c r="I118">
        <v>5</v>
      </c>
      <c r="J118">
        <v>2</v>
      </c>
      <c r="K118">
        <v>10</v>
      </c>
      <c r="L118" t="s">
        <v>40</v>
      </c>
      <c r="M118" t="s">
        <v>50</v>
      </c>
      <c r="N118" t="s">
        <v>102</v>
      </c>
      <c r="O118">
        <v>4</v>
      </c>
      <c r="P118">
        <v>2</v>
      </c>
      <c r="Q118">
        <v>8</v>
      </c>
      <c r="R118" t="s">
        <v>663</v>
      </c>
      <c r="S118" t="s">
        <v>28</v>
      </c>
      <c r="T118" t="s">
        <v>32</v>
      </c>
      <c r="U118" t="s">
        <v>33</v>
      </c>
      <c r="V118" s="13">
        <v>46543</v>
      </c>
    </row>
    <row r="119" spans="1:22" x14ac:dyDescent="0.25">
      <c r="A119" t="s">
        <v>631</v>
      </c>
      <c r="B119" s="13">
        <v>45894</v>
      </c>
      <c r="C119" t="s">
        <v>22</v>
      </c>
      <c r="D119" t="s">
        <v>55</v>
      </c>
      <c r="E119" t="s">
        <v>81</v>
      </c>
      <c r="F119" t="s">
        <v>82</v>
      </c>
      <c r="G119" t="s">
        <v>81</v>
      </c>
      <c r="H119" t="s">
        <v>127</v>
      </c>
      <c r="I119">
        <v>3</v>
      </c>
      <c r="J119">
        <v>5</v>
      </c>
      <c r="K119">
        <v>15</v>
      </c>
      <c r="L119" t="s">
        <v>40</v>
      </c>
      <c r="M119" t="s">
        <v>50</v>
      </c>
      <c r="N119" t="s">
        <v>70</v>
      </c>
      <c r="O119">
        <v>1</v>
      </c>
      <c r="P119">
        <v>5</v>
      </c>
      <c r="Q119">
        <v>5</v>
      </c>
      <c r="R119" t="s">
        <v>663</v>
      </c>
      <c r="S119" t="s">
        <v>28</v>
      </c>
      <c r="T119" t="s">
        <v>61</v>
      </c>
      <c r="U119" t="s">
        <v>96</v>
      </c>
      <c r="V119" s="13">
        <v>46624</v>
      </c>
    </row>
    <row r="120" spans="1:22" x14ac:dyDescent="0.25">
      <c r="A120" t="s">
        <v>254</v>
      </c>
      <c r="B120" s="13">
        <v>46169</v>
      </c>
      <c r="C120" t="s">
        <v>108</v>
      </c>
      <c r="D120" t="s">
        <v>65</v>
      </c>
      <c r="E120" t="s">
        <v>149</v>
      </c>
      <c r="F120" t="s">
        <v>150</v>
      </c>
      <c r="G120" t="s">
        <v>151</v>
      </c>
      <c r="H120" t="s">
        <v>143</v>
      </c>
      <c r="I120">
        <v>5</v>
      </c>
      <c r="J120">
        <v>2</v>
      </c>
      <c r="K120">
        <v>10</v>
      </c>
      <c r="L120" t="s">
        <v>40</v>
      </c>
      <c r="M120" t="s">
        <v>69</v>
      </c>
      <c r="N120" t="s">
        <v>124</v>
      </c>
      <c r="O120">
        <v>4</v>
      </c>
      <c r="P120">
        <v>2</v>
      </c>
      <c r="Q120">
        <v>8</v>
      </c>
      <c r="R120" t="s">
        <v>663</v>
      </c>
      <c r="S120" t="s">
        <v>28</v>
      </c>
      <c r="T120" t="s">
        <v>32</v>
      </c>
      <c r="U120" t="s">
        <v>33</v>
      </c>
      <c r="V120" s="13">
        <v>46899</v>
      </c>
    </row>
    <row r="121" spans="1:22" x14ac:dyDescent="0.25">
      <c r="A121" t="s">
        <v>255</v>
      </c>
      <c r="B121" s="13">
        <v>46162</v>
      </c>
      <c r="C121" t="s">
        <v>73</v>
      </c>
      <c r="D121" t="s">
        <v>55</v>
      </c>
      <c r="E121" t="s">
        <v>104</v>
      </c>
      <c r="F121" t="s">
        <v>105</v>
      </c>
      <c r="G121" t="s">
        <v>73</v>
      </c>
      <c r="H121" t="s">
        <v>77</v>
      </c>
      <c r="I121">
        <v>4</v>
      </c>
      <c r="J121">
        <v>3</v>
      </c>
      <c r="K121">
        <v>12</v>
      </c>
      <c r="L121" t="s">
        <v>40</v>
      </c>
      <c r="M121" t="s">
        <v>29</v>
      </c>
      <c r="N121" t="s">
        <v>124</v>
      </c>
      <c r="O121">
        <v>2</v>
      </c>
      <c r="P121">
        <v>3</v>
      </c>
      <c r="Q121">
        <v>6</v>
      </c>
      <c r="R121" t="s">
        <v>663</v>
      </c>
      <c r="S121" t="s">
        <v>28</v>
      </c>
      <c r="T121" t="s">
        <v>61</v>
      </c>
      <c r="U121" t="s">
        <v>96</v>
      </c>
      <c r="V121" s="13">
        <v>46342</v>
      </c>
    </row>
    <row r="122" spans="1:22" x14ac:dyDescent="0.25">
      <c r="A122" t="s">
        <v>256</v>
      </c>
      <c r="B122" s="13">
        <v>46214</v>
      </c>
      <c r="C122" t="s">
        <v>108</v>
      </c>
      <c r="D122" t="s">
        <v>65</v>
      </c>
      <c r="E122" t="s">
        <v>149</v>
      </c>
      <c r="F122" t="s">
        <v>150</v>
      </c>
      <c r="G122" t="s">
        <v>151</v>
      </c>
      <c r="H122" t="s">
        <v>225</v>
      </c>
      <c r="I122">
        <v>3</v>
      </c>
      <c r="J122">
        <v>2</v>
      </c>
      <c r="K122">
        <v>6</v>
      </c>
      <c r="L122" t="s">
        <v>28</v>
      </c>
      <c r="M122" t="s">
        <v>78</v>
      </c>
      <c r="N122" t="s">
        <v>42</v>
      </c>
      <c r="O122">
        <v>2</v>
      </c>
      <c r="P122">
        <v>1</v>
      </c>
      <c r="Q122">
        <v>2</v>
      </c>
      <c r="R122" t="s">
        <v>663</v>
      </c>
      <c r="S122" t="s">
        <v>31</v>
      </c>
      <c r="T122" t="s">
        <v>61</v>
      </c>
      <c r="U122" t="s">
        <v>52</v>
      </c>
      <c r="V122" s="13">
        <v>46394</v>
      </c>
    </row>
    <row r="123" spans="1:22" x14ac:dyDescent="0.25">
      <c r="A123" t="s">
        <v>257</v>
      </c>
      <c r="B123" s="13">
        <v>45810</v>
      </c>
      <c r="C123" t="s">
        <v>35</v>
      </c>
      <c r="D123" t="s">
        <v>65</v>
      </c>
      <c r="E123" t="s">
        <v>120</v>
      </c>
      <c r="F123" t="s">
        <v>121</v>
      </c>
      <c r="G123" t="s">
        <v>35</v>
      </c>
      <c r="H123" t="s">
        <v>122</v>
      </c>
      <c r="I123">
        <v>3</v>
      </c>
      <c r="J123">
        <v>2</v>
      </c>
      <c r="K123">
        <v>6</v>
      </c>
      <c r="L123" t="s">
        <v>28</v>
      </c>
      <c r="M123" t="s">
        <v>95</v>
      </c>
      <c r="N123" t="s">
        <v>128</v>
      </c>
      <c r="O123">
        <v>2</v>
      </c>
      <c r="P123">
        <v>1</v>
      </c>
      <c r="Q123">
        <v>2</v>
      </c>
      <c r="R123" t="s">
        <v>663</v>
      </c>
      <c r="S123" t="s">
        <v>31</v>
      </c>
      <c r="T123" t="s">
        <v>43</v>
      </c>
      <c r="U123" t="s">
        <v>62</v>
      </c>
      <c r="V123" s="13">
        <v>46540</v>
      </c>
    </row>
    <row r="124" spans="1:22" x14ac:dyDescent="0.25">
      <c r="A124" t="s">
        <v>258</v>
      </c>
      <c r="B124" s="13">
        <v>45778</v>
      </c>
      <c r="C124" t="s">
        <v>73</v>
      </c>
      <c r="D124" t="s">
        <v>55</v>
      </c>
      <c r="E124" t="s">
        <v>104</v>
      </c>
      <c r="F124" t="s">
        <v>105</v>
      </c>
      <c r="G124" t="s">
        <v>73</v>
      </c>
      <c r="H124" t="s">
        <v>116</v>
      </c>
      <c r="I124">
        <v>5</v>
      </c>
      <c r="J124">
        <v>4</v>
      </c>
      <c r="K124">
        <v>20</v>
      </c>
      <c r="L124" t="s">
        <v>94</v>
      </c>
      <c r="M124" t="s">
        <v>69</v>
      </c>
      <c r="N124" t="s">
        <v>51</v>
      </c>
      <c r="O124">
        <v>5</v>
      </c>
      <c r="P124">
        <v>4</v>
      </c>
      <c r="Q124">
        <v>20</v>
      </c>
      <c r="R124" t="s">
        <v>663</v>
      </c>
      <c r="S124" t="s">
        <v>94</v>
      </c>
      <c r="T124" t="s">
        <v>32</v>
      </c>
      <c r="U124" t="s">
        <v>71</v>
      </c>
      <c r="V124" s="13">
        <v>46143</v>
      </c>
    </row>
    <row r="125" spans="1:22" x14ac:dyDescent="0.25">
      <c r="A125" t="s">
        <v>259</v>
      </c>
      <c r="B125" s="13">
        <v>45671</v>
      </c>
      <c r="C125" t="s">
        <v>22</v>
      </c>
      <c r="D125" t="s">
        <v>23</v>
      </c>
      <c r="E125" t="s">
        <v>99</v>
      </c>
      <c r="F125" t="s">
        <v>100</v>
      </c>
      <c r="G125" t="s">
        <v>35</v>
      </c>
      <c r="H125" t="s">
        <v>93</v>
      </c>
      <c r="I125">
        <v>5</v>
      </c>
      <c r="J125">
        <v>5</v>
      </c>
      <c r="K125">
        <v>25</v>
      </c>
      <c r="L125" t="s">
        <v>94</v>
      </c>
      <c r="M125" t="s">
        <v>29</v>
      </c>
      <c r="N125" t="s">
        <v>42</v>
      </c>
      <c r="O125">
        <v>5</v>
      </c>
      <c r="P125">
        <v>4</v>
      </c>
      <c r="Q125">
        <v>20</v>
      </c>
      <c r="R125" t="s">
        <v>663</v>
      </c>
      <c r="S125" t="s">
        <v>94</v>
      </c>
      <c r="T125" t="s">
        <v>61</v>
      </c>
      <c r="U125" t="s">
        <v>62</v>
      </c>
      <c r="V125" s="13">
        <v>45851</v>
      </c>
    </row>
    <row r="126" spans="1:22" x14ac:dyDescent="0.25">
      <c r="A126" t="s">
        <v>260</v>
      </c>
      <c r="B126" s="13">
        <v>46224</v>
      </c>
      <c r="C126" t="s">
        <v>64</v>
      </c>
      <c r="D126" t="s">
        <v>80</v>
      </c>
      <c r="E126" t="s">
        <v>66</v>
      </c>
      <c r="F126" t="s">
        <v>67</v>
      </c>
      <c r="G126" t="s">
        <v>35</v>
      </c>
      <c r="H126" t="s">
        <v>93</v>
      </c>
      <c r="I126">
        <v>2</v>
      </c>
      <c r="J126">
        <v>5</v>
      </c>
      <c r="K126">
        <v>10</v>
      </c>
      <c r="L126" t="s">
        <v>40</v>
      </c>
      <c r="M126" t="s">
        <v>29</v>
      </c>
      <c r="N126" t="s">
        <v>128</v>
      </c>
      <c r="O126">
        <v>1</v>
      </c>
      <c r="P126">
        <v>5</v>
      </c>
      <c r="Q126">
        <v>5</v>
      </c>
      <c r="R126" t="s">
        <v>663</v>
      </c>
      <c r="S126" t="s">
        <v>28</v>
      </c>
      <c r="T126" t="s">
        <v>43</v>
      </c>
      <c r="U126" t="s">
        <v>33</v>
      </c>
      <c r="V126" s="13">
        <v>46404</v>
      </c>
    </row>
    <row r="127" spans="1:22" x14ac:dyDescent="0.25">
      <c r="A127" t="s">
        <v>261</v>
      </c>
      <c r="B127" s="13">
        <v>46081</v>
      </c>
      <c r="C127" t="s">
        <v>22</v>
      </c>
      <c r="D127" t="s">
        <v>55</v>
      </c>
      <c r="E127" t="s">
        <v>135</v>
      </c>
      <c r="F127" t="s">
        <v>136</v>
      </c>
      <c r="G127" t="s">
        <v>35</v>
      </c>
      <c r="H127" t="s">
        <v>137</v>
      </c>
      <c r="I127">
        <v>2</v>
      </c>
      <c r="J127">
        <v>2</v>
      </c>
      <c r="K127">
        <v>4</v>
      </c>
      <c r="L127" t="s">
        <v>31</v>
      </c>
      <c r="M127" t="s">
        <v>29</v>
      </c>
      <c r="N127" t="s">
        <v>89</v>
      </c>
      <c r="O127">
        <v>1</v>
      </c>
      <c r="P127">
        <v>1</v>
      </c>
      <c r="Q127">
        <v>1</v>
      </c>
      <c r="R127" t="s">
        <v>663</v>
      </c>
      <c r="S127" t="s">
        <v>31</v>
      </c>
      <c r="T127" t="s">
        <v>61</v>
      </c>
      <c r="U127" t="s">
        <v>62</v>
      </c>
      <c r="V127" s="13">
        <v>46446</v>
      </c>
    </row>
    <row r="128" spans="1:22" x14ac:dyDescent="0.25">
      <c r="A128" t="s">
        <v>262</v>
      </c>
      <c r="B128" s="13">
        <v>45823</v>
      </c>
      <c r="C128" t="s">
        <v>85</v>
      </c>
      <c r="D128" t="s">
        <v>55</v>
      </c>
      <c r="E128" t="s">
        <v>140</v>
      </c>
      <c r="F128" t="s">
        <v>141</v>
      </c>
      <c r="G128" t="s">
        <v>142</v>
      </c>
      <c r="H128" t="s">
        <v>153</v>
      </c>
      <c r="I128">
        <v>2</v>
      </c>
      <c r="J128">
        <v>3</v>
      </c>
      <c r="K128">
        <v>6</v>
      </c>
      <c r="L128" t="s">
        <v>28</v>
      </c>
      <c r="M128" t="s">
        <v>41</v>
      </c>
      <c r="N128" t="s">
        <v>60</v>
      </c>
      <c r="O128">
        <v>1</v>
      </c>
      <c r="P128">
        <v>3</v>
      </c>
      <c r="Q128">
        <v>3</v>
      </c>
      <c r="R128" t="s">
        <v>663</v>
      </c>
      <c r="S128" t="s">
        <v>31</v>
      </c>
      <c r="T128" t="s">
        <v>32</v>
      </c>
      <c r="U128" t="s">
        <v>33</v>
      </c>
      <c r="V128" s="13">
        <v>46003</v>
      </c>
    </row>
    <row r="129" spans="1:22" x14ac:dyDescent="0.25">
      <c r="A129" t="s">
        <v>263</v>
      </c>
      <c r="B129" s="13">
        <v>46163</v>
      </c>
      <c r="C129" t="s">
        <v>85</v>
      </c>
      <c r="D129" t="s">
        <v>80</v>
      </c>
      <c r="E129" t="s">
        <v>230</v>
      </c>
      <c r="F129" t="s">
        <v>231</v>
      </c>
      <c r="G129" t="s">
        <v>232</v>
      </c>
      <c r="H129" t="s">
        <v>233</v>
      </c>
      <c r="I129">
        <v>3</v>
      </c>
      <c r="J129">
        <v>4</v>
      </c>
      <c r="K129">
        <v>12</v>
      </c>
      <c r="L129" t="s">
        <v>40</v>
      </c>
      <c r="M129" t="s">
        <v>69</v>
      </c>
      <c r="N129" t="s">
        <v>102</v>
      </c>
      <c r="O129">
        <v>1</v>
      </c>
      <c r="P129">
        <v>3</v>
      </c>
      <c r="Q129">
        <v>3</v>
      </c>
      <c r="R129" t="s">
        <v>663</v>
      </c>
      <c r="S129" t="s">
        <v>31</v>
      </c>
      <c r="T129" t="s">
        <v>61</v>
      </c>
      <c r="U129" t="s">
        <v>71</v>
      </c>
      <c r="V129" s="13">
        <v>46528</v>
      </c>
    </row>
    <row r="130" spans="1:22" x14ac:dyDescent="0.25">
      <c r="A130" t="s">
        <v>264</v>
      </c>
      <c r="B130" s="13">
        <v>46288</v>
      </c>
      <c r="C130" t="s">
        <v>22</v>
      </c>
      <c r="D130" t="s">
        <v>80</v>
      </c>
      <c r="E130" t="s">
        <v>109</v>
      </c>
      <c r="F130" t="s">
        <v>110</v>
      </c>
      <c r="G130" t="s">
        <v>111</v>
      </c>
      <c r="H130" t="s">
        <v>197</v>
      </c>
      <c r="I130">
        <v>3</v>
      </c>
      <c r="J130">
        <v>4</v>
      </c>
      <c r="K130">
        <v>12</v>
      </c>
      <c r="L130" t="s">
        <v>40</v>
      </c>
      <c r="M130" t="s">
        <v>41</v>
      </c>
      <c r="N130" t="s">
        <v>42</v>
      </c>
      <c r="O130">
        <v>2</v>
      </c>
      <c r="P130">
        <v>3</v>
      </c>
      <c r="Q130">
        <v>6</v>
      </c>
      <c r="R130" t="s">
        <v>663</v>
      </c>
      <c r="S130" t="s">
        <v>28</v>
      </c>
      <c r="T130" t="s">
        <v>32</v>
      </c>
      <c r="U130" t="s">
        <v>71</v>
      </c>
      <c r="V130" s="13">
        <v>46468</v>
      </c>
    </row>
    <row r="131" spans="1:22" x14ac:dyDescent="0.25">
      <c r="A131" t="s">
        <v>265</v>
      </c>
      <c r="B131" s="13">
        <v>45922</v>
      </c>
      <c r="C131" t="s">
        <v>64</v>
      </c>
      <c r="D131" t="s">
        <v>65</v>
      </c>
      <c r="E131" t="s">
        <v>174</v>
      </c>
      <c r="F131" t="s">
        <v>175</v>
      </c>
      <c r="G131" t="s">
        <v>176</v>
      </c>
      <c r="H131" t="s">
        <v>68</v>
      </c>
      <c r="I131">
        <v>3</v>
      </c>
      <c r="J131">
        <v>2</v>
      </c>
      <c r="K131">
        <v>6</v>
      </c>
      <c r="L131" t="s">
        <v>28</v>
      </c>
      <c r="M131" t="s">
        <v>29</v>
      </c>
      <c r="N131" t="s">
        <v>60</v>
      </c>
      <c r="O131">
        <v>2</v>
      </c>
      <c r="P131">
        <v>1</v>
      </c>
      <c r="Q131">
        <v>2</v>
      </c>
      <c r="R131" t="s">
        <v>663</v>
      </c>
      <c r="S131" t="s">
        <v>31</v>
      </c>
      <c r="T131" t="s">
        <v>32</v>
      </c>
      <c r="U131" t="s">
        <v>71</v>
      </c>
      <c r="V131" s="13">
        <v>46652</v>
      </c>
    </row>
    <row r="132" spans="1:22" x14ac:dyDescent="0.25">
      <c r="A132" t="s">
        <v>266</v>
      </c>
      <c r="B132" s="13">
        <v>45829</v>
      </c>
      <c r="C132" t="s">
        <v>64</v>
      </c>
      <c r="D132" t="s">
        <v>74</v>
      </c>
      <c r="E132" t="s">
        <v>91</v>
      </c>
      <c r="F132" t="s">
        <v>92</v>
      </c>
      <c r="G132" t="s">
        <v>35</v>
      </c>
      <c r="H132" t="s">
        <v>137</v>
      </c>
      <c r="I132">
        <v>3</v>
      </c>
      <c r="J132">
        <v>2</v>
      </c>
      <c r="K132">
        <v>6</v>
      </c>
      <c r="L132" t="s">
        <v>28</v>
      </c>
      <c r="M132" t="s">
        <v>78</v>
      </c>
      <c r="N132" t="s">
        <v>102</v>
      </c>
      <c r="O132">
        <v>2</v>
      </c>
      <c r="P132">
        <v>2</v>
      </c>
      <c r="Q132">
        <v>4</v>
      </c>
      <c r="R132" t="s">
        <v>663</v>
      </c>
      <c r="S132" t="s">
        <v>31</v>
      </c>
      <c r="T132" t="s">
        <v>61</v>
      </c>
      <c r="U132" t="s">
        <v>71</v>
      </c>
      <c r="V132" s="13">
        <v>46559</v>
      </c>
    </row>
    <row r="133" spans="1:22" x14ac:dyDescent="0.25">
      <c r="A133" t="s">
        <v>267</v>
      </c>
      <c r="B133" s="13">
        <v>46152</v>
      </c>
      <c r="C133" t="s">
        <v>108</v>
      </c>
      <c r="D133" t="s">
        <v>23</v>
      </c>
      <c r="E133" t="s">
        <v>149</v>
      </c>
      <c r="F133" t="s">
        <v>150</v>
      </c>
      <c r="G133" t="s">
        <v>151</v>
      </c>
      <c r="H133" t="s">
        <v>68</v>
      </c>
      <c r="I133">
        <v>3</v>
      </c>
      <c r="J133">
        <v>2</v>
      </c>
      <c r="K133">
        <v>6</v>
      </c>
      <c r="L133" t="s">
        <v>28</v>
      </c>
      <c r="M133" t="s">
        <v>95</v>
      </c>
      <c r="N133" t="s">
        <v>42</v>
      </c>
      <c r="O133">
        <v>2</v>
      </c>
      <c r="P133">
        <v>1</v>
      </c>
      <c r="Q133">
        <v>2</v>
      </c>
      <c r="R133" t="s">
        <v>663</v>
      </c>
      <c r="S133" t="s">
        <v>31</v>
      </c>
      <c r="T133" t="s">
        <v>61</v>
      </c>
      <c r="U133" t="s">
        <v>52</v>
      </c>
      <c r="V133" s="13">
        <v>46517</v>
      </c>
    </row>
    <row r="134" spans="1:22" x14ac:dyDescent="0.25">
      <c r="A134" t="s">
        <v>268</v>
      </c>
      <c r="B134" s="13">
        <v>45743</v>
      </c>
      <c r="C134" t="s">
        <v>85</v>
      </c>
      <c r="D134" t="s">
        <v>80</v>
      </c>
      <c r="E134" t="s">
        <v>140</v>
      </c>
      <c r="F134" t="s">
        <v>141</v>
      </c>
      <c r="G134" t="s">
        <v>142</v>
      </c>
      <c r="H134" t="s">
        <v>68</v>
      </c>
      <c r="I134">
        <v>2</v>
      </c>
      <c r="J134">
        <v>3</v>
      </c>
      <c r="K134">
        <v>6</v>
      </c>
      <c r="L134" t="s">
        <v>28</v>
      </c>
      <c r="M134" t="s">
        <v>29</v>
      </c>
      <c r="N134" t="s">
        <v>128</v>
      </c>
      <c r="O134">
        <v>2</v>
      </c>
      <c r="P134">
        <v>2</v>
      </c>
      <c r="Q134">
        <v>4</v>
      </c>
      <c r="R134" t="s">
        <v>663</v>
      </c>
      <c r="S134" t="s">
        <v>31</v>
      </c>
      <c r="T134" t="s">
        <v>32</v>
      </c>
      <c r="U134" t="s">
        <v>52</v>
      </c>
      <c r="V134" s="13">
        <v>46108</v>
      </c>
    </row>
    <row r="135" spans="1:22" x14ac:dyDescent="0.25">
      <c r="A135" t="s">
        <v>269</v>
      </c>
      <c r="B135" s="13">
        <v>45964</v>
      </c>
      <c r="C135" t="s">
        <v>64</v>
      </c>
      <c r="D135" t="s">
        <v>55</v>
      </c>
      <c r="E135" t="s">
        <v>66</v>
      </c>
      <c r="F135" t="s">
        <v>67</v>
      </c>
      <c r="G135" t="s">
        <v>35</v>
      </c>
      <c r="H135" t="s">
        <v>122</v>
      </c>
      <c r="I135">
        <v>3</v>
      </c>
      <c r="J135">
        <v>5</v>
      </c>
      <c r="K135">
        <v>15</v>
      </c>
      <c r="L135" t="s">
        <v>40</v>
      </c>
      <c r="M135" t="s">
        <v>101</v>
      </c>
      <c r="N135" t="s">
        <v>51</v>
      </c>
      <c r="O135">
        <v>2</v>
      </c>
      <c r="P135">
        <v>5</v>
      </c>
      <c r="Q135">
        <v>10</v>
      </c>
      <c r="R135" t="s">
        <v>663</v>
      </c>
      <c r="S135" t="s">
        <v>40</v>
      </c>
      <c r="T135" t="s">
        <v>43</v>
      </c>
      <c r="U135" t="s">
        <v>33</v>
      </c>
      <c r="V135" s="13">
        <v>46144</v>
      </c>
    </row>
    <row r="136" spans="1:22" x14ac:dyDescent="0.25">
      <c r="A136" t="s">
        <v>270</v>
      </c>
      <c r="B136" s="13">
        <v>45731</v>
      </c>
      <c r="C136" t="s">
        <v>73</v>
      </c>
      <c r="D136" t="s">
        <v>108</v>
      </c>
      <c r="E136" t="s">
        <v>104</v>
      </c>
      <c r="F136" t="s">
        <v>105</v>
      </c>
      <c r="G136" t="s">
        <v>73</v>
      </c>
      <c r="H136" t="s">
        <v>116</v>
      </c>
      <c r="I136">
        <v>5</v>
      </c>
      <c r="J136">
        <v>5</v>
      </c>
      <c r="K136">
        <v>25</v>
      </c>
      <c r="L136" t="s">
        <v>94</v>
      </c>
      <c r="M136" t="s">
        <v>78</v>
      </c>
      <c r="N136" t="s">
        <v>30</v>
      </c>
      <c r="O136">
        <v>4</v>
      </c>
      <c r="P136">
        <v>4</v>
      </c>
      <c r="Q136">
        <v>16</v>
      </c>
      <c r="R136" t="s">
        <v>663</v>
      </c>
      <c r="S136" t="s">
        <v>40</v>
      </c>
      <c r="T136" t="s">
        <v>61</v>
      </c>
      <c r="U136" t="s">
        <v>52</v>
      </c>
      <c r="V136" s="13">
        <v>46461</v>
      </c>
    </row>
    <row r="137" spans="1:22" x14ac:dyDescent="0.25">
      <c r="A137" t="s">
        <v>271</v>
      </c>
      <c r="B137" s="13">
        <v>45731</v>
      </c>
      <c r="C137" t="s">
        <v>73</v>
      </c>
      <c r="D137" t="s">
        <v>23</v>
      </c>
      <c r="E137" t="s">
        <v>75</v>
      </c>
      <c r="F137" t="s">
        <v>76</v>
      </c>
      <c r="G137" t="s">
        <v>73</v>
      </c>
      <c r="H137" t="s">
        <v>77</v>
      </c>
      <c r="I137">
        <v>3</v>
      </c>
      <c r="J137">
        <v>5</v>
      </c>
      <c r="K137">
        <v>15</v>
      </c>
      <c r="L137" t="s">
        <v>40</v>
      </c>
      <c r="M137" t="s">
        <v>41</v>
      </c>
      <c r="N137" t="s">
        <v>106</v>
      </c>
      <c r="O137">
        <v>3</v>
      </c>
      <c r="P137">
        <v>4</v>
      </c>
      <c r="Q137">
        <v>12</v>
      </c>
      <c r="R137" t="s">
        <v>663</v>
      </c>
      <c r="S137" t="s">
        <v>40</v>
      </c>
      <c r="T137" t="s">
        <v>32</v>
      </c>
      <c r="U137" t="s">
        <v>52</v>
      </c>
      <c r="V137" s="13">
        <v>45911</v>
      </c>
    </row>
    <row r="138" spans="1:22" x14ac:dyDescent="0.25">
      <c r="A138" t="s">
        <v>272</v>
      </c>
      <c r="B138" s="13">
        <v>46334</v>
      </c>
      <c r="C138" t="s">
        <v>64</v>
      </c>
      <c r="D138" t="s">
        <v>65</v>
      </c>
      <c r="E138" t="s">
        <v>91</v>
      </c>
      <c r="F138" t="s">
        <v>92</v>
      </c>
      <c r="G138" t="s">
        <v>35</v>
      </c>
      <c r="H138" t="s">
        <v>122</v>
      </c>
      <c r="I138">
        <v>2</v>
      </c>
      <c r="J138">
        <v>5</v>
      </c>
      <c r="K138">
        <v>10</v>
      </c>
      <c r="L138" t="s">
        <v>40</v>
      </c>
      <c r="M138" t="s">
        <v>29</v>
      </c>
      <c r="N138" t="s">
        <v>51</v>
      </c>
      <c r="O138">
        <v>1</v>
      </c>
      <c r="P138">
        <v>5</v>
      </c>
      <c r="Q138">
        <v>5</v>
      </c>
      <c r="R138" t="s">
        <v>663</v>
      </c>
      <c r="S138" t="s">
        <v>28</v>
      </c>
      <c r="T138" t="s">
        <v>43</v>
      </c>
      <c r="U138" t="s">
        <v>96</v>
      </c>
      <c r="V138" s="13">
        <v>46699</v>
      </c>
    </row>
    <row r="139" spans="1:22" x14ac:dyDescent="0.25">
      <c r="A139" t="s">
        <v>273</v>
      </c>
      <c r="B139" s="13">
        <v>46099</v>
      </c>
      <c r="C139" t="s">
        <v>54</v>
      </c>
      <c r="D139" t="s">
        <v>80</v>
      </c>
      <c r="E139" t="s">
        <v>56</v>
      </c>
      <c r="F139" t="s">
        <v>57</v>
      </c>
      <c r="G139" t="s">
        <v>58</v>
      </c>
      <c r="H139" t="s">
        <v>59</v>
      </c>
      <c r="I139">
        <v>5</v>
      </c>
      <c r="J139">
        <v>4</v>
      </c>
      <c r="K139">
        <v>20</v>
      </c>
      <c r="L139" t="s">
        <v>94</v>
      </c>
      <c r="M139" t="s">
        <v>69</v>
      </c>
      <c r="N139" t="s">
        <v>60</v>
      </c>
      <c r="O139">
        <v>4</v>
      </c>
      <c r="P139">
        <v>4</v>
      </c>
      <c r="Q139">
        <v>16</v>
      </c>
      <c r="R139" t="s">
        <v>663</v>
      </c>
      <c r="S139" t="s">
        <v>40</v>
      </c>
      <c r="T139" t="s">
        <v>32</v>
      </c>
      <c r="U139" t="s">
        <v>71</v>
      </c>
      <c r="V139" s="13">
        <v>46829</v>
      </c>
    </row>
    <row r="140" spans="1:22" x14ac:dyDescent="0.25">
      <c r="A140" t="s">
        <v>274</v>
      </c>
      <c r="B140" s="13">
        <v>45988</v>
      </c>
      <c r="C140" t="s">
        <v>64</v>
      </c>
      <c r="D140" t="s">
        <v>80</v>
      </c>
      <c r="E140" t="s">
        <v>91</v>
      </c>
      <c r="F140" t="s">
        <v>92</v>
      </c>
      <c r="G140" t="s">
        <v>35</v>
      </c>
      <c r="H140" t="s">
        <v>93</v>
      </c>
      <c r="I140">
        <v>2</v>
      </c>
      <c r="J140">
        <v>5</v>
      </c>
      <c r="K140">
        <v>10</v>
      </c>
      <c r="L140" t="s">
        <v>40</v>
      </c>
      <c r="M140" t="s">
        <v>101</v>
      </c>
      <c r="N140" t="s">
        <v>42</v>
      </c>
      <c r="O140">
        <v>1</v>
      </c>
      <c r="P140">
        <v>5</v>
      </c>
      <c r="Q140">
        <v>5</v>
      </c>
      <c r="R140" t="s">
        <v>663</v>
      </c>
      <c r="S140" t="s">
        <v>28</v>
      </c>
      <c r="T140" t="s">
        <v>32</v>
      </c>
      <c r="U140" t="s">
        <v>96</v>
      </c>
      <c r="V140" s="13">
        <v>46353</v>
      </c>
    </row>
    <row r="141" spans="1:22" x14ac:dyDescent="0.25">
      <c r="A141" t="s">
        <v>275</v>
      </c>
      <c r="B141" s="13">
        <v>46088</v>
      </c>
      <c r="C141" t="s">
        <v>64</v>
      </c>
      <c r="D141" t="s">
        <v>98</v>
      </c>
      <c r="E141" t="s">
        <v>91</v>
      </c>
      <c r="F141" t="s">
        <v>92</v>
      </c>
      <c r="G141" t="s">
        <v>35</v>
      </c>
      <c r="H141" t="s">
        <v>122</v>
      </c>
      <c r="I141">
        <v>2</v>
      </c>
      <c r="J141">
        <v>4</v>
      </c>
      <c r="K141">
        <v>8</v>
      </c>
      <c r="L141" t="s">
        <v>28</v>
      </c>
      <c r="M141" t="s">
        <v>101</v>
      </c>
      <c r="N141" t="s">
        <v>128</v>
      </c>
      <c r="O141">
        <v>1</v>
      </c>
      <c r="P141">
        <v>3</v>
      </c>
      <c r="Q141">
        <v>3</v>
      </c>
      <c r="R141" t="s">
        <v>663</v>
      </c>
      <c r="S141" t="s">
        <v>31</v>
      </c>
      <c r="T141" t="s">
        <v>61</v>
      </c>
      <c r="U141" t="s">
        <v>52</v>
      </c>
      <c r="V141" s="13">
        <v>46453</v>
      </c>
    </row>
    <row r="142" spans="1:22" x14ac:dyDescent="0.25">
      <c r="A142" t="s">
        <v>276</v>
      </c>
      <c r="B142" s="13">
        <v>45813</v>
      </c>
      <c r="C142" t="s">
        <v>73</v>
      </c>
      <c r="D142" t="s">
        <v>23</v>
      </c>
      <c r="E142" t="s">
        <v>104</v>
      </c>
      <c r="F142" t="s">
        <v>105</v>
      </c>
      <c r="G142" t="s">
        <v>73</v>
      </c>
      <c r="H142" t="s">
        <v>68</v>
      </c>
      <c r="I142">
        <v>3</v>
      </c>
      <c r="J142">
        <v>5</v>
      </c>
      <c r="K142">
        <v>15</v>
      </c>
      <c r="L142" t="s">
        <v>40</v>
      </c>
      <c r="M142" t="s">
        <v>78</v>
      </c>
      <c r="N142" t="s">
        <v>128</v>
      </c>
      <c r="O142">
        <v>1</v>
      </c>
      <c r="P142">
        <v>4</v>
      </c>
      <c r="Q142">
        <v>4</v>
      </c>
      <c r="R142" t="s">
        <v>663</v>
      </c>
      <c r="S142" t="s">
        <v>31</v>
      </c>
      <c r="T142" t="s">
        <v>32</v>
      </c>
      <c r="U142" t="s">
        <v>33</v>
      </c>
      <c r="V142" s="13">
        <v>46543</v>
      </c>
    </row>
    <row r="143" spans="1:22" x14ac:dyDescent="0.25">
      <c r="A143" t="s">
        <v>277</v>
      </c>
      <c r="B143" s="13">
        <v>46300</v>
      </c>
      <c r="C143" t="s">
        <v>64</v>
      </c>
      <c r="D143" t="s">
        <v>74</v>
      </c>
      <c r="E143" t="s">
        <v>66</v>
      </c>
      <c r="F143" t="s">
        <v>67</v>
      </c>
      <c r="G143" t="s">
        <v>35</v>
      </c>
      <c r="H143" t="s">
        <v>93</v>
      </c>
      <c r="I143">
        <v>5</v>
      </c>
      <c r="J143">
        <v>5</v>
      </c>
      <c r="K143">
        <v>25</v>
      </c>
      <c r="L143" t="s">
        <v>94</v>
      </c>
      <c r="M143" t="s">
        <v>50</v>
      </c>
      <c r="N143" t="s">
        <v>128</v>
      </c>
      <c r="O143">
        <v>4</v>
      </c>
      <c r="P143">
        <v>4</v>
      </c>
      <c r="Q143">
        <v>16</v>
      </c>
      <c r="R143" t="s">
        <v>663</v>
      </c>
      <c r="S143" t="s">
        <v>40</v>
      </c>
      <c r="T143" t="s">
        <v>43</v>
      </c>
      <c r="U143" t="s">
        <v>33</v>
      </c>
      <c r="V143" s="13">
        <v>46665</v>
      </c>
    </row>
    <row r="144" spans="1:22" x14ac:dyDescent="0.25">
      <c r="A144" t="s">
        <v>278</v>
      </c>
      <c r="B144" s="13">
        <v>46095</v>
      </c>
      <c r="C144" t="s">
        <v>22</v>
      </c>
      <c r="D144" t="s">
        <v>23</v>
      </c>
      <c r="E144" t="s">
        <v>99</v>
      </c>
      <c r="F144" t="s">
        <v>100</v>
      </c>
      <c r="G144" t="s">
        <v>35</v>
      </c>
      <c r="H144" t="s">
        <v>68</v>
      </c>
      <c r="I144">
        <v>2</v>
      </c>
      <c r="J144">
        <v>2</v>
      </c>
      <c r="K144">
        <v>4</v>
      </c>
      <c r="L144" t="s">
        <v>31</v>
      </c>
      <c r="M144" t="s">
        <v>50</v>
      </c>
      <c r="N144" t="s">
        <v>70</v>
      </c>
      <c r="O144">
        <v>1</v>
      </c>
      <c r="P144">
        <v>2</v>
      </c>
      <c r="Q144">
        <v>2</v>
      </c>
      <c r="R144" t="s">
        <v>663</v>
      </c>
      <c r="S144" t="s">
        <v>31</v>
      </c>
      <c r="T144" t="s">
        <v>43</v>
      </c>
      <c r="U144" t="s">
        <v>52</v>
      </c>
      <c r="V144" s="13">
        <v>46460</v>
      </c>
    </row>
    <row r="145" spans="1:22" x14ac:dyDescent="0.25">
      <c r="A145" t="s">
        <v>279</v>
      </c>
      <c r="B145" s="13">
        <v>45917</v>
      </c>
      <c r="C145" t="s">
        <v>22</v>
      </c>
      <c r="D145" t="s">
        <v>55</v>
      </c>
      <c r="E145" t="s">
        <v>81</v>
      </c>
      <c r="F145" t="s">
        <v>82</v>
      </c>
      <c r="G145" t="s">
        <v>81</v>
      </c>
      <c r="H145" t="s">
        <v>143</v>
      </c>
      <c r="I145">
        <v>4</v>
      </c>
      <c r="J145">
        <v>3</v>
      </c>
      <c r="K145">
        <v>12</v>
      </c>
      <c r="L145" t="s">
        <v>40</v>
      </c>
      <c r="M145" t="s">
        <v>78</v>
      </c>
      <c r="N145" t="s">
        <v>89</v>
      </c>
      <c r="O145">
        <v>2</v>
      </c>
      <c r="P145">
        <v>2</v>
      </c>
      <c r="Q145">
        <v>4</v>
      </c>
      <c r="R145" t="s">
        <v>663</v>
      </c>
      <c r="S145" t="s">
        <v>31</v>
      </c>
      <c r="T145" t="s">
        <v>43</v>
      </c>
      <c r="U145" t="s">
        <v>96</v>
      </c>
      <c r="V145" s="13">
        <v>46282</v>
      </c>
    </row>
    <row r="146" spans="1:22" x14ac:dyDescent="0.25">
      <c r="A146" t="s">
        <v>280</v>
      </c>
      <c r="B146" s="13">
        <v>45752</v>
      </c>
      <c r="C146" t="s">
        <v>73</v>
      </c>
      <c r="D146" t="s">
        <v>98</v>
      </c>
      <c r="E146" t="s">
        <v>104</v>
      </c>
      <c r="F146" t="s">
        <v>105</v>
      </c>
      <c r="G146" t="s">
        <v>73</v>
      </c>
      <c r="H146" t="s">
        <v>116</v>
      </c>
      <c r="I146">
        <v>4</v>
      </c>
      <c r="J146">
        <v>3</v>
      </c>
      <c r="K146">
        <v>12</v>
      </c>
      <c r="L146" t="s">
        <v>40</v>
      </c>
      <c r="M146" t="s">
        <v>29</v>
      </c>
      <c r="N146" t="s">
        <v>60</v>
      </c>
      <c r="O146">
        <v>3</v>
      </c>
      <c r="P146">
        <v>3</v>
      </c>
      <c r="Q146">
        <v>9</v>
      </c>
      <c r="R146" t="s">
        <v>663</v>
      </c>
      <c r="S146" t="s">
        <v>28</v>
      </c>
      <c r="T146" t="s">
        <v>43</v>
      </c>
      <c r="U146" t="s">
        <v>71</v>
      </c>
      <c r="V146" s="13">
        <v>46117</v>
      </c>
    </row>
    <row r="147" spans="1:22" x14ac:dyDescent="0.25">
      <c r="A147" t="s">
        <v>281</v>
      </c>
      <c r="B147" s="13">
        <v>46040</v>
      </c>
      <c r="C147" t="s">
        <v>22</v>
      </c>
      <c r="D147" t="s">
        <v>98</v>
      </c>
      <c r="E147" t="s">
        <v>24</v>
      </c>
      <c r="F147" t="s">
        <v>25</v>
      </c>
      <c r="G147" t="s">
        <v>26</v>
      </c>
      <c r="H147" t="s">
        <v>223</v>
      </c>
      <c r="I147">
        <v>2</v>
      </c>
      <c r="J147">
        <v>2</v>
      </c>
      <c r="K147">
        <v>4</v>
      </c>
      <c r="L147" t="s">
        <v>31</v>
      </c>
      <c r="M147" t="s">
        <v>29</v>
      </c>
      <c r="N147" t="s">
        <v>42</v>
      </c>
      <c r="O147">
        <v>1</v>
      </c>
      <c r="P147">
        <v>2</v>
      </c>
      <c r="Q147">
        <v>2</v>
      </c>
      <c r="R147" t="s">
        <v>663</v>
      </c>
      <c r="S147" t="s">
        <v>31</v>
      </c>
      <c r="T147" t="s">
        <v>43</v>
      </c>
      <c r="U147" t="s">
        <v>33</v>
      </c>
      <c r="V147" s="13">
        <v>46220</v>
      </c>
    </row>
    <row r="148" spans="1:22" x14ac:dyDescent="0.25">
      <c r="A148" t="s">
        <v>282</v>
      </c>
      <c r="B148" s="13">
        <v>45925</v>
      </c>
      <c r="C148" t="s">
        <v>35</v>
      </c>
      <c r="D148" t="s">
        <v>65</v>
      </c>
      <c r="E148" t="s">
        <v>120</v>
      </c>
      <c r="F148" t="s">
        <v>121</v>
      </c>
      <c r="G148" t="s">
        <v>35</v>
      </c>
      <c r="H148" t="s">
        <v>122</v>
      </c>
      <c r="I148">
        <v>3</v>
      </c>
      <c r="J148">
        <v>3</v>
      </c>
      <c r="K148">
        <v>9</v>
      </c>
      <c r="L148" t="s">
        <v>28</v>
      </c>
      <c r="M148" t="s">
        <v>78</v>
      </c>
      <c r="N148" t="s">
        <v>70</v>
      </c>
      <c r="O148">
        <v>2</v>
      </c>
      <c r="P148">
        <v>2</v>
      </c>
      <c r="Q148">
        <v>4</v>
      </c>
      <c r="R148" t="s">
        <v>663</v>
      </c>
      <c r="S148" t="s">
        <v>31</v>
      </c>
      <c r="T148" t="s">
        <v>61</v>
      </c>
      <c r="U148" t="s">
        <v>33</v>
      </c>
      <c r="V148" s="13">
        <v>46655</v>
      </c>
    </row>
    <row r="149" spans="1:22" x14ac:dyDescent="0.25">
      <c r="A149" t="s">
        <v>283</v>
      </c>
      <c r="B149" s="13">
        <v>46094</v>
      </c>
      <c r="C149" t="s">
        <v>73</v>
      </c>
      <c r="D149" t="s">
        <v>65</v>
      </c>
      <c r="E149" t="s">
        <v>75</v>
      </c>
      <c r="F149" t="s">
        <v>76</v>
      </c>
      <c r="G149" t="s">
        <v>73</v>
      </c>
      <c r="H149" t="s">
        <v>116</v>
      </c>
      <c r="I149">
        <v>3</v>
      </c>
      <c r="J149">
        <v>3</v>
      </c>
      <c r="K149">
        <v>9</v>
      </c>
      <c r="L149" t="s">
        <v>28</v>
      </c>
      <c r="M149" t="s">
        <v>41</v>
      </c>
      <c r="N149" t="s">
        <v>89</v>
      </c>
      <c r="O149">
        <v>3</v>
      </c>
      <c r="P149">
        <v>2</v>
      </c>
      <c r="Q149">
        <v>6</v>
      </c>
      <c r="R149" t="s">
        <v>663</v>
      </c>
      <c r="S149" t="s">
        <v>28</v>
      </c>
      <c r="T149" t="s">
        <v>32</v>
      </c>
      <c r="U149" t="s">
        <v>33</v>
      </c>
      <c r="V149" s="13">
        <v>46274</v>
      </c>
    </row>
    <row r="150" spans="1:22" x14ac:dyDescent="0.25">
      <c r="A150" t="s">
        <v>284</v>
      </c>
      <c r="B150" s="13">
        <v>45805</v>
      </c>
      <c r="C150" t="s">
        <v>22</v>
      </c>
      <c r="D150" t="s">
        <v>55</v>
      </c>
      <c r="E150" t="s">
        <v>81</v>
      </c>
      <c r="F150" t="s">
        <v>82</v>
      </c>
      <c r="G150" t="s">
        <v>81</v>
      </c>
      <c r="H150" t="s">
        <v>68</v>
      </c>
      <c r="I150">
        <v>4</v>
      </c>
      <c r="J150">
        <v>4</v>
      </c>
      <c r="K150">
        <v>16</v>
      </c>
      <c r="L150" t="s">
        <v>40</v>
      </c>
      <c r="M150" t="s">
        <v>41</v>
      </c>
      <c r="N150" t="s">
        <v>60</v>
      </c>
      <c r="O150">
        <v>3</v>
      </c>
      <c r="P150">
        <v>3</v>
      </c>
      <c r="Q150">
        <v>9</v>
      </c>
      <c r="R150" t="s">
        <v>663</v>
      </c>
      <c r="S150" t="s">
        <v>28</v>
      </c>
      <c r="T150" t="s">
        <v>61</v>
      </c>
      <c r="U150" t="s">
        <v>52</v>
      </c>
      <c r="V150" s="13">
        <v>46170</v>
      </c>
    </row>
    <row r="151" spans="1:22" x14ac:dyDescent="0.25">
      <c r="A151" t="s">
        <v>285</v>
      </c>
      <c r="B151" s="13">
        <v>46252</v>
      </c>
      <c r="C151" t="s">
        <v>35</v>
      </c>
      <c r="D151" t="s">
        <v>65</v>
      </c>
      <c r="E151" t="s">
        <v>36</v>
      </c>
      <c r="F151" t="s">
        <v>37</v>
      </c>
      <c r="G151" t="s">
        <v>38</v>
      </c>
      <c r="H151" t="s">
        <v>116</v>
      </c>
      <c r="I151">
        <v>3</v>
      </c>
      <c r="J151">
        <v>4</v>
      </c>
      <c r="K151">
        <v>12</v>
      </c>
      <c r="L151" t="s">
        <v>40</v>
      </c>
      <c r="M151" t="s">
        <v>69</v>
      </c>
      <c r="N151" t="s">
        <v>70</v>
      </c>
      <c r="O151">
        <v>2</v>
      </c>
      <c r="P151">
        <v>3</v>
      </c>
      <c r="Q151">
        <v>6</v>
      </c>
      <c r="R151" t="s">
        <v>663</v>
      </c>
      <c r="S151" t="s">
        <v>28</v>
      </c>
      <c r="T151" t="s">
        <v>32</v>
      </c>
      <c r="U151" t="s">
        <v>96</v>
      </c>
      <c r="V151" s="13">
        <v>46617</v>
      </c>
    </row>
    <row r="152" spans="1:22" x14ac:dyDescent="0.25">
      <c r="A152" t="s">
        <v>286</v>
      </c>
      <c r="B152" s="13">
        <v>45718</v>
      </c>
      <c r="C152" t="s">
        <v>85</v>
      </c>
      <c r="D152" t="s">
        <v>74</v>
      </c>
      <c r="E152" t="s">
        <v>86</v>
      </c>
      <c r="F152" t="s">
        <v>87</v>
      </c>
      <c r="G152" t="s">
        <v>48</v>
      </c>
      <c r="H152" t="s">
        <v>39</v>
      </c>
      <c r="I152">
        <v>4</v>
      </c>
      <c r="J152">
        <v>5</v>
      </c>
      <c r="K152">
        <v>20</v>
      </c>
      <c r="L152" t="s">
        <v>94</v>
      </c>
      <c r="M152" t="s">
        <v>69</v>
      </c>
      <c r="N152" t="s">
        <v>89</v>
      </c>
      <c r="O152">
        <v>3</v>
      </c>
      <c r="P152">
        <v>4</v>
      </c>
      <c r="Q152">
        <v>12</v>
      </c>
      <c r="R152" t="s">
        <v>663</v>
      </c>
      <c r="S152" t="s">
        <v>40</v>
      </c>
      <c r="T152" t="s">
        <v>32</v>
      </c>
      <c r="U152" t="s">
        <v>71</v>
      </c>
      <c r="V152" s="13">
        <v>46083</v>
      </c>
    </row>
    <row r="153" spans="1:22" x14ac:dyDescent="0.25">
      <c r="A153" t="s">
        <v>630</v>
      </c>
      <c r="B153" s="13">
        <v>46323</v>
      </c>
      <c r="C153" t="s">
        <v>85</v>
      </c>
      <c r="D153" t="s">
        <v>23</v>
      </c>
      <c r="E153" t="s">
        <v>230</v>
      </c>
      <c r="F153" t="s">
        <v>231</v>
      </c>
      <c r="G153" t="s">
        <v>232</v>
      </c>
      <c r="H153" t="s">
        <v>68</v>
      </c>
      <c r="I153">
        <v>5</v>
      </c>
      <c r="J153">
        <v>3</v>
      </c>
      <c r="K153">
        <v>15</v>
      </c>
      <c r="L153" t="s">
        <v>40</v>
      </c>
      <c r="M153" t="s">
        <v>69</v>
      </c>
      <c r="N153" t="s">
        <v>89</v>
      </c>
      <c r="O153">
        <v>4</v>
      </c>
      <c r="P153">
        <v>3</v>
      </c>
      <c r="Q153">
        <v>12</v>
      </c>
      <c r="R153" t="s">
        <v>663</v>
      </c>
      <c r="S153" t="s">
        <v>40</v>
      </c>
      <c r="T153" t="s">
        <v>61</v>
      </c>
      <c r="U153" t="s">
        <v>33</v>
      </c>
      <c r="V153" s="13">
        <v>46688</v>
      </c>
    </row>
    <row r="154" spans="1:22" x14ac:dyDescent="0.25">
      <c r="A154" t="s">
        <v>288</v>
      </c>
      <c r="B154" s="13">
        <v>46248</v>
      </c>
      <c r="C154" t="s">
        <v>22</v>
      </c>
      <c r="D154" t="s">
        <v>74</v>
      </c>
      <c r="E154" t="s">
        <v>99</v>
      </c>
      <c r="F154" t="s">
        <v>100</v>
      </c>
      <c r="G154" t="s">
        <v>35</v>
      </c>
      <c r="H154" t="s">
        <v>93</v>
      </c>
      <c r="I154">
        <v>5</v>
      </c>
      <c r="J154">
        <v>2</v>
      </c>
      <c r="K154">
        <v>10</v>
      </c>
      <c r="L154" t="s">
        <v>40</v>
      </c>
      <c r="M154" t="s">
        <v>78</v>
      </c>
      <c r="N154" t="s">
        <v>70</v>
      </c>
      <c r="O154">
        <v>3</v>
      </c>
      <c r="P154">
        <v>1</v>
      </c>
      <c r="Q154">
        <v>3</v>
      </c>
      <c r="R154" t="s">
        <v>663</v>
      </c>
      <c r="S154" t="s">
        <v>31</v>
      </c>
      <c r="T154" t="s">
        <v>32</v>
      </c>
      <c r="U154" t="s">
        <v>62</v>
      </c>
      <c r="V154" s="13">
        <v>46978</v>
      </c>
    </row>
    <row r="155" spans="1:22" x14ac:dyDescent="0.25">
      <c r="A155" t="s">
        <v>289</v>
      </c>
      <c r="B155" s="13">
        <v>45800</v>
      </c>
      <c r="C155" t="s">
        <v>22</v>
      </c>
      <c r="D155" t="s">
        <v>55</v>
      </c>
      <c r="E155" t="s">
        <v>135</v>
      </c>
      <c r="F155" t="s">
        <v>136</v>
      </c>
      <c r="G155" t="s">
        <v>35</v>
      </c>
      <c r="H155" t="s">
        <v>93</v>
      </c>
      <c r="I155">
        <v>2</v>
      </c>
      <c r="J155">
        <v>4</v>
      </c>
      <c r="K155">
        <v>8</v>
      </c>
      <c r="L155" t="s">
        <v>28</v>
      </c>
      <c r="M155" t="s">
        <v>29</v>
      </c>
      <c r="N155" t="s">
        <v>70</v>
      </c>
      <c r="O155">
        <v>1</v>
      </c>
      <c r="P155">
        <v>4</v>
      </c>
      <c r="Q155">
        <v>4</v>
      </c>
      <c r="R155" t="s">
        <v>663</v>
      </c>
      <c r="S155" t="s">
        <v>31</v>
      </c>
      <c r="T155" t="s">
        <v>32</v>
      </c>
      <c r="U155" t="s">
        <v>62</v>
      </c>
      <c r="V155" s="13">
        <v>46165</v>
      </c>
    </row>
    <row r="156" spans="1:22" x14ac:dyDescent="0.25">
      <c r="A156" t="s">
        <v>290</v>
      </c>
      <c r="B156" s="13">
        <v>45947</v>
      </c>
      <c r="C156" t="s">
        <v>108</v>
      </c>
      <c r="D156" t="s">
        <v>23</v>
      </c>
      <c r="E156" t="s">
        <v>149</v>
      </c>
      <c r="F156" t="s">
        <v>150</v>
      </c>
      <c r="G156" t="s">
        <v>151</v>
      </c>
      <c r="H156" t="s">
        <v>225</v>
      </c>
      <c r="I156">
        <v>2</v>
      </c>
      <c r="J156">
        <v>4</v>
      </c>
      <c r="K156">
        <v>8</v>
      </c>
      <c r="L156" t="s">
        <v>28</v>
      </c>
      <c r="M156" t="s">
        <v>41</v>
      </c>
      <c r="N156" t="s">
        <v>42</v>
      </c>
      <c r="O156">
        <v>1</v>
      </c>
      <c r="P156">
        <v>4</v>
      </c>
      <c r="Q156">
        <v>4</v>
      </c>
      <c r="R156" t="s">
        <v>663</v>
      </c>
      <c r="S156" t="s">
        <v>31</v>
      </c>
      <c r="T156" t="s">
        <v>61</v>
      </c>
      <c r="U156" t="s">
        <v>71</v>
      </c>
      <c r="V156" s="13">
        <v>46677</v>
      </c>
    </row>
    <row r="157" spans="1:22" x14ac:dyDescent="0.25">
      <c r="A157" t="s">
        <v>291</v>
      </c>
      <c r="B157" s="13">
        <v>46242</v>
      </c>
      <c r="C157" t="s">
        <v>85</v>
      </c>
      <c r="D157" t="s">
        <v>98</v>
      </c>
      <c r="E157" t="s">
        <v>86</v>
      </c>
      <c r="F157" t="s">
        <v>87</v>
      </c>
      <c r="G157" t="s">
        <v>48</v>
      </c>
      <c r="H157" t="s">
        <v>39</v>
      </c>
      <c r="I157">
        <v>5</v>
      </c>
      <c r="J157">
        <v>3</v>
      </c>
      <c r="K157">
        <v>15</v>
      </c>
      <c r="L157" t="s">
        <v>40</v>
      </c>
      <c r="M157" t="s">
        <v>95</v>
      </c>
      <c r="N157" t="s">
        <v>42</v>
      </c>
      <c r="O157">
        <v>3</v>
      </c>
      <c r="P157">
        <v>3</v>
      </c>
      <c r="Q157">
        <v>9</v>
      </c>
      <c r="R157" t="s">
        <v>663</v>
      </c>
      <c r="S157" t="s">
        <v>28</v>
      </c>
      <c r="T157" t="s">
        <v>32</v>
      </c>
      <c r="U157" t="s">
        <v>96</v>
      </c>
      <c r="V157" s="13">
        <v>46607</v>
      </c>
    </row>
    <row r="158" spans="1:22" x14ac:dyDescent="0.25">
      <c r="A158" t="s">
        <v>292</v>
      </c>
      <c r="B158" s="13">
        <v>46102</v>
      </c>
      <c r="C158" t="s">
        <v>64</v>
      </c>
      <c r="D158" t="s">
        <v>108</v>
      </c>
      <c r="E158" t="s">
        <v>91</v>
      </c>
      <c r="F158" t="s">
        <v>92</v>
      </c>
      <c r="G158" t="s">
        <v>35</v>
      </c>
      <c r="H158" t="s">
        <v>137</v>
      </c>
      <c r="I158">
        <v>5</v>
      </c>
      <c r="J158">
        <v>3</v>
      </c>
      <c r="K158">
        <v>15</v>
      </c>
      <c r="L158" t="s">
        <v>40</v>
      </c>
      <c r="M158" t="s">
        <v>95</v>
      </c>
      <c r="N158" t="s">
        <v>124</v>
      </c>
      <c r="O158">
        <v>4</v>
      </c>
      <c r="P158">
        <v>3</v>
      </c>
      <c r="Q158">
        <v>12</v>
      </c>
      <c r="R158" t="s">
        <v>663</v>
      </c>
      <c r="S158" t="s">
        <v>40</v>
      </c>
      <c r="T158" t="s">
        <v>61</v>
      </c>
      <c r="U158" t="s">
        <v>96</v>
      </c>
      <c r="V158" s="13">
        <v>46467</v>
      </c>
    </row>
    <row r="159" spans="1:22" x14ac:dyDescent="0.25">
      <c r="A159" t="s">
        <v>293</v>
      </c>
      <c r="B159" s="13">
        <v>45966</v>
      </c>
      <c r="C159" t="s">
        <v>22</v>
      </c>
      <c r="D159" t="s">
        <v>80</v>
      </c>
      <c r="E159" t="s">
        <v>109</v>
      </c>
      <c r="F159" t="s">
        <v>110</v>
      </c>
      <c r="G159" t="s">
        <v>111</v>
      </c>
      <c r="H159" t="s">
        <v>143</v>
      </c>
      <c r="I159">
        <v>5</v>
      </c>
      <c r="J159">
        <v>4</v>
      </c>
      <c r="K159">
        <v>20</v>
      </c>
      <c r="L159" t="s">
        <v>94</v>
      </c>
      <c r="M159" t="s">
        <v>95</v>
      </c>
      <c r="N159" t="s">
        <v>128</v>
      </c>
      <c r="O159">
        <v>4</v>
      </c>
      <c r="P159">
        <v>3</v>
      </c>
      <c r="Q159">
        <v>12</v>
      </c>
      <c r="R159" t="s">
        <v>663</v>
      </c>
      <c r="S159" t="s">
        <v>40</v>
      </c>
      <c r="T159" t="s">
        <v>61</v>
      </c>
      <c r="U159" t="s">
        <v>71</v>
      </c>
      <c r="V159" s="13">
        <v>46331</v>
      </c>
    </row>
    <row r="160" spans="1:22" x14ac:dyDescent="0.25">
      <c r="A160" t="s">
        <v>294</v>
      </c>
      <c r="B160" s="13">
        <v>46170</v>
      </c>
      <c r="C160" t="s">
        <v>73</v>
      </c>
      <c r="D160" t="s">
        <v>74</v>
      </c>
      <c r="E160" t="s">
        <v>104</v>
      </c>
      <c r="F160" t="s">
        <v>105</v>
      </c>
      <c r="G160" t="s">
        <v>73</v>
      </c>
      <c r="H160" t="s">
        <v>116</v>
      </c>
      <c r="I160">
        <v>5</v>
      </c>
      <c r="J160">
        <v>5</v>
      </c>
      <c r="K160">
        <v>25</v>
      </c>
      <c r="L160" t="s">
        <v>94</v>
      </c>
      <c r="M160" t="s">
        <v>69</v>
      </c>
      <c r="N160" t="s">
        <v>51</v>
      </c>
      <c r="O160">
        <v>3</v>
      </c>
      <c r="P160">
        <v>5</v>
      </c>
      <c r="Q160">
        <v>15</v>
      </c>
      <c r="R160" t="s">
        <v>663</v>
      </c>
      <c r="S160" t="s">
        <v>40</v>
      </c>
      <c r="T160" t="s">
        <v>61</v>
      </c>
      <c r="U160" t="s">
        <v>62</v>
      </c>
      <c r="V160" s="13">
        <v>46535</v>
      </c>
    </row>
    <row r="161" spans="1:22" x14ac:dyDescent="0.25">
      <c r="A161" t="s">
        <v>295</v>
      </c>
      <c r="B161" s="13">
        <v>46226</v>
      </c>
      <c r="C161" t="s">
        <v>108</v>
      </c>
      <c r="D161" t="s">
        <v>80</v>
      </c>
      <c r="E161" t="s">
        <v>149</v>
      </c>
      <c r="F161" t="s">
        <v>150</v>
      </c>
      <c r="G161" t="s">
        <v>151</v>
      </c>
      <c r="H161" t="s">
        <v>143</v>
      </c>
      <c r="I161">
        <v>4</v>
      </c>
      <c r="J161">
        <v>3</v>
      </c>
      <c r="K161">
        <v>12</v>
      </c>
      <c r="L161" t="s">
        <v>40</v>
      </c>
      <c r="M161" t="s">
        <v>78</v>
      </c>
      <c r="N161" t="s">
        <v>102</v>
      </c>
      <c r="O161">
        <v>3</v>
      </c>
      <c r="P161">
        <v>3</v>
      </c>
      <c r="Q161">
        <v>9</v>
      </c>
      <c r="R161" t="s">
        <v>663</v>
      </c>
      <c r="S161" t="s">
        <v>28</v>
      </c>
      <c r="T161" t="s">
        <v>43</v>
      </c>
      <c r="U161" t="s">
        <v>62</v>
      </c>
      <c r="V161" s="13">
        <v>46956</v>
      </c>
    </row>
    <row r="162" spans="1:22" x14ac:dyDescent="0.25">
      <c r="A162" t="s">
        <v>296</v>
      </c>
      <c r="B162" s="13">
        <v>45828</v>
      </c>
      <c r="C162" t="s">
        <v>73</v>
      </c>
      <c r="D162" t="s">
        <v>74</v>
      </c>
      <c r="E162" t="s">
        <v>104</v>
      </c>
      <c r="F162" t="s">
        <v>105</v>
      </c>
      <c r="G162" t="s">
        <v>73</v>
      </c>
      <c r="H162" t="s">
        <v>68</v>
      </c>
      <c r="I162">
        <v>2</v>
      </c>
      <c r="J162">
        <v>2</v>
      </c>
      <c r="K162">
        <v>4</v>
      </c>
      <c r="L162" t="s">
        <v>31</v>
      </c>
      <c r="M162" t="s">
        <v>78</v>
      </c>
      <c r="N162" t="s">
        <v>70</v>
      </c>
      <c r="O162">
        <v>1</v>
      </c>
      <c r="P162">
        <v>2</v>
      </c>
      <c r="Q162">
        <v>2</v>
      </c>
      <c r="R162" t="s">
        <v>663</v>
      </c>
      <c r="S162" t="s">
        <v>31</v>
      </c>
      <c r="T162" t="s">
        <v>32</v>
      </c>
      <c r="U162" t="s">
        <v>71</v>
      </c>
      <c r="V162" s="13">
        <v>46008</v>
      </c>
    </row>
    <row r="163" spans="1:22" x14ac:dyDescent="0.25">
      <c r="A163" t="s">
        <v>297</v>
      </c>
      <c r="B163" s="13">
        <v>46354</v>
      </c>
      <c r="C163" t="s">
        <v>64</v>
      </c>
      <c r="D163" t="s">
        <v>74</v>
      </c>
      <c r="E163" t="s">
        <v>66</v>
      </c>
      <c r="F163" t="s">
        <v>67</v>
      </c>
      <c r="G163" t="s">
        <v>35</v>
      </c>
      <c r="H163" t="s">
        <v>68</v>
      </c>
      <c r="I163">
        <v>2</v>
      </c>
      <c r="J163">
        <v>3</v>
      </c>
      <c r="K163">
        <v>6</v>
      </c>
      <c r="L163" t="s">
        <v>28</v>
      </c>
      <c r="M163" t="s">
        <v>41</v>
      </c>
      <c r="N163" t="s">
        <v>60</v>
      </c>
      <c r="O163">
        <v>1</v>
      </c>
      <c r="P163">
        <v>2</v>
      </c>
      <c r="Q163">
        <v>2</v>
      </c>
      <c r="R163" t="s">
        <v>663</v>
      </c>
      <c r="S163" t="s">
        <v>31</v>
      </c>
      <c r="T163" t="s">
        <v>61</v>
      </c>
      <c r="U163" t="s">
        <v>96</v>
      </c>
      <c r="V163" s="13">
        <v>46719</v>
      </c>
    </row>
    <row r="164" spans="1:22" x14ac:dyDescent="0.25">
      <c r="A164" t="s">
        <v>298</v>
      </c>
      <c r="B164" s="13">
        <v>46206</v>
      </c>
      <c r="C164" t="s">
        <v>64</v>
      </c>
      <c r="D164" t="s">
        <v>108</v>
      </c>
      <c r="E164" t="s">
        <v>66</v>
      </c>
      <c r="F164" t="s">
        <v>67</v>
      </c>
      <c r="G164" t="s">
        <v>35</v>
      </c>
      <c r="H164" t="s">
        <v>137</v>
      </c>
      <c r="I164">
        <v>5</v>
      </c>
      <c r="J164">
        <v>2</v>
      </c>
      <c r="K164">
        <v>10</v>
      </c>
      <c r="L164" t="s">
        <v>40</v>
      </c>
      <c r="M164" t="s">
        <v>29</v>
      </c>
      <c r="N164" t="s">
        <v>30</v>
      </c>
      <c r="O164">
        <v>3</v>
      </c>
      <c r="P164">
        <v>2</v>
      </c>
      <c r="Q164">
        <v>6</v>
      </c>
      <c r="R164" t="s">
        <v>663</v>
      </c>
      <c r="S164" t="s">
        <v>28</v>
      </c>
      <c r="T164" t="s">
        <v>32</v>
      </c>
      <c r="U164" t="s">
        <v>96</v>
      </c>
      <c r="V164" s="13">
        <v>46936</v>
      </c>
    </row>
    <row r="165" spans="1:22" x14ac:dyDescent="0.25">
      <c r="A165" t="s">
        <v>299</v>
      </c>
      <c r="B165" s="13">
        <v>46298</v>
      </c>
      <c r="C165" t="s">
        <v>22</v>
      </c>
      <c r="D165" t="s">
        <v>65</v>
      </c>
      <c r="E165" t="s">
        <v>24</v>
      </c>
      <c r="F165" t="s">
        <v>25</v>
      </c>
      <c r="G165" t="s">
        <v>26</v>
      </c>
      <c r="H165" t="s">
        <v>223</v>
      </c>
      <c r="I165">
        <v>4</v>
      </c>
      <c r="J165">
        <v>5</v>
      </c>
      <c r="K165">
        <v>20</v>
      </c>
      <c r="L165" t="s">
        <v>94</v>
      </c>
      <c r="M165" t="s">
        <v>69</v>
      </c>
      <c r="N165" t="s">
        <v>102</v>
      </c>
      <c r="O165">
        <v>3</v>
      </c>
      <c r="P165">
        <v>4</v>
      </c>
      <c r="Q165">
        <v>12</v>
      </c>
      <c r="R165" t="s">
        <v>663</v>
      </c>
      <c r="S165" t="s">
        <v>40</v>
      </c>
      <c r="T165" t="s">
        <v>61</v>
      </c>
      <c r="U165" t="s">
        <v>33</v>
      </c>
      <c r="V165" s="13">
        <v>47028</v>
      </c>
    </row>
    <row r="166" spans="1:22" x14ac:dyDescent="0.25">
      <c r="A166" t="s">
        <v>300</v>
      </c>
      <c r="B166" s="13">
        <v>45755</v>
      </c>
      <c r="C166" t="s">
        <v>54</v>
      </c>
      <c r="D166" t="s">
        <v>98</v>
      </c>
      <c r="E166" t="s">
        <v>56</v>
      </c>
      <c r="F166" t="s">
        <v>57</v>
      </c>
      <c r="G166" t="s">
        <v>58</v>
      </c>
      <c r="H166" t="s">
        <v>59</v>
      </c>
      <c r="I166">
        <v>5</v>
      </c>
      <c r="J166">
        <v>4</v>
      </c>
      <c r="K166">
        <v>20</v>
      </c>
      <c r="L166" t="s">
        <v>94</v>
      </c>
      <c r="M166" t="s">
        <v>78</v>
      </c>
      <c r="N166" t="s">
        <v>42</v>
      </c>
      <c r="O166">
        <v>4</v>
      </c>
      <c r="P166">
        <v>3</v>
      </c>
      <c r="Q166">
        <v>12</v>
      </c>
      <c r="R166" t="s">
        <v>663</v>
      </c>
      <c r="S166" t="s">
        <v>40</v>
      </c>
      <c r="T166" t="s">
        <v>43</v>
      </c>
      <c r="U166" t="s">
        <v>62</v>
      </c>
      <c r="V166" s="13">
        <v>46485</v>
      </c>
    </row>
    <row r="167" spans="1:22" x14ac:dyDescent="0.25">
      <c r="A167" t="s">
        <v>301</v>
      </c>
      <c r="B167" s="13">
        <v>46189</v>
      </c>
      <c r="C167" t="s">
        <v>35</v>
      </c>
      <c r="D167" t="s">
        <v>55</v>
      </c>
      <c r="E167" t="s">
        <v>36</v>
      </c>
      <c r="F167" t="s">
        <v>37</v>
      </c>
      <c r="G167" t="s">
        <v>38</v>
      </c>
      <c r="H167" t="s">
        <v>116</v>
      </c>
      <c r="I167">
        <v>5</v>
      </c>
      <c r="J167">
        <v>5</v>
      </c>
      <c r="K167">
        <v>25</v>
      </c>
      <c r="L167" t="s">
        <v>94</v>
      </c>
      <c r="M167" t="s">
        <v>41</v>
      </c>
      <c r="N167" t="s">
        <v>128</v>
      </c>
      <c r="O167">
        <v>4</v>
      </c>
      <c r="P167">
        <v>4</v>
      </c>
      <c r="Q167">
        <v>16</v>
      </c>
      <c r="R167" t="s">
        <v>663</v>
      </c>
      <c r="S167" t="s">
        <v>40</v>
      </c>
      <c r="T167" t="s">
        <v>43</v>
      </c>
      <c r="U167" t="s">
        <v>71</v>
      </c>
      <c r="V167" s="13">
        <v>46554</v>
      </c>
    </row>
    <row r="168" spans="1:22" x14ac:dyDescent="0.25">
      <c r="A168" t="s">
        <v>302</v>
      </c>
      <c r="B168" s="13">
        <v>45935</v>
      </c>
      <c r="C168" t="s">
        <v>108</v>
      </c>
      <c r="D168" t="s">
        <v>80</v>
      </c>
      <c r="E168" t="s">
        <v>162</v>
      </c>
      <c r="F168" t="s">
        <v>163</v>
      </c>
      <c r="G168" t="s">
        <v>164</v>
      </c>
      <c r="H168" t="s">
        <v>219</v>
      </c>
      <c r="I168">
        <v>4</v>
      </c>
      <c r="J168">
        <v>3</v>
      </c>
      <c r="K168">
        <v>12</v>
      </c>
      <c r="L168" t="s">
        <v>40</v>
      </c>
      <c r="M168" t="s">
        <v>83</v>
      </c>
      <c r="N168" t="s">
        <v>42</v>
      </c>
      <c r="O168">
        <v>3</v>
      </c>
      <c r="P168">
        <v>3</v>
      </c>
      <c r="Q168">
        <v>9</v>
      </c>
      <c r="R168" t="s">
        <v>663</v>
      </c>
      <c r="S168" t="s">
        <v>28</v>
      </c>
      <c r="T168" t="s">
        <v>43</v>
      </c>
      <c r="U168" t="s">
        <v>96</v>
      </c>
      <c r="V168" s="13">
        <v>46300</v>
      </c>
    </row>
    <row r="169" spans="1:22" x14ac:dyDescent="0.25">
      <c r="A169" t="s">
        <v>303</v>
      </c>
      <c r="B169" s="13">
        <v>45982</v>
      </c>
      <c r="C169" t="s">
        <v>45</v>
      </c>
      <c r="D169" t="s">
        <v>23</v>
      </c>
      <c r="E169" t="s">
        <v>46</v>
      </c>
      <c r="F169" t="s">
        <v>47</v>
      </c>
      <c r="G169" t="s">
        <v>48</v>
      </c>
      <c r="H169" t="s">
        <v>88</v>
      </c>
      <c r="I169">
        <v>4</v>
      </c>
      <c r="J169">
        <v>4</v>
      </c>
      <c r="K169">
        <v>16</v>
      </c>
      <c r="L169" t="s">
        <v>40</v>
      </c>
      <c r="M169" t="s">
        <v>41</v>
      </c>
      <c r="N169" t="s">
        <v>30</v>
      </c>
      <c r="O169">
        <v>3</v>
      </c>
      <c r="P169">
        <v>4</v>
      </c>
      <c r="Q169">
        <v>12</v>
      </c>
      <c r="R169" t="s">
        <v>663</v>
      </c>
      <c r="S169" t="s">
        <v>40</v>
      </c>
      <c r="T169" t="s">
        <v>61</v>
      </c>
      <c r="U169" t="s">
        <v>52</v>
      </c>
      <c r="V169" s="13">
        <v>46347</v>
      </c>
    </row>
    <row r="170" spans="1:22" x14ac:dyDescent="0.25">
      <c r="A170" t="s">
        <v>304</v>
      </c>
      <c r="B170" s="13">
        <v>46197</v>
      </c>
      <c r="C170" t="s">
        <v>64</v>
      </c>
      <c r="D170" t="s">
        <v>108</v>
      </c>
      <c r="E170" t="s">
        <v>66</v>
      </c>
      <c r="F170" t="s">
        <v>67</v>
      </c>
      <c r="G170" t="s">
        <v>35</v>
      </c>
      <c r="H170" t="s">
        <v>122</v>
      </c>
      <c r="I170">
        <v>5</v>
      </c>
      <c r="J170">
        <v>4</v>
      </c>
      <c r="K170">
        <v>20</v>
      </c>
      <c r="L170" t="s">
        <v>94</v>
      </c>
      <c r="M170" t="s">
        <v>83</v>
      </c>
      <c r="N170" t="s">
        <v>89</v>
      </c>
      <c r="O170">
        <v>4</v>
      </c>
      <c r="P170">
        <v>3</v>
      </c>
      <c r="Q170">
        <v>12</v>
      </c>
      <c r="R170" t="s">
        <v>663</v>
      </c>
      <c r="S170" t="s">
        <v>40</v>
      </c>
      <c r="T170" t="s">
        <v>43</v>
      </c>
      <c r="U170" t="s">
        <v>71</v>
      </c>
      <c r="V170" s="13">
        <v>46927</v>
      </c>
    </row>
    <row r="171" spans="1:22" x14ac:dyDescent="0.25">
      <c r="A171" t="s">
        <v>305</v>
      </c>
      <c r="B171" s="13">
        <v>46334</v>
      </c>
      <c r="C171" t="s">
        <v>64</v>
      </c>
      <c r="D171" t="s">
        <v>23</v>
      </c>
      <c r="E171" t="s">
        <v>91</v>
      </c>
      <c r="F171" t="s">
        <v>92</v>
      </c>
      <c r="G171" t="s">
        <v>35</v>
      </c>
      <c r="H171" t="s">
        <v>137</v>
      </c>
      <c r="I171">
        <v>2</v>
      </c>
      <c r="J171">
        <v>3</v>
      </c>
      <c r="K171">
        <v>6</v>
      </c>
      <c r="L171" t="s">
        <v>28</v>
      </c>
      <c r="M171" t="s">
        <v>41</v>
      </c>
      <c r="N171" t="s">
        <v>128</v>
      </c>
      <c r="O171">
        <v>1</v>
      </c>
      <c r="P171">
        <v>2</v>
      </c>
      <c r="Q171">
        <v>2</v>
      </c>
      <c r="R171" t="s">
        <v>663</v>
      </c>
      <c r="S171" t="s">
        <v>31</v>
      </c>
      <c r="T171" t="s">
        <v>43</v>
      </c>
      <c r="U171" t="s">
        <v>62</v>
      </c>
      <c r="V171" s="13">
        <v>47064</v>
      </c>
    </row>
    <row r="172" spans="1:22" x14ac:dyDescent="0.25">
      <c r="A172" t="s">
        <v>306</v>
      </c>
      <c r="B172" s="13">
        <v>46187</v>
      </c>
      <c r="C172" t="s">
        <v>73</v>
      </c>
      <c r="D172" t="s">
        <v>80</v>
      </c>
      <c r="E172" t="s">
        <v>75</v>
      </c>
      <c r="F172" t="s">
        <v>76</v>
      </c>
      <c r="G172" t="s">
        <v>73</v>
      </c>
      <c r="H172" t="s">
        <v>68</v>
      </c>
      <c r="I172">
        <v>2</v>
      </c>
      <c r="J172">
        <v>3</v>
      </c>
      <c r="K172">
        <v>6</v>
      </c>
      <c r="L172" t="s">
        <v>28</v>
      </c>
      <c r="M172" t="s">
        <v>50</v>
      </c>
      <c r="N172" t="s">
        <v>89</v>
      </c>
      <c r="O172">
        <v>1</v>
      </c>
      <c r="P172">
        <v>3</v>
      </c>
      <c r="Q172">
        <v>3</v>
      </c>
      <c r="R172" t="s">
        <v>663</v>
      </c>
      <c r="S172" t="s">
        <v>31</v>
      </c>
      <c r="T172" t="s">
        <v>61</v>
      </c>
      <c r="U172" t="s">
        <v>96</v>
      </c>
      <c r="V172" s="13">
        <v>46552</v>
      </c>
    </row>
    <row r="173" spans="1:22" x14ac:dyDescent="0.25">
      <c r="A173" t="s">
        <v>307</v>
      </c>
      <c r="B173" s="13">
        <v>45937</v>
      </c>
      <c r="C173" t="s">
        <v>85</v>
      </c>
      <c r="D173" t="s">
        <v>55</v>
      </c>
      <c r="E173" t="s">
        <v>140</v>
      </c>
      <c r="F173" t="s">
        <v>141</v>
      </c>
      <c r="G173" t="s">
        <v>142</v>
      </c>
      <c r="H173" t="s">
        <v>68</v>
      </c>
      <c r="I173">
        <v>2</v>
      </c>
      <c r="J173">
        <v>2</v>
      </c>
      <c r="K173">
        <v>4</v>
      </c>
      <c r="L173" t="s">
        <v>31</v>
      </c>
      <c r="M173" t="s">
        <v>69</v>
      </c>
      <c r="N173" t="s">
        <v>89</v>
      </c>
      <c r="O173">
        <v>1</v>
      </c>
      <c r="P173">
        <v>2</v>
      </c>
      <c r="Q173">
        <v>2</v>
      </c>
      <c r="R173" t="s">
        <v>663</v>
      </c>
      <c r="S173" t="s">
        <v>31</v>
      </c>
      <c r="T173" t="s">
        <v>32</v>
      </c>
      <c r="U173" t="s">
        <v>71</v>
      </c>
      <c r="V173" s="13">
        <v>46117</v>
      </c>
    </row>
    <row r="174" spans="1:22" x14ac:dyDescent="0.25">
      <c r="A174" t="s">
        <v>308</v>
      </c>
      <c r="B174" s="13">
        <v>46172</v>
      </c>
      <c r="C174" t="s">
        <v>54</v>
      </c>
      <c r="D174" t="s">
        <v>74</v>
      </c>
      <c r="E174" t="s">
        <v>56</v>
      </c>
      <c r="F174" t="s">
        <v>57</v>
      </c>
      <c r="G174" t="s">
        <v>58</v>
      </c>
      <c r="H174" t="s">
        <v>209</v>
      </c>
      <c r="I174">
        <v>4</v>
      </c>
      <c r="J174">
        <v>3</v>
      </c>
      <c r="K174">
        <v>12</v>
      </c>
      <c r="L174" t="s">
        <v>40</v>
      </c>
      <c r="M174" t="s">
        <v>69</v>
      </c>
      <c r="N174" t="s">
        <v>70</v>
      </c>
      <c r="O174">
        <v>3</v>
      </c>
      <c r="P174">
        <v>3</v>
      </c>
      <c r="Q174">
        <v>9</v>
      </c>
      <c r="R174" t="s">
        <v>663</v>
      </c>
      <c r="S174" t="s">
        <v>28</v>
      </c>
      <c r="T174" t="s">
        <v>61</v>
      </c>
      <c r="U174" t="s">
        <v>96</v>
      </c>
      <c r="V174" s="13">
        <v>46537</v>
      </c>
    </row>
    <row r="175" spans="1:22" x14ac:dyDescent="0.25">
      <c r="A175" t="s">
        <v>309</v>
      </c>
      <c r="B175" s="13">
        <v>45816</v>
      </c>
      <c r="C175" t="s">
        <v>64</v>
      </c>
      <c r="D175" t="s">
        <v>23</v>
      </c>
      <c r="E175" t="s">
        <v>91</v>
      </c>
      <c r="F175" t="s">
        <v>92</v>
      </c>
      <c r="G175" t="s">
        <v>35</v>
      </c>
      <c r="H175" t="s">
        <v>93</v>
      </c>
      <c r="I175">
        <v>3</v>
      </c>
      <c r="J175">
        <v>2</v>
      </c>
      <c r="K175">
        <v>6</v>
      </c>
      <c r="L175" t="s">
        <v>28</v>
      </c>
      <c r="M175" t="s">
        <v>50</v>
      </c>
      <c r="N175" t="s">
        <v>30</v>
      </c>
      <c r="O175">
        <v>3</v>
      </c>
      <c r="P175">
        <v>2</v>
      </c>
      <c r="Q175">
        <v>6</v>
      </c>
      <c r="R175" t="s">
        <v>663</v>
      </c>
      <c r="S175" t="s">
        <v>28</v>
      </c>
      <c r="T175" t="s">
        <v>61</v>
      </c>
      <c r="U175" t="s">
        <v>62</v>
      </c>
      <c r="V175" s="13">
        <v>46181</v>
      </c>
    </row>
    <row r="176" spans="1:22" x14ac:dyDescent="0.25">
      <c r="A176" t="s">
        <v>310</v>
      </c>
      <c r="B176" s="13">
        <v>45749</v>
      </c>
      <c r="C176" t="s">
        <v>22</v>
      </c>
      <c r="D176" t="s">
        <v>55</v>
      </c>
      <c r="E176" t="s">
        <v>24</v>
      </c>
      <c r="F176" t="s">
        <v>25</v>
      </c>
      <c r="G176" t="s">
        <v>26</v>
      </c>
      <c r="H176" t="s">
        <v>27</v>
      </c>
      <c r="I176">
        <v>4</v>
      </c>
      <c r="J176">
        <v>2</v>
      </c>
      <c r="K176">
        <v>8</v>
      </c>
      <c r="L176" t="s">
        <v>28</v>
      </c>
      <c r="M176" t="s">
        <v>41</v>
      </c>
      <c r="N176" t="s">
        <v>106</v>
      </c>
      <c r="O176">
        <v>3</v>
      </c>
      <c r="P176">
        <v>1</v>
      </c>
      <c r="Q176">
        <v>3</v>
      </c>
      <c r="R176" t="s">
        <v>663</v>
      </c>
      <c r="S176" t="s">
        <v>31</v>
      </c>
      <c r="T176" t="s">
        <v>61</v>
      </c>
      <c r="U176" t="s">
        <v>62</v>
      </c>
      <c r="V176" s="13">
        <v>46479</v>
      </c>
    </row>
    <row r="177" spans="1:22" x14ac:dyDescent="0.25">
      <c r="A177" t="s">
        <v>311</v>
      </c>
      <c r="B177" s="13">
        <v>45905</v>
      </c>
      <c r="C177" t="s">
        <v>108</v>
      </c>
      <c r="D177" t="s">
        <v>55</v>
      </c>
      <c r="E177" t="s">
        <v>162</v>
      </c>
      <c r="F177" t="s">
        <v>163</v>
      </c>
      <c r="G177" t="s">
        <v>164</v>
      </c>
      <c r="H177" t="s">
        <v>68</v>
      </c>
      <c r="I177">
        <v>3</v>
      </c>
      <c r="J177">
        <v>4</v>
      </c>
      <c r="K177">
        <v>12</v>
      </c>
      <c r="L177" t="s">
        <v>40</v>
      </c>
      <c r="M177" t="s">
        <v>101</v>
      </c>
      <c r="N177" t="s">
        <v>128</v>
      </c>
      <c r="O177">
        <v>2</v>
      </c>
      <c r="P177">
        <v>4</v>
      </c>
      <c r="Q177">
        <v>8</v>
      </c>
      <c r="R177" t="s">
        <v>663</v>
      </c>
      <c r="S177" t="s">
        <v>28</v>
      </c>
      <c r="T177" t="s">
        <v>32</v>
      </c>
      <c r="U177" t="s">
        <v>96</v>
      </c>
      <c r="V177" s="13">
        <v>46085</v>
      </c>
    </row>
    <row r="178" spans="1:22" x14ac:dyDescent="0.25">
      <c r="A178" t="s">
        <v>312</v>
      </c>
      <c r="B178" s="13">
        <v>45914</v>
      </c>
      <c r="C178" t="s">
        <v>35</v>
      </c>
      <c r="D178" t="s">
        <v>98</v>
      </c>
      <c r="E178" t="s">
        <v>36</v>
      </c>
      <c r="F178" t="s">
        <v>37</v>
      </c>
      <c r="G178" t="s">
        <v>38</v>
      </c>
      <c r="H178" t="s">
        <v>113</v>
      </c>
      <c r="I178">
        <v>5</v>
      </c>
      <c r="J178">
        <v>4</v>
      </c>
      <c r="K178">
        <v>20</v>
      </c>
      <c r="L178" t="s">
        <v>94</v>
      </c>
      <c r="M178" t="s">
        <v>50</v>
      </c>
      <c r="N178" t="s">
        <v>89</v>
      </c>
      <c r="O178">
        <v>4</v>
      </c>
      <c r="P178">
        <v>4</v>
      </c>
      <c r="Q178">
        <v>16</v>
      </c>
      <c r="R178" t="s">
        <v>663</v>
      </c>
      <c r="S178" t="s">
        <v>40</v>
      </c>
      <c r="T178" t="s">
        <v>43</v>
      </c>
      <c r="U178" t="s">
        <v>96</v>
      </c>
      <c r="V178" s="13">
        <v>46279</v>
      </c>
    </row>
    <row r="179" spans="1:22" x14ac:dyDescent="0.25">
      <c r="A179" t="s">
        <v>313</v>
      </c>
      <c r="B179" s="13">
        <v>45752</v>
      </c>
      <c r="C179" t="s">
        <v>85</v>
      </c>
      <c r="D179" t="s">
        <v>108</v>
      </c>
      <c r="E179" t="s">
        <v>140</v>
      </c>
      <c r="F179" t="s">
        <v>141</v>
      </c>
      <c r="G179" t="s">
        <v>142</v>
      </c>
      <c r="H179" t="s">
        <v>153</v>
      </c>
      <c r="I179">
        <v>5</v>
      </c>
      <c r="J179">
        <v>5</v>
      </c>
      <c r="K179">
        <v>25</v>
      </c>
      <c r="L179" t="s">
        <v>94</v>
      </c>
      <c r="M179" t="s">
        <v>78</v>
      </c>
      <c r="N179" t="s">
        <v>128</v>
      </c>
      <c r="O179">
        <v>4</v>
      </c>
      <c r="P179">
        <v>4</v>
      </c>
      <c r="Q179">
        <v>16</v>
      </c>
      <c r="R179" t="s">
        <v>663</v>
      </c>
      <c r="S179" t="s">
        <v>40</v>
      </c>
      <c r="T179" t="s">
        <v>43</v>
      </c>
      <c r="U179" t="s">
        <v>33</v>
      </c>
      <c r="V179" s="13">
        <v>46482</v>
      </c>
    </row>
    <row r="180" spans="1:22" x14ac:dyDescent="0.25">
      <c r="A180" t="s">
        <v>314</v>
      </c>
      <c r="B180" s="13">
        <v>46005</v>
      </c>
      <c r="C180" t="s">
        <v>54</v>
      </c>
      <c r="D180" t="s">
        <v>98</v>
      </c>
      <c r="E180" t="s">
        <v>56</v>
      </c>
      <c r="F180" t="s">
        <v>57</v>
      </c>
      <c r="G180" t="s">
        <v>58</v>
      </c>
      <c r="H180" t="s">
        <v>59</v>
      </c>
      <c r="I180">
        <v>3</v>
      </c>
      <c r="J180">
        <v>3</v>
      </c>
      <c r="K180">
        <v>9</v>
      </c>
      <c r="L180" t="s">
        <v>28</v>
      </c>
      <c r="M180" t="s">
        <v>41</v>
      </c>
      <c r="N180" t="s">
        <v>70</v>
      </c>
      <c r="O180">
        <v>2</v>
      </c>
      <c r="P180">
        <v>2</v>
      </c>
      <c r="Q180">
        <v>4</v>
      </c>
      <c r="R180" t="s">
        <v>663</v>
      </c>
      <c r="S180" t="s">
        <v>31</v>
      </c>
      <c r="T180" t="s">
        <v>43</v>
      </c>
      <c r="U180" t="s">
        <v>52</v>
      </c>
      <c r="V180" s="13">
        <v>46370</v>
      </c>
    </row>
    <row r="181" spans="1:22" x14ac:dyDescent="0.25">
      <c r="A181" t="s">
        <v>315</v>
      </c>
      <c r="B181" s="13">
        <v>45790</v>
      </c>
      <c r="C181" t="s">
        <v>73</v>
      </c>
      <c r="D181" t="s">
        <v>74</v>
      </c>
      <c r="E181" t="s">
        <v>104</v>
      </c>
      <c r="F181" t="s">
        <v>105</v>
      </c>
      <c r="G181" t="s">
        <v>73</v>
      </c>
      <c r="H181" t="s">
        <v>68</v>
      </c>
      <c r="I181">
        <v>2</v>
      </c>
      <c r="J181">
        <v>4</v>
      </c>
      <c r="K181">
        <v>8</v>
      </c>
      <c r="L181" t="s">
        <v>28</v>
      </c>
      <c r="M181" t="s">
        <v>41</v>
      </c>
      <c r="N181" t="s">
        <v>30</v>
      </c>
      <c r="O181">
        <v>1</v>
      </c>
      <c r="P181">
        <v>4</v>
      </c>
      <c r="Q181">
        <v>4</v>
      </c>
      <c r="R181" t="s">
        <v>663</v>
      </c>
      <c r="S181" t="s">
        <v>31</v>
      </c>
      <c r="T181" t="s">
        <v>43</v>
      </c>
      <c r="U181" t="s">
        <v>71</v>
      </c>
      <c r="V181" s="13">
        <v>46155</v>
      </c>
    </row>
    <row r="182" spans="1:22" x14ac:dyDescent="0.25">
      <c r="A182" t="s">
        <v>316</v>
      </c>
      <c r="B182" s="13">
        <v>45792</v>
      </c>
      <c r="C182" t="s">
        <v>85</v>
      </c>
      <c r="D182" t="s">
        <v>98</v>
      </c>
      <c r="E182" t="s">
        <v>230</v>
      </c>
      <c r="F182" t="s">
        <v>231</v>
      </c>
      <c r="G182" t="s">
        <v>232</v>
      </c>
      <c r="H182" t="s">
        <v>68</v>
      </c>
      <c r="I182">
        <v>2</v>
      </c>
      <c r="J182">
        <v>4</v>
      </c>
      <c r="K182">
        <v>8</v>
      </c>
      <c r="L182" t="s">
        <v>28</v>
      </c>
      <c r="M182" t="s">
        <v>95</v>
      </c>
      <c r="N182" t="s">
        <v>89</v>
      </c>
      <c r="O182">
        <v>1</v>
      </c>
      <c r="P182">
        <v>3</v>
      </c>
      <c r="Q182">
        <v>3</v>
      </c>
      <c r="R182" t="s">
        <v>663</v>
      </c>
      <c r="S182" t="s">
        <v>31</v>
      </c>
      <c r="T182" t="s">
        <v>32</v>
      </c>
      <c r="U182" t="s">
        <v>62</v>
      </c>
      <c r="V182" s="13">
        <v>46522</v>
      </c>
    </row>
    <row r="183" spans="1:22" x14ac:dyDescent="0.25">
      <c r="A183" t="s">
        <v>317</v>
      </c>
      <c r="B183" s="13">
        <v>45829</v>
      </c>
      <c r="C183" t="s">
        <v>64</v>
      </c>
      <c r="D183" t="s">
        <v>23</v>
      </c>
      <c r="E183" t="s">
        <v>91</v>
      </c>
      <c r="F183" t="s">
        <v>92</v>
      </c>
      <c r="G183" t="s">
        <v>35</v>
      </c>
      <c r="H183" t="s">
        <v>68</v>
      </c>
      <c r="I183">
        <v>3</v>
      </c>
      <c r="J183">
        <v>5</v>
      </c>
      <c r="K183">
        <v>15</v>
      </c>
      <c r="L183" t="s">
        <v>40</v>
      </c>
      <c r="M183" t="s">
        <v>41</v>
      </c>
      <c r="N183" t="s">
        <v>42</v>
      </c>
      <c r="O183">
        <v>1</v>
      </c>
      <c r="P183">
        <v>5</v>
      </c>
      <c r="Q183">
        <v>5</v>
      </c>
      <c r="R183" t="s">
        <v>663</v>
      </c>
      <c r="S183" t="s">
        <v>28</v>
      </c>
      <c r="T183" t="s">
        <v>61</v>
      </c>
      <c r="U183" t="s">
        <v>71</v>
      </c>
      <c r="V183" s="13">
        <v>46194</v>
      </c>
    </row>
    <row r="184" spans="1:22" x14ac:dyDescent="0.25">
      <c r="A184" t="s">
        <v>318</v>
      </c>
      <c r="B184" s="13">
        <v>46345</v>
      </c>
      <c r="C184" t="s">
        <v>73</v>
      </c>
      <c r="D184" t="s">
        <v>23</v>
      </c>
      <c r="E184" t="s">
        <v>104</v>
      </c>
      <c r="F184" t="s">
        <v>105</v>
      </c>
      <c r="G184" t="s">
        <v>73</v>
      </c>
      <c r="H184" t="s">
        <v>116</v>
      </c>
      <c r="I184">
        <v>2</v>
      </c>
      <c r="J184">
        <v>2</v>
      </c>
      <c r="K184">
        <v>4</v>
      </c>
      <c r="L184" t="s">
        <v>31</v>
      </c>
      <c r="M184" t="s">
        <v>83</v>
      </c>
      <c r="N184" t="s">
        <v>60</v>
      </c>
      <c r="O184">
        <v>1</v>
      </c>
      <c r="P184">
        <v>1</v>
      </c>
      <c r="Q184">
        <v>1</v>
      </c>
      <c r="R184" t="s">
        <v>663</v>
      </c>
      <c r="S184" t="s">
        <v>31</v>
      </c>
      <c r="T184" t="s">
        <v>61</v>
      </c>
      <c r="U184" t="s">
        <v>62</v>
      </c>
      <c r="V184" s="13">
        <v>46525</v>
      </c>
    </row>
    <row r="185" spans="1:22" x14ac:dyDescent="0.25">
      <c r="A185" t="s">
        <v>319</v>
      </c>
      <c r="B185" s="13">
        <v>45770</v>
      </c>
      <c r="C185" t="s">
        <v>85</v>
      </c>
      <c r="D185" t="s">
        <v>23</v>
      </c>
      <c r="E185" t="s">
        <v>230</v>
      </c>
      <c r="F185" t="s">
        <v>231</v>
      </c>
      <c r="G185" t="s">
        <v>232</v>
      </c>
      <c r="H185" t="s">
        <v>233</v>
      </c>
      <c r="I185">
        <v>5</v>
      </c>
      <c r="J185">
        <v>4</v>
      </c>
      <c r="K185">
        <v>20</v>
      </c>
      <c r="L185" t="s">
        <v>94</v>
      </c>
      <c r="M185" t="s">
        <v>78</v>
      </c>
      <c r="N185" t="s">
        <v>89</v>
      </c>
      <c r="O185">
        <v>4</v>
      </c>
      <c r="P185">
        <v>4</v>
      </c>
      <c r="Q185">
        <v>16</v>
      </c>
      <c r="R185" t="s">
        <v>663</v>
      </c>
      <c r="S185" t="s">
        <v>40</v>
      </c>
      <c r="T185" t="s">
        <v>43</v>
      </c>
      <c r="U185" t="s">
        <v>33</v>
      </c>
      <c r="V185" s="13">
        <v>46135</v>
      </c>
    </row>
    <row r="186" spans="1:22" x14ac:dyDescent="0.25">
      <c r="A186" t="s">
        <v>320</v>
      </c>
      <c r="B186" s="13">
        <v>46091</v>
      </c>
      <c r="C186" t="s">
        <v>85</v>
      </c>
      <c r="D186" t="s">
        <v>55</v>
      </c>
      <c r="E186" t="s">
        <v>86</v>
      </c>
      <c r="F186" t="s">
        <v>87</v>
      </c>
      <c r="G186" t="s">
        <v>48</v>
      </c>
      <c r="H186" t="s">
        <v>39</v>
      </c>
      <c r="I186">
        <v>2</v>
      </c>
      <c r="J186">
        <v>2</v>
      </c>
      <c r="K186">
        <v>4</v>
      </c>
      <c r="L186" t="s">
        <v>31</v>
      </c>
      <c r="M186" t="s">
        <v>50</v>
      </c>
      <c r="N186" t="s">
        <v>60</v>
      </c>
      <c r="O186">
        <v>1</v>
      </c>
      <c r="P186">
        <v>2</v>
      </c>
      <c r="Q186">
        <v>2</v>
      </c>
      <c r="R186" t="s">
        <v>663</v>
      </c>
      <c r="S186" t="s">
        <v>31</v>
      </c>
      <c r="T186" t="s">
        <v>32</v>
      </c>
      <c r="U186" t="s">
        <v>96</v>
      </c>
      <c r="V186" s="13">
        <v>46271</v>
      </c>
    </row>
    <row r="187" spans="1:22" x14ac:dyDescent="0.25">
      <c r="A187" t="s">
        <v>321</v>
      </c>
      <c r="B187" s="13">
        <v>45959</v>
      </c>
      <c r="C187" t="s">
        <v>64</v>
      </c>
      <c r="D187" t="s">
        <v>65</v>
      </c>
      <c r="E187" t="s">
        <v>174</v>
      </c>
      <c r="F187" t="s">
        <v>175</v>
      </c>
      <c r="G187" t="s">
        <v>176</v>
      </c>
      <c r="H187" t="s">
        <v>201</v>
      </c>
      <c r="I187">
        <v>2</v>
      </c>
      <c r="J187">
        <v>4</v>
      </c>
      <c r="K187">
        <v>8</v>
      </c>
      <c r="L187" t="s">
        <v>28</v>
      </c>
      <c r="M187" t="s">
        <v>83</v>
      </c>
      <c r="N187" t="s">
        <v>89</v>
      </c>
      <c r="O187">
        <v>1</v>
      </c>
      <c r="P187">
        <v>4</v>
      </c>
      <c r="Q187">
        <v>4</v>
      </c>
      <c r="R187" t="s">
        <v>663</v>
      </c>
      <c r="S187" t="s">
        <v>31</v>
      </c>
      <c r="T187" t="s">
        <v>32</v>
      </c>
      <c r="U187" t="s">
        <v>52</v>
      </c>
      <c r="V187" s="13">
        <v>46324</v>
      </c>
    </row>
    <row r="188" spans="1:22" x14ac:dyDescent="0.25">
      <c r="A188" t="s">
        <v>629</v>
      </c>
      <c r="B188" s="13">
        <v>45675</v>
      </c>
      <c r="C188" t="s">
        <v>85</v>
      </c>
      <c r="D188" t="s">
        <v>98</v>
      </c>
      <c r="E188" t="s">
        <v>86</v>
      </c>
      <c r="F188" t="s">
        <v>87</v>
      </c>
      <c r="G188" t="s">
        <v>48</v>
      </c>
      <c r="H188" t="s">
        <v>88</v>
      </c>
      <c r="I188">
        <v>2</v>
      </c>
      <c r="J188">
        <v>5</v>
      </c>
      <c r="K188">
        <v>10</v>
      </c>
      <c r="L188" t="s">
        <v>40</v>
      </c>
      <c r="M188" t="s">
        <v>69</v>
      </c>
      <c r="N188" t="s">
        <v>102</v>
      </c>
      <c r="O188">
        <v>1</v>
      </c>
      <c r="P188">
        <v>5</v>
      </c>
      <c r="Q188">
        <v>5</v>
      </c>
      <c r="R188" t="s">
        <v>663</v>
      </c>
      <c r="S188" t="s">
        <v>28</v>
      </c>
      <c r="T188" t="s">
        <v>43</v>
      </c>
      <c r="U188" t="s">
        <v>33</v>
      </c>
      <c r="V188" s="13">
        <v>45855</v>
      </c>
    </row>
    <row r="189" spans="1:22" x14ac:dyDescent="0.25">
      <c r="A189" t="s">
        <v>628</v>
      </c>
      <c r="B189" s="13">
        <v>46087</v>
      </c>
      <c r="C189" t="s">
        <v>22</v>
      </c>
      <c r="D189" t="s">
        <v>23</v>
      </c>
      <c r="E189" t="s">
        <v>135</v>
      </c>
      <c r="F189" t="s">
        <v>136</v>
      </c>
      <c r="G189" t="s">
        <v>35</v>
      </c>
      <c r="H189" t="s">
        <v>137</v>
      </c>
      <c r="I189">
        <v>5</v>
      </c>
      <c r="J189">
        <v>5</v>
      </c>
      <c r="K189">
        <v>25</v>
      </c>
      <c r="L189" t="s">
        <v>94</v>
      </c>
      <c r="M189" t="s">
        <v>83</v>
      </c>
      <c r="N189" t="s">
        <v>42</v>
      </c>
      <c r="O189">
        <v>5</v>
      </c>
      <c r="P189">
        <v>5</v>
      </c>
      <c r="Q189">
        <v>25</v>
      </c>
      <c r="R189" t="s">
        <v>663</v>
      </c>
      <c r="S189" t="s">
        <v>94</v>
      </c>
      <c r="T189" t="s">
        <v>43</v>
      </c>
      <c r="U189" t="s">
        <v>33</v>
      </c>
      <c r="V189" s="13">
        <v>46267</v>
      </c>
    </row>
    <row r="190" spans="1:22" x14ac:dyDescent="0.25">
      <c r="A190" t="s">
        <v>324</v>
      </c>
      <c r="B190" s="13">
        <v>45746</v>
      </c>
      <c r="C190" t="s">
        <v>35</v>
      </c>
      <c r="D190" t="s">
        <v>23</v>
      </c>
      <c r="E190" t="s">
        <v>36</v>
      </c>
      <c r="F190" t="s">
        <v>37</v>
      </c>
      <c r="G190" t="s">
        <v>38</v>
      </c>
      <c r="H190" t="s">
        <v>39</v>
      </c>
      <c r="I190">
        <v>3</v>
      </c>
      <c r="J190">
        <v>3</v>
      </c>
      <c r="K190">
        <v>9</v>
      </c>
      <c r="L190" t="s">
        <v>28</v>
      </c>
      <c r="M190" t="s">
        <v>69</v>
      </c>
      <c r="N190" t="s">
        <v>42</v>
      </c>
      <c r="O190">
        <v>2</v>
      </c>
      <c r="P190">
        <v>3</v>
      </c>
      <c r="Q190">
        <v>6</v>
      </c>
      <c r="R190" t="s">
        <v>663</v>
      </c>
      <c r="S190" t="s">
        <v>28</v>
      </c>
      <c r="T190" t="s">
        <v>43</v>
      </c>
      <c r="U190" t="s">
        <v>62</v>
      </c>
      <c r="V190" s="13">
        <v>46476</v>
      </c>
    </row>
    <row r="191" spans="1:22" x14ac:dyDescent="0.25">
      <c r="A191" t="s">
        <v>325</v>
      </c>
      <c r="B191" s="13">
        <v>46247</v>
      </c>
      <c r="C191" t="s">
        <v>54</v>
      </c>
      <c r="D191" t="s">
        <v>80</v>
      </c>
      <c r="E191" t="s">
        <v>56</v>
      </c>
      <c r="F191" t="s">
        <v>57</v>
      </c>
      <c r="G191" t="s">
        <v>58</v>
      </c>
      <c r="H191" t="s">
        <v>209</v>
      </c>
      <c r="I191">
        <v>5</v>
      </c>
      <c r="J191">
        <v>2</v>
      </c>
      <c r="K191">
        <v>10</v>
      </c>
      <c r="L191" t="s">
        <v>40</v>
      </c>
      <c r="M191" t="s">
        <v>78</v>
      </c>
      <c r="N191" t="s">
        <v>42</v>
      </c>
      <c r="O191">
        <v>4</v>
      </c>
      <c r="P191">
        <v>1</v>
      </c>
      <c r="Q191">
        <v>4</v>
      </c>
      <c r="R191" t="s">
        <v>663</v>
      </c>
      <c r="S191" t="s">
        <v>31</v>
      </c>
      <c r="T191" t="s">
        <v>32</v>
      </c>
      <c r="U191" t="s">
        <v>33</v>
      </c>
      <c r="V191" s="13">
        <v>46427</v>
      </c>
    </row>
    <row r="192" spans="1:22" x14ac:dyDescent="0.25">
      <c r="A192" t="s">
        <v>627</v>
      </c>
      <c r="B192" s="13">
        <v>45829</v>
      </c>
      <c r="C192" t="s">
        <v>35</v>
      </c>
      <c r="D192" t="s">
        <v>80</v>
      </c>
      <c r="E192" t="s">
        <v>36</v>
      </c>
      <c r="F192" t="s">
        <v>37</v>
      </c>
      <c r="G192" t="s">
        <v>38</v>
      </c>
      <c r="H192" t="s">
        <v>39</v>
      </c>
      <c r="I192">
        <v>5</v>
      </c>
      <c r="J192">
        <v>3</v>
      </c>
      <c r="K192">
        <v>15</v>
      </c>
      <c r="L192" t="s">
        <v>40</v>
      </c>
      <c r="M192" t="s">
        <v>29</v>
      </c>
      <c r="N192" t="s">
        <v>124</v>
      </c>
      <c r="O192">
        <v>4</v>
      </c>
      <c r="P192">
        <v>2</v>
      </c>
      <c r="Q192">
        <v>8</v>
      </c>
      <c r="R192" t="s">
        <v>663</v>
      </c>
      <c r="S192" t="s">
        <v>28</v>
      </c>
      <c r="T192" t="s">
        <v>43</v>
      </c>
      <c r="U192" t="s">
        <v>33</v>
      </c>
      <c r="V192" s="13">
        <v>46009</v>
      </c>
    </row>
    <row r="193" spans="1:22" x14ac:dyDescent="0.25">
      <c r="A193" t="s">
        <v>626</v>
      </c>
      <c r="B193" s="13">
        <v>46018</v>
      </c>
      <c r="C193" t="s">
        <v>73</v>
      </c>
      <c r="D193" t="s">
        <v>23</v>
      </c>
      <c r="E193" t="s">
        <v>75</v>
      </c>
      <c r="F193" t="s">
        <v>76</v>
      </c>
      <c r="G193" t="s">
        <v>73</v>
      </c>
      <c r="H193" t="s">
        <v>68</v>
      </c>
      <c r="I193">
        <v>4</v>
      </c>
      <c r="J193">
        <v>3</v>
      </c>
      <c r="K193">
        <v>12</v>
      </c>
      <c r="L193" t="s">
        <v>40</v>
      </c>
      <c r="M193" t="s">
        <v>41</v>
      </c>
      <c r="N193" t="s">
        <v>106</v>
      </c>
      <c r="O193">
        <v>3</v>
      </c>
      <c r="P193">
        <v>3</v>
      </c>
      <c r="Q193">
        <v>9</v>
      </c>
      <c r="R193" t="s">
        <v>663</v>
      </c>
      <c r="S193" t="s">
        <v>28</v>
      </c>
      <c r="T193" t="s">
        <v>43</v>
      </c>
      <c r="U193" t="s">
        <v>62</v>
      </c>
      <c r="V193" s="13">
        <v>46383</v>
      </c>
    </row>
    <row r="194" spans="1:22" x14ac:dyDescent="0.25">
      <c r="A194" t="s">
        <v>328</v>
      </c>
      <c r="B194" s="13">
        <v>45763</v>
      </c>
      <c r="C194" t="s">
        <v>22</v>
      </c>
      <c r="D194" t="s">
        <v>98</v>
      </c>
      <c r="E194" t="s">
        <v>135</v>
      </c>
      <c r="F194" t="s">
        <v>136</v>
      </c>
      <c r="G194" t="s">
        <v>35</v>
      </c>
      <c r="H194" t="s">
        <v>137</v>
      </c>
      <c r="I194">
        <v>3</v>
      </c>
      <c r="J194">
        <v>4</v>
      </c>
      <c r="K194">
        <v>12</v>
      </c>
      <c r="L194" t="s">
        <v>40</v>
      </c>
      <c r="M194" t="s">
        <v>69</v>
      </c>
      <c r="N194" t="s">
        <v>51</v>
      </c>
      <c r="O194">
        <v>2</v>
      </c>
      <c r="P194">
        <v>4</v>
      </c>
      <c r="Q194">
        <v>8</v>
      </c>
      <c r="R194" t="s">
        <v>663</v>
      </c>
      <c r="S194" t="s">
        <v>28</v>
      </c>
      <c r="T194" t="s">
        <v>43</v>
      </c>
      <c r="U194" t="s">
        <v>52</v>
      </c>
      <c r="V194" s="13">
        <v>45943</v>
      </c>
    </row>
    <row r="195" spans="1:22" x14ac:dyDescent="0.25">
      <c r="A195" t="s">
        <v>329</v>
      </c>
      <c r="B195" s="13">
        <v>45828</v>
      </c>
      <c r="C195" t="s">
        <v>64</v>
      </c>
      <c r="D195" t="s">
        <v>65</v>
      </c>
      <c r="E195" t="s">
        <v>66</v>
      </c>
      <c r="F195" t="s">
        <v>67</v>
      </c>
      <c r="G195" t="s">
        <v>35</v>
      </c>
      <c r="H195" t="s">
        <v>93</v>
      </c>
      <c r="I195">
        <v>4</v>
      </c>
      <c r="J195">
        <v>2</v>
      </c>
      <c r="K195">
        <v>8</v>
      </c>
      <c r="L195" t="s">
        <v>28</v>
      </c>
      <c r="M195" t="s">
        <v>41</v>
      </c>
      <c r="N195" t="s">
        <v>106</v>
      </c>
      <c r="O195">
        <v>3</v>
      </c>
      <c r="P195">
        <v>2</v>
      </c>
      <c r="Q195">
        <v>6</v>
      </c>
      <c r="R195" t="s">
        <v>663</v>
      </c>
      <c r="S195" t="s">
        <v>28</v>
      </c>
      <c r="T195" t="s">
        <v>32</v>
      </c>
      <c r="U195" t="s">
        <v>33</v>
      </c>
      <c r="V195" s="13">
        <v>46193</v>
      </c>
    </row>
    <row r="196" spans="1:22" x14ac:dyDescent="0.25">
      <c r="A196" t="s">
        <v>330</v>
      </c>
      <c r="B196" s="13">
        <v>45982</v>
      </c>
      <c r="C196" t="s">
        <v>54</v>
      </c>
      <c r="D196" t="s">
        <v>23</v>
      </c>
      <c r="E196" t="s">
        <v>56</v>
      </c>
      <c r="F196" t="s">
        <v>57</v>
      </c>
      <c r="G196" t="s">
        <v>58</v>
      </c>
      <c r="H196" t="s">
        <v>59</v>
      </c>
      <c r="I196">
        <v>2</v>
      </c>
      <c r="J196">
        <v>2</v>
      </c>
      <c r="K196">
        <v>4</v>
      </c>
      <c r="L196" t="s">
        <v>31</v>
      </c>
      <c r="M196" t="s">
        <v>78</v>
      </c>
      <c r="N196" t="s">
        <v>106</v>
      </c>
      <c r="O196">
        <v>2</v>
      </c>
      <c r="P196">
        <v>1</v>
      </c>
      <c r="Q196">
        <v>2</v>
      </c>
      <c r="R196" t="s">
        <v>663</v>
      </c>
      <c r="S196" t="s">
        <v>31</v>
      </c>
      <c r="T196" t="s">
        <v>61</v>
      </c>
      <c r="U196" t="s">
        <v>33</v>
      </c>
      <c r="V196" s="13">
        <v>46347</v>
      </c>
    </row>
    <row r="197" spans="1:22" x14ac:dyDescent="0.25">
      <c r="A197" t="s">
        <v>331</v>
      </c>
      <c r="B197" s="13">
        <v>45797</v>
      </c>
      <c r="C197" t="s">
        <v>22</v>
      </c>
      <c r="D197" t="s">
        <v>65</v>
      </c>
      <c r="E197" t="s">
        <v>99</v>
      </c>
      <c r="F197" t="s">
        <v>100</v>
      </c>
      <c r="G197" t="s">
        <v>35</v>
      </c>
      <c r="H197" t="s">
        <v>68</v>
      </c>
      <c r="I197">
        <v>4</v>
      </c>
      <c r="J197">
        <v>2</v>
      </c>
      <c r="K197">
        <v>8</v>
      </c>
      <c r="L197" t="s">
        <v>28</v>
      </c>
      <c r="M197" t="s">
        <v>78</v>
      </c>
      <c r="N197" t="s">
        <v>42</v>
      </c>
      <c r="O197">
        <v>2</v>
      </c>
      <c r="P197">
        <v>1</v>
      </c>
      <c r="Q197">
        <v>2</v>
      </c>
      <c r="R197" t="s">
        <v>663</v>
      </c>
      <c r="S197" t="s">
        <v>31</v>
      </c>
      <c r="T197" t="s">
        <v>43</v>
      </c>
      <c r="U197" t="s">
        <v>96</v>
      </c>
      <c r="V197" s="13">
        <v>46162</v>
      </c>
    </row>
    <row r="198" spans="1:22" x14ac:dyDescent="0.25">
      <c r="A198" t="s">
        <v>332</v>
      </c>
      <c r="B198" s="13">
        <v>46249</v>
      </c>
      <c r="C198" t="s">
        <v>22</v>
      </c>
      <c r="D198" t="s">
        <v>98</v>
      </c>
      <c r="E198" t="s">
        <v>24</v>
      </c>
      <c r="F198" t="s">
        <v>25</v>
      </c>
      <c r="G198" t="s">
        <v>26</v>
      </c>
      <c r="H198" t="s">
        <v>223</v>
      </c>
      <c r="I198">
        <v>5</v>
      </c>
      <c r="J198">
        <v>2</v>
      </c>
      <c r="K198">
        <v>10</v>
      </c>
      <c r="L198" t="s">
        <v>40</v>
      </c>
      <c r="M198" t="s">
        <v>101</v>
      </c>
      <c r="N198" t="s">
        <v>30</v>
      </c>
      <c r="O198">
        <v>5</v>
      </c>
      <c r="P198">
        <v>1</v>
      </c>
      <c r="Q198">
        <v>5</v>
      </c>
      <c r="R198" t="s">
        <v>663</v>
      </c>
      <c r="S198" t="s">
        <v>28</v>
      </c>
      <c r="T198" t="s">
        <v>43</v>
      </c>
      <c r="U198" t="s">
        <v>62</v>
      </c>
      <c r="V198" s="13">
        <v>46429</v>
      </c>
    </row>
    <row r="199" spans="1:22" x14ac:dyDescent="0.25">
      <c r="A199" t="s">
        <v>333</v>
      </c>
      <c r="B199" s="13">
        <v>46044</v>
      </c>
      <c r="C199" t="s">
        <v>64</v>
      </c>
      <c r="D199" t="s">
        <v>65</v>
      </c>
      <c r="E199" t="s">
        <v>174</v>
      </c>
      <c r="F199" t="s">
        <v>175</v>
      </c>
      <c r="G199" t="s">
        <v>176</v>
      </c>
      <c r="H199" t="s">
        <v>201</v>
      </c>
      <c r="I199">
        <v>4</v>
      </c>
      <c r="J199">
        <v>4</v>
      </c>
      <c r="K199">
        <v>16</v>
      </c>
      <c r="L199" t="s">
        <v>40</v>
      </c>
      <c r="M199" t="s">
        <v>95</v>
      </c>
      <c r="N199" t="s">
        <v>124</v>
      </c>
      <c r="O199">
        <v>3</v>
      </c>
      <c r="P199">
        <v>3</v>
      </c>
      <c r="Q199">
        <v>9</v>
      </c>
      <c r="R199" t="s">
        <v>663</v>
      </c>
      <c r="S199" t="s">
        <v>28</v>
      </c>
      <c r="T199" t="s">
        <v>43</v>
      </c>
      <c r="U199" t="s">
        <v>62</v>
      </c>
      <c r="V199" s="13">
        <v>46409</v>
      </c>
    </row>
    <row r="200" spans="1:22" x14ac:dyDescent="0.25">
      <c r="A200" t="s">
        <v>334</v>
      </c>
      <c r="B200" s="13">
        <v>46124</v>
      </c>
      <c r="C200" t="s">
        <v>85</v>
      </c>
      <c r="D200" t="s">
        <v>108</v>
      </c>
      <c r="E200" t="s">
        <v>140</v>
      </c>
      <c r="F200" t="s">
        <v>141</v>
      </c>
      <c r="G200" t="s">
        <v>142</v>
      </c>
      <c r="H200" t="s">
        <v>153</v>
      </c>
      <c r="I200">
        <v>2</v>
      </c>
      <c r="J200">
        <v>2</v>
      </c>
      <c r="K200">
        <v>4</v>
      </c>
      <c r="L200" t="s">
        <v>31</v>
      </c>
      <c r="M200" t="s">
        <v>83</v>
      </c>
      <c r="N200" t="s">
        <v>60</v>
      </c>
      <c r="O200">
        <v>1</v>
      </c>
      <c r="P200">
        <v>1</v>
      </c>
      <c r="Q200">
        <v>1</v>
      </c>
      <c r="R200" t="s">
        <v>663</v>
      </c>
      <c r="S200" t="s">
        <v>31</v>
      </c>
      <c r="T200" t="s">
        <v>43</v>
      </c>
      <c r="U200" t="s">
        <v>33</v>
      </c>
      <c r="V200" s="13">
        <v>46304</v>
      </c>
    </row>
    <row r="201" spans="1:22" x14ac:dyDescent="0.25">
      <c r="A201" t="s">
        <v>335</v>
      </c>
      <c r="B201" s="13">
        <v>45781</v>
      </c>
      <c r="C201" t="s">
        <v>85</v>
      </c>
      <c r="D201" t="s">
        <v>55</v>
      </c>
      <c r="E201" t="s">
        <v>230</v>
      </c>
      <c r="F201" t="s">
        <v>231</v>
      </c>
      <c r="G201" t="s">
        <v>232</v>
      </c>
      <c r="H201" t="s">
        <v>233</v>
      </c>
      <c r="I201">
        <v>2</v>
      </c>
      <c r="J201">
        <v>2</v>
      </c>
      <c r="K201">
        <v>4</v>
      </c>
      <c r="L201" t="s">
        <v>31</v>
      </c>
      <c r="M201" t="s">
        <v>41</v>
      </c>
      <c r="N201" t="s">
        <v>60</v>
      </c>
      <c r="O201">
        <v>1</v>
      </c>
      <c r="P201">
        <v>2</v>
      </c>
      <c r="Q201">
        <v>2</v>
      </c>
      <c r="R201" t="s">
        <v>663</v>
      </c>
      <c r="S201" t="s">
        <v>31</v>
      </c>
      <c r="T201" t="s">
        <v>32</v>
      </c>
      <c r="U201" t="s">
        <v>62</v>
      </c>
      <c r="V201" s="13">
        <v>46146</v>
      </c>
    </row>
    <row r="202" spans="1:22" x14ac:dyDescent="0.25">
      <c r="A202" t="s">
        <v>336</v>
      </c>
      <c r="B202" s="13">
        <v>45983</v>
      </c>
      <c r="C202" t="s">
        <v>35</v>
      </c>
      <c r="D202" t="s">
        <v>65</v>
      </c>
      <c r="E202" t="s">
        <v>36</v>
      </c>
      <c r="F202" t="s">
        <v>37</v>
      </c>
      <c r="G202" t="s">
        <v>38</v>
      </c>
      <c r="H202" t="s">
        <v>116</v>
      </c>
      <c r="I202">
        <v>5</v>
      </c>
      <c r="J202">
        <v>2</v>
      </c>
      <c r="K202">
        <v>10</v>
      </c>
      <c r="L202" t="s">
        <v>40</v>
      </c>
      <c r="M202" t="s">
        <v>101</v>
      </c>
      <c r="N202" t="s">
        <v>51</v>
      </c>
      <c r="O202">
        <v>4</v>
      </c>
      <c r="P202">
        <v>2</v>
      </c>
      <c r="Q202">
        <v>8</v>
      </c>
      <c r="R202" t="s">
        <v>663</v>
      </c>
      <c r="S202" t="s">
        <v>28</v>
      </c>
      <c r="T202" t="s">
        <v>32</v>
      </c>
      <c r="U202" t="s">
        <v>71</v>
      </c>
      <c r="V202" s="13">
        <v>46713</v>
      </c>
    </row>
    <row r="203" spans="1:22" x14ac:dyDescent="0.25">
      <c r="A203" t="s">
        <v>337</v>
      </c>
      <c r="B203" s="13">
        <v>45751</v>
      </c>
      <c r="C203" t="s">
        <v>108</v>
      </c>
      <c r="D203" t="s">
        <v>108</v>
      </c>
      <c r="E203" t="s">
        <v>162</v>
      </c>
      <c r="F203" t="s">
        <v>163</v>
      </c>
      <c r="G203" t="s">
        <v>164</v>
      </c>
      <c r="H203" t="s">
        <v>219</v>
      </c>
      <c r="I203">
        <v>4</v>
      </c>
      <c r="J203">
        <v>3</v>
      </c>
      <c r="K203">
        <v>12</v>
      </c>
      <c r="L203" t="s">
        <v>40</v>
      </c>
      <c r="M203" t="s">
        <v>83</v>
      </c>
      <c r="N203" t="s">
        <v>89</v>
      </c>
      <c r="O203">
        <v>2</v>
      </c>
      <c r="P203">
        <v>2</v>
      </c>
      <c r="Q203">
        <v>4</v>
      </c>
      <c r="R203" t="s">
        <v>663</v>
      </c>
      <c r="S203" t="s">
        <v>31</v>
      </c>
      <c r="T203" t="s">
        <v>61</v>
      </c>
      <c r="U203" t="s">
        <v>52</v>
      </c>
      <c r="V203" s="13">
        <v>45931</v>
      </c>
    </row>
    <row r="204" spans="1:22" x14ac:dyDescent="0.25">
      <c r="A204" t="s">
        <v>338</v>
      </c>
      <c r="B204" s="13">
        <v>46351</v>
      </c>
      <c r="C204" t="s">
        <v>22</v>
      </c>
      <c r="D204" t="s">
        <v>23</v>
      </c>
      <c r="E204" t="s">
        <v>135</v>
      </c>
      <c r="F204" t="s">
        <v>136</v>
      </c>
      <c r="G204" t="s">
        <v>35</v>
      </c>
      <c r="H204" t="s">
        <v>122</v>
      </c>
      <c r="I204">
        <v>5</v>
      </c>
      <c r="J204">
        <v>2</v>
      </c>
      <c r="K204">
        <v>10</v>
      </c>
      <c r="L204" t="s">
        <v>40</v>
      </c>
      <c r="M204" t="s">
        <v>78</v>
      </c>
      <c r="N204" t="s">
        <v>89</v>
      </c>
      <c r="O204">
        <v>4</v>
      </c>
      <c r="P204">
        <v>2</v>
      </c>
      <c r="Q204">
        <v>8</v>
      </c>
      <c r="R204" t="s">
        <v>663</v>
      </c>
      <c r="S204" t="s">
        <v>28</v>
      </c>
      <c r="T204" t="s">
        <v>32</v>
      </c>
      <c r="U204" t="s">
        <v>71</v>
      </c>
      <c r="V204" s="13">
        <v>46716</v>
      </c>
    </row>
    <row r="205" spans="1:22" x14ac:dyDescent="0.25">
      <c r="A205" t="s">
        <v>339</v>
      </c>
      <c r="B205" s="13">
        <v>46114</v>
      </c>
      <c r="C205" t="s">
        <v>64</v>
      </c>
      <c r="D205" t="s">
        <v>65</v>
      </c>
      <c r="E205" t="s">
        <v>174</v>
      </c>
      <c r="F205" t="s">
        <v>175</v>
      </c>
      <c r="G205" t="s">
        <v>176</v>
      </c>
      <c r="H205" t="s">
        <v>177</v>
      </c>
      <c r="I205">
        <v>5</v>
      </c>
      <c r="J205">
        <v>3</v>
      </c>
      <c r="K205">
        <v>15</v>
      </c>
      <c r="L205" t="s">
        <v>40</v>
      </c>
      <c r="M205" t="s">
        <v>29</v>
      </c>
      <c r="N205" t="s">
        <v>60</v>
      </c>
      <c r="O205">
        <v>4</v>
      </c>
      <c r="P205">
        <v>3</v>
      </c>
      <c r="Q205">
        <v>12</v>
      </c>
      <c r="R205" t="s">
        <v>663</v>
      </c>
      <c r="S205" t="s">
        <v>40</v>
      </c>
      <c r="T205" t="s">
        <v>43</v>
      </c>
      <c r="U205" t="s">
        <v>96</v>
      </c>
      <c r="V205" s="13">
        <v>46844</v>
      </c>
    </row>
    <row r="206" spans="1:22" x14ac:dyDescent="0.25">
      <c r="A206" t="s">
        <v>340</v>
      </c>
      <c r="B206" s="13">
        <v>45894</v>
      </c>
      <c r="C206" t="s">
        <v>45</v>
      </c>
      <c r="D206" t="s">
        <v>23</v>
      </c>
      <c r="E206" t="s">
        <v>46</v>
      </c>
      <c r="F206" t="s">
        <v>47</v>
      </c>
      <c r="G206" t="s">
        <v>48</v>
      </c>
      <c r="H206" t="s">
        <v>88</v>
      </c>
      <c r="I206">
        <v>3</v>
      </c>
      <c r="J206">
        <v>2</v>
      </c>
      <c r="K206">
        <v>6</v>
      </c>
      <c r="L206" t="s">
        <v>28</v>
      </c>
      <c r="M206" t="s">
        <v>95</v>
      </c>
      <c r="N206" t="s">
        <v>60</v>
      </c>
      <c r="O206">
        <v>2</v>
      </c>
      <c r="P206">
        <v>2</v>
      </c>
      <c r="Q206">
        <v>4</v>
      </c>
      <c r="R206" t="s">
        <v>663</v>
      </c>
      <c r="S206" t="s">
        <v>31</v>
      </c>
      <c r="T206" t="s">
        <v>43</v>
      </c>
      <c r="U206" t="s">
        <v>52</v>
      </c>
      <c r="V206" s="13">
        <v>46624</v>
      </c>
    </row>
    <row r="207" spans="1:22" x14ac:dyDescent="0.25">
      <c r="A207" t="s">
        <v>341</v>
      </c>
      <c r="B207" s="13">
        <v>45920</v>
      </c>
      <c r="C207" t="s">
        <v>22</v>
      </c>
      <c r="D207" t="s">
        <v>65</v>
      </c>
      <c r="E207" t="s">
        <v>81</v>
      </c>
      <c r="F207" t="s">
        <v>82</v>
      </c>
      <c r="G207" t="s">
        <v>81</v>
      </c>
      <c r="H207" t="s">
        <v>127</v>
      </c>
      <c r="I207">
        <v>4</v>
      </c>
      <c r="J207">
        <v>4</v>
      </c>
      <c r="K207">
        <v>16</v>
      </c>
      <c r="L207" t="s">
        <v>40</v>
      </c>
      <c r="M207" t="s">
        <v>69</v>
      </c>
      <c r="N207" t="s">
        <v>30</v>
      </c>
      <c r="O207">
        <v>3</v>
      </c>
      <c r="P207">
        <v>3</v>
      </c>
      <c r="Q207">
        <v>9</v>
      </c>
      <c r="R207" t="s">
        <v>663</v>
      </c>
      <c r="S207" t="s">
        <v>28</v>
      </c>
      <c r="T207" t="s">
        <v>32</v>
      </c>
      <c r="U207" t="s">
        <v>52</v>
      </c>
      <c r="V207" s="13">
        <v>46100</v>
      </c>
    </row>
    <row r="208" spans="1:22" x14ac:dyDescent="0.25">
      <c r="A208" t="s">
        <v>342</v>
      </c>
      <c r="B208" s="13">
        <v>45803</v>
      </c>
      <c r="C208" t="s">
        <v>45</v>
      </c>
      <c r="D208" t="s">
        <v>74</v>
      </c>
      <c r="E208" t="s">
        <v>46</v>
      </c>
      <c r="F208" t="s">
        <v>47</v>
      </c>
      <c r="G208" t="s">
        <v>48</v>
      </c>
      <c r="H208" t="s">
        <v>88</v>
      </c>
      <c r="I208">
        <v>4</v>
      </c>
      <c r="J208">
        <v>4</v>
      </c>
      <c r="K208">
        <v>16</v>
      </c>
      <c r="L208" t="s">
        <v>40</v>
      </c>
      <c r="M208" t="s">
        <v>69</v>
      </c>
      <c r="N208" t="s">
        <v>124</v>
      </c>
      <c r="O208">
        <v>3</v>
      </c>
      <c r="P208">
        <v>3</v>
      </c>
      <c r="Q208">
        <v>9</v>
      </c>
      <c r="R208" t="s">
        <v>663</v>
      </c>
      <c r="S208" t="s">
        <v>28</v>
      </c>
      <c r="T208" t="s">
        <v>32</v>
      </c>
      <c r="U208" t="s">
        <v>52</v>
      </c>
      <c r="V208" s="13">
        <v>46168</v>
      </c>
    </row>
    <row r="209" spans="1:22" x14ac:dyDescent="0.25">
      <c r="A209" t="s">
        <v>343</v>
      </c>
      <c r="B209" s="13">
        <v>45720</v>
      </c>
      <c r="C209" t="s">
        <v>85</v>
      </c>
      <c r="D209" t="s">
        <v>80</v>
      </c>
      <c r="E209" t="s">
        <v>140</v>
      </c>
      <c r="F209" t="s">
        <v>141</v>
      </c>
      <c r="G209" t="s">
        <v>142</v>
      </c>
      <c r="H209" t="s">
        <v>143</v>
      </c>
      <c r="I209">
        <v>4</v>
      </c>
      <c r="J209">
        <v>2</v>
      </c>
      <c r="K209">
        <v>8</v>
      </c>
      <c r="L209" t="s">
        <v>28</v>
      </c>
      <c r="M209" t="s">
        <v>78</v>
      </c>
      <c r="N209" t="s">
        <v>106</v>
      </c>
      <c r="O209">
        <v>3</v>
      </c>
      <c r="P209">
        <v>2</v>
      </c>
      <c r="Q209">
        <v>6</v>
      </c>
      <c r="R209" t="s">
        <v>663</v>
      </c>
      <c r="S209" t="s">
        <v>28</v>
      </c>
      <c r="T209" t="s">
        <v>43</v>
      </c>
      <c r="U209" t="s">
        <v>62</v>
      </c>
      <c r="V209" s="13">
        <v>46450</v>
      </c>
    </row>
    <row r="210" spans="1:22" x14ac:dyDescent="0.25">
      <c r="A210" t="s">
        <v>344</v>
      </c>
      <c r="B210" s="13">
        <v>45763</v>
      </c>
      <c r="C210" t="s">
        <v>85</v>
      </c>
      <c r="D210" t="s">
        <v>74</v>
      </c>
      <c r="E210" t="s">
        <v>140</v>
      </c>
      <c r="F210" t="s">
        <v>141</v>
      </c>
      <c r="G210" t="s">
        <v>142</v>
      </c>
      <c r="H210" t="s">
        <v>153</v>
      </c>
      <c r="I210">
        <v>5</v>
      </c>
      <c r="J210">
        <v>2</v>
      </c>
      <c r="K210">
        <v>10</v>
      </c>
      <c r="L210" t="s">
        <v>40</v>
      </c>
      <c r="M210" t="s">
        <v>83</v>
      </c>
      <c r="N210" t="s">
        <v>51</v>
      </c>
      <c r="O210">
        <v>4</v>
      </c>
      <c r="P210">
        <v>2</v>
      </c>
      <c r="Q210">
        <v>8</v>
      </c>
      <c r="R210" t="s">
        <v>663</v>
      </c>
      <c r="S210" t="s">
        <v>28</v>
      </c>
      <c r="T210" t="s">
        <v>43</v>
      </c>
      <c r="U210" t="s">
        <v>96</v>
      </c>
      <c r="V210" s="13">
        <v>46128</v>
      </c>
    </row>
    <row r="211" spans="1:22" x14ac:dyDescent="0.25">
      <c r="A211" t="s">
        <v>345</v>
      </c>
      <c r="B211" s="13">
        <v>45871</v>
      </c>
      <c r="C211" t="s">
        <v>108</v>
      </c>
      <c r="D211" t="s">
        <v>108</v>
      </c>
      <c r="E211" t="s">
        <v>149</v>
      </c>
      <c r="F211" t="s">
        <v>150</v>
      </c>
      <c r="G211" t="s">
        <v>151</v>
      </c>
      <c r="H211" t="s">
        <v>143</v>
      </c>
      <c r="I211">
        <v>4</v>
      </c>
      <c r="J211">
        <v>2</v>
      </c>
      <c r="K211">
        <v>8</v>
      </c>
      <c r="L211" t="s">
        <v>28</v>
      </c>
      <c r="M211" t="s">
        <v>50</v>
      </c>
      <c r="N211" t="s">
        <v>128</v>
      </c>
      <c r="O211">
        <v>2</v>
      </c>
      <c r="P211">
        <v>2</v>
      </c>
      <c r="Q211">
        <v>4</v>
      </c>
      <c r="R211" t="s">
        <v>663</v>
      </c>
      <c r="S211" t="s">
        <v>31</v>
      </c>
      <c r="T211" t="s">
        <v>61</v>
      </c>
      <c r="U211" t="s">
        <v>33</v>
      </c>
      <c r="V211" s="13">
        <v>46051</v>
      </c>
    </row>
    <row r="212" spans="1:22" x14ac:dyDescent="0.25">
      <c r="A212" t="s">
        <v>346</v>
      </c>
      <c r="B212" s="13">
        <v>45953</v>
      </c>
      <c r="C212" t="s">
        <v>22</v>
      </c>
      <c r="D212" t="s">
        <v>108</v>
      </c>
      <c r="E212" t="s">
        <v>81</v>
      </c>
      <c r="F212" t="s">
        <v>82</v>
      </c>
      <c r="G212" t="s">
        <v>81</v>
      </c>
      <c r="H212" t="s">
        <v>127</v>
      </c>
      <c r="I212">
        <v>2</v>
      </c>
      <c r="J212">
        <v>2</v>
      </c>
      <c r="K212">
        <v>4</v>
      </c>
      <c r="L212" t="s">
        <v>31</v>
      </c>
      <c r="M212" t="s">
        <v>69</v>
      </c>
      <c r="N212" t="s">
        <v>60</v>
      </c>
      <c r="O212">
        <v>1</v>
      </c>
      <c r="P212">
        <v>2</v>
      </c>
      <c r="Q212">
        <v>2</v>
      </c>
      <c r="R212" t="s">
        <v>663</v>
      </c>
      <c r="S212" t="s">
        <v>31</v>
      </c>
      <c r="T212" t="s">
        <v>43</v>
      </c>
      <c r="U212" t="s">
        <v>52</v>
      </c>
      <c r="V212" s="13">
        <v>46133</v>
      </c>
    </row>
    <row r="213" spans="1:22" x14ac:dyDescent="0.25">
      <c r="A213" t="s">
        <v>347</v>
      </c>
      <c r="B213" s="13">
        <v>45871</v>
      </c>
      <c r="C213" t="s">
        <v>22</v>
      </c>
      <c r="D213" t="s">
        <v>80</v>
      </c>
      <c r="E213" t="s">
        <v>24</v>
      </c>
      <c r="F213" t="s">
        <v>25</v>
      </c>
      <c r="G213" t="s">
        <v>26</v>
      </c>
      <c r="H213" t="s">
        <v>223</v>
      </c>
      <c r="I213">
        <v>2</v>
      </c>
      <c r="J213">
        <v>2</v>
      </c>
      <c r="K213">
        <v>4</v>
      </c>
      <c r="L213" t="s">
        <v>31</v>
      </c>
      <c r="M213" t="s">
        <v>69</v>
      </c>
      <c r="N213" t="s">
        <v>51</v>
      </c>
      <c r="O213">
        <v>1</v>
      </c>
      <c r="P213">
        <v>2</v>
      </c>
      <c r="Q213">
        <v>2</v>
      </c>
      <c r="R213" t="s">
        <v>663</v>
      </c>
      <c r="S213" t="s">
        <v>31</v>
      </c>
      <c r="T213" t="s">
        <v>61</v>
      </c>
      <c r="U213" t="s">
        <v>62</v>
      </c>
      <c r="V213" s="13">
        <v>46236</v>
      </c>
    </row>
    <row r="214" spans="1:22" x14ac:dyDescent="0.25">
      <c r="A214" t="s">
        <v>348</v>
      </c>
      <c r="B214" s="13">
        <v>45816</v>
      </c>
      <c r="C214" t="s">
        <v>22</v>
      </c>
      <c r="D214" t="s">
        <v>98</v>
      </c>
      <c r="E214" t="s">
        <v>99</v>
      </c>
      <c r="F214" t="s">
        <v>100</v>
      </c>
      <c r="G214" t="s">
        <v>35</v>
      </c>
      <c r="H214" t="s">
        <v>137</v>
      </c>
      <c r="I214">
        <v>2</v>
      </c>
      <c r="J214">
        <v>3</v>
      </c>
      <c r="K214">
        <v>6</v>
      </c>
      <c r="L214" t="s">
        <v>28</v>
      </c>
      <c r="M214" t="s">
        <v>69</v>
      </c>
      <c r="N214" t="s">
        <v>70</v>
      </c>
      <c r="O214">
        <v>1</v>
      </c>
      <c r="P214">
        <v>3</v>
      </c>
      <c r="Q214">
        <v>3</v>
      </c>
      <c r="R214" t="s">
        <v>663</v>
      </c>
      <c r="S214" t="s">
        <v>31</v>
      </c>
      <c r="T214" t="s">
        <v>32</v>
      </c>
      <c r="U214" t="s">
        <v>52</v>
      </c>
      <c r="V214" s="13">
        <v>46181</v>
      </c>
    </row>
    <row r="215" spans="1:22" x14ac:dyDescent="0.25">
      <c r="A215" t="s">
        <v>349</v>
      </c>
      <c r="B215" s="13">
        <v>46183</v>
      </c>
      <c r="C215" t="s">
        <v>22</v>
      </c>
      <c r="D215" t="s">
        <v>80</v>
      </c>
      <c r="E215" t="s">
        <v>81</v>
      </c>
      <c r="F215" t="s">
        <v>82</v>
      </c>
      <c r="G215" t="s">
        <v>81</v>
      </c>
      <c r="H215" t="s">
        <v>68</v>
      </c>
      <c r="I215">
        <v>2</v>
      </c>
      <c r="J215">
        <v>2</v>
      </c>
      <c r="K215">
        <v>4</v>
      </c>
      <c r="L215" t="s">
        <v>31</v>
      </c>
      <c r="M215" t="s">
        <v>101</v>
      </c>
      <c r="N215" t="s">
        <v>70</v>
      </c>
      <c r="O215">
        <v>1</v>
      </c>
      <c r="P215">
        <v>1</v>
      </c>
      <c r="Q215">
        <v>1</v>
      </c>
      <c r="R215" t="s">
        <v>663</v>
      </c>
      <c r="S215" t="s">
        <v>31</v>
      </c>
      <c r="T215" t="s">
        <v>61</v>
      </c>
      <c r="U215" t="s">
        <v>71</v>
      </c>
      <c r="V215" s="13">
        <v>46913</v>
      </c>
    </row>
    <row r="216" spans="1:22" x14ac:dyDescent="0.25">
      <c r="A216" t="s">
        <v>350</v>
      </c>
      <c r="B216" s="13">
        <v>46027</v>
      </c>
      <c r="C216" t="s">
        <v>22</v>
      </c>
      <c r="D216" t="s">
        <v>74</v>
      </c>
      <c r="E216" t="s">
        <v>99</v>
      </c>
      <c r="F216" t="s">
        <v>100</v>
      </c>
      <c r="G216" t="s">
        <v>35</v>
      </c>
      <c r="H216" t="s">
        <v>122</v>
      </c>
      <c r="I216">
        <v>4</v>
      </c>
      <c r="J216">
        <v>5</v>
      </c>
      <c r="K216">
        <v>20</v>
      </c>
      <c r="L216" t="s">
        <v>94</v>
      </c>
      <c r="M216" t="s">
        <v>41</v>
      </c>
      <c r="N216" t="s">
        <v>30</v>
      </c>
      <c r="O216">
        <v>3</v>
      </c>
      <c r="P216">
        <v>5</v>
      </c>
      <c r="Q216">
        <v>15</v>
      </c>
      <c r="R216" t="s">
        <v>663</v>
      </c>
      <c r="S216" t="s">
        <v>40</v>
      </c>
      <c r="T216" t="s">
        <v>61</v>
      </c>
      <c r="U216" t="s">
        <v>33</v>
      </c>
      <c r="V216" s="13">
        <v>46392</v>
      </c>
    </row>
    <row r="217" spans="1:22" x14ac:dyDescent="0.25">
      <c r="A217" t="s">
        <v>351</v>
      </c>
      <c r="B217" s="13">
        <v>46321</v>
      </c>
      <c r="C217" t="s">
        <v>22</v>
      </c>
      <c r="D217" t="s">
        <v>74</v>
      </c>
      <c r="E217" t="s">
        <v>81</v>
      </c>
      <c r="F217" t="s">
        <v>82</v>
      </c>
      <c r="G217" t="s">
        <v>81</v>
      </c>
      <c r="H217" t="s">
        <v>143</v>
      </c>
      <c r="I217">
        <v>4</v>
      </c>
      <c r="J217">
        <v>4</v>
      </c>
      <c r="K217">
        <v>16</v>
      </c>
      <c r="L217" t="s">
        <v>40</v>
      </c>
      <c r="M217" t="s">
        <v>83</v>
      </c>
      <c r="N217" t="s">
        <v>70</v>
      </c>
      <c r="O217">
        <v>3</v>
      </c>
      <c r="P217">
        <v>3</v>
      </c>
      <c r="Q217">
        <v>9</v>
      </c>
      <c r="R217" t="s">
        <v>663</v>
      </c>
      <c r="S217" t="s">
        <v>28</v>
      </c>
      <c r="T217" t="s">
        <v>61</v>
      </c>
      <c r="U217" t="s">
        <v>52</v>
      </c>
      <c r="V217" s="13">
        <v>46501</v>
      </c>
    </row>
    <row r="218" spans="1:22" x14ac:dyDescent="0.25">
      <c r="A218" t="s">
        <v>352</v>
      </c>
      <c r="B218" s="13">
        <v>46162</v>
      </c>
      <c r="C218" t="s">
        <v>85</v>
      </c>
      <c r="D218" t="s">
        <v>108</v>
      </c>
      <c r="E218" t="s">
        <v>86</v>
      </c>
      <c r="F218" t="s">
        <v>87</v>
      </c>
      <c r="G218" t="s">
        <v>48</v>
      </c>
      <c r="H218" t="s">
        <v>39</v>
      </c>
      <c r="I218">
        <v>3</v>
      </c>
      <c r="J218">
        <v>5</v>
      </c>
      <c r="K218">
        <v>15</v>
      </c>
      <c r="L218" t="s">
        <v>40</v>
      </c>
      <c r="M218" t="s">
        <v>101</v>
      </c>
      <c r="N218" t="s">
        <v>89</v>
      </c>
      <c r="O218">
        <v>1</v>
      </c>
      <c r="P218">
        <v>5</v>
      </c>
      <c r="Q218">
        <v>5</v>
      </c>
      <c r="R218" t="s">
        <v>663</v>
      </c>
      <c r="S218" t="s">
        <v>28</v>
      </c>
      <c r="T218" t="s">
        <v>61</v>
      </c>
      <c r="U218" t="s">
        <v>62</v>
      </c>
      <c r="V218" s="13">
        <v>46527</v>
      </c>
    </row>
    <row r="219" spans="1:22" x14ac:dyDescent="0.25">
      <c r="A219" t="s">
        <v>353</v>
      </c>
      <c r="B219" s="13">
        <v>45991</v>
      </c>
      <c r="C219" t="s">
        <v>85</v>
      </c>
      <c r="D219" t="s">
        <v>65</v>
      </c>
      <c r="E219" t="s">
        <v>86</v>
      </c>
      <c r="F219" t="s">
        <v>87</v>
      </c>
      <c r="G219" t="s">
        <v>48</v>
      </c>
      <c r="H219" t="s">
        <v>49</v>
      </c>
      <c r="I219">
        <v>3</v>
      </c>
      <c r="J219">
        <v>5</v>
      </c>
      <c r="K219">
        <v>15</v>
      </c>
      <c r="L219" t="s">
        <v>40</v>
      </c>
      <c r="M219" t="s">
        <v>83</v>
      </c>
      <c r="N219" t="s">
        <v>128</v>
      </c>
      <c r="O219">
        <v>2</v>
      </c>
      <c r="P219">
        <v>4</v>
      </c>
      <c r="Q219">
        <v>8</v>
      </c>
      <c r="R219" t="s">
        <v>663</v>
      </c>
      <c r="S219" t="s">
        <v>28</v>
      </c>
      <c r="T219" t="s">
        <v>61</v>
      </c>
      <c r="U219" t="s">
        <v>96</v>
      </c>
      <c r="V219" s="13">
        <v>46171</v>
      </c>
    </row>
    <row r="220" spans="1:22" x14ac:dyDescent="0.25">
      <c r="A220" t="s">
        <v>354</v>
      </c>
      <c r="B220" s="13">
        <v>45704</v>
      </c>
      <c r="C220" t="s">
        <v>22</v>
      </c>
      <c r="D220" t="s">
        <v>55</v>
      </c>
      <c r="E220" t="s">
        <v>99</v>
      </c>
      <c r="F220" t="s">
        <v>100</v>
      </c>
      <c r="G220" t="s">
        <v>35</v>
      </c>
      <c r="H220" t="s">
        <v>137</v>
      </c>
      <c r="I220">
        <v>4</v>
      </c>
      <c r="J220">
        <v>2</v>
      </c>
      <c r="K220">
        <v>8</v>
      </c>
      <c r="L220" t="s">
        <v>28</v>
      </c>
      <c r="M220" t="s">
        <v>41</v>
      </c>
      <c r="N220" t="s">
        <v>128</v>
      </c>
      <c r="O220">
        <v>3</v>
      </c>
      <c r="P220">
        <v>2</v>
      </c>
      <c r="Q220">
        <v>6</v>
      </c>
      <c r="R220" t="s">
        <v>663</v>
      </c>
      <c r="S220" t="s">
        <v>28</v>
      </c>
      <c r="T220" t="s">
        <v>61</v>
      </c>
      <c r="U220" t="s">
        <v>62</v>
      </c>
      <c r="V220" s="13">
        <v>45884</v>
      </c>
    </row>
    <row r="221" spans="1:22" x14ac:dyDescent="0.25">
      <c r="A221" t="s">
        <v>355</v>
      </c>
      <c r="B221" s="13">
        <v>46126</v>
      </c>
      <c r="C221" t="s">
        <v>22</v>
      </c>
      <c r="D221" t="s">
        <v>98</v>
      </c>
      <c r="E221" t="s">
        <v>99</v>
      </c>
      <c r="F221" t="s">
        <v>100</v>
      </c>
      <c r="G221" t="s">
        <v>35</v>
      </c>
      <c r="H221" t="s">
        <v>137</v>
      </c>
      <c r="I221">
        <v>5</v>
      </c>
      <c r="J221">
        <v>2</v>
      </c>
      <c r="K221">
        <v>10</v>
      </c>
      <c r="L221" t="s">
        <v>40</v>
      </c>
      <c r="M221" t="s">
        <v>101</v>
      </c>
      <c r="N221" t="s">
        <v>70</v>
      </c>
      <c r="O221">
        <v>4</v>
      </c>
      <c r="P221">
        <v>2</v>
      </c>
      <c r="Q221">
        <v>8</v>
      </c>
      <c r="R221" t="s">
        <v>663</v>
      </c>
      <c r="S221" t="s">
        <v>28</v>
      </c>
      <c r="T221" t="s">
        <v>61</v>
      </c>
      <c r="U221" t="s">
        <v>96</v>
      </c>
      <c r="V221" s="13">
        <v>46491</v>
      </c>
    </row>
    <row r="222" spans="1:22" x14ac:dyDescent="0.25">
      <c r="A222" t="s">
        <v>356</v>
      </c>
      <c r="B222" s="13">
        <v>46150</v>
      </c>
      <c r="C222" t="s">
        <v>35</v>
      </c>
      <c r="D222" t="s">
        <v>23</v>
      </c>
      <c r="E222" t="s">
        <v>120</v>
      </c>
      <c r="F222" t="s">
        <v>121</v>
      </c>
      <c r="G222" t="s">
        <v>35</v>
      </c>
      <c r="H222" t="s">
        <v>93</v>
      </c>
      <c r="I222">
        <v>4</v>
      </c>
      <c r="J222">
        <v>5</v>
      </c>
      <c r="K222">
        <v>20</v>
      </c>
      <c r="L222" t="s">
        <v>94</v>
      </c>
      <c r="M222" t="s">
        <v>95</v>
      </c>
      <c r="N222" t="s">
        <v>51</v>
      </c>
      <c r="O222">
        <v>3</v>
      </c>
      <c r="P222">
        <v>4</v>
      </c>
      <c r="Q222">
        <v>12</v>
      </c>
      <c r="R222" t="s">
        <v>663</v>
      </c>
      <c r="S222" t="s">
        <v>40</v>
      </c>
      <c r="T222" t="s">
        <v>32</v>
      </c>
      <c r="U222" t="s">
        <v>52</v>
      </c>
      <c r="V222" s="13">
        <v>46330</v>
      </c>
    </row>
    <row r="223" spans="1:22" x14ac:dyDescent="0.25">
      <c r="A223" t="s">
        <v>357</v>
      </c>
      <c r="B223" s="13">
        <v>46246</v>
      </c>
      <c r="C223" t="s">
        <v>22</v>
      </c>
      <c r="D223" t="s">
        <v>98</v>
      </c>
      <c r="E223" t="s">
        <v>135</v>
      </c>
      <c r="F223" t="s">
        <v>136</v>
      </c>
      <c r="G223" t="s">
        <v>35</v>
      </c>
      <c r="H223" t="s">
        <v>137</v>
      </c>
      <c r="I223">
        <v>2</v>
      </c>
      <c r="J223">
        <v>4</v>
      </c>
      <c r="K223">
        <v>8</v>
      </c>
      <c r="L223" t="s">
        <v>28</v>
      </c>
      <c r="M223" t="s">
        <v>78</v>
      </c>
      <c r="N223" t="s">
        <v>60</v>
      </c>
      <c r="O223">
        <v>1</v>
      </c>
      <c r="P223">
        <v>3</v>
      </c>
      <c r="Q223">
        <v>3</v>
      </c>
      <c r="R223" t="s">
        <v>663</v>
      </c>
      <c r="S223" t="s">
        <v>31</v>
      </c>
      <c r="T223" t="s">
        <v>43</v>
      </c>
      <c r="U223" t="s">
        <v>62</v>
      </c>
      <c r="V223" s="13">
        <v>46611</v>
      </c>
    </row>
    <row r="224" spans="1:22" x14ac:dyDescent="0.25">
      <c r="A224" t="s">
        <v>358</v>
      </c>
      <c r="B224" s="13">
        <v>46297</v>
      </c>
      <c r="C224" t="s">
        <v>64</v>
      </c>
      <c r="D224" t="s">
        <v>65</v>
      </c>
      <c r="E224" t="s">
        <v>174</v>
      </c>
      <c r="F224" t="s">
        <v>175</v>
      </c>
      <c r="G224" t="s">
        <v>176</v>
      </c>
      <c r="H224" t="s">
        <v>68</v>
      </c>
      <c r="I224">
        <v>5</v>
      </c>
      <c r="J224">
        <v>5</v>
      </c>
      <c r="K224">
        <v>25</v>
      </c>
      <c r="L224" t="s">
        <v>94</v>
      </c>
      <c r="M224" t="s">
        <v>29</v>
      </c>
      <c r="N224" t="s">
        <v>51</v>
      </c>
      <c r="O224">
        <v>3</v>
      </c>
      <c r="P224">
        <v>5</v>
      </c>
      <c r="Q224">
        <v>15</v>
      </c>
      <c r="R224" t="s">
        <v>663</v>
      </c>
      <c r="S224" t="s">
        <v>40</v>
      </c>
      <c r="T224" t="s">
        <v>32</v>
      </c>
      <c r="U224" t="s">
        <v>62</v>
      </c>
      <c r="V224" s="13">
        <v>46662</v>
      </c>
    </row>
    <row r="225" spans="1:22" x14ac:dyDescent="0.25">
      <c r="A225" t="s">
        <v>359</v>
      </c>
      <c r="B225" s="13">
        <v>45844</v>
      </c>
      <c r="C225" t="s">
        <v>64</v>
      </c>
      <c r="D225" t="s">
        <v>108</v>
      </c>
      <c r="E225" t="s">
        <v>174</v>
      </c>
      <c r="F225" t="s">
        <v>175</v>
      </c>
      <c r="G225" t="s">
        <v>176</v>
      </c>
      <c r="H225" t="s">
        <v>68</v>
      </c>
      <c r="I225">
        <v>4</v>
      </c>
      <c r="J225">
        <v>3</v>
      </c>
      <c r="K225">
        <v>12</v>
      </c>
      <c r="L225" t="s">
        <v>40</v>
      </c>
      <c r="M225" t="s">
        <v>101</v>
      </c>
      <c r="N225" t="s">
        <v>102</v>
      </c>
      <c r="O225">
        <v>3</v>
      </c>
      <c r="P225">
        <v>2</v>
      </c>
      <c r="Q225">
        <v>6</v>
      </c>
      <c r="R225" t="s">
        <v>663</v>
      </c>
      <c r="S225" t="s">
        <v>28</v>
      </c>
      <c r="T225" t="s">
        <v>43</v>
      </c>
      <c r="U225" t="s">
        <v>96</v>
      </c>
      <c r="V225" s="13">
        <v>46574</v>
      </c>
    </row>
    <row r="226" spans="1:22" x14ac:dyDescent="0.25">
      <c r="A226" t="s">
        <v>360</v>
      </c>
      <c r="B226" s="13">
        <v>45965</v>
      </c>
      <c r="C226" t="s">
        <v>85</v>
      </c>
      <c r="D226" t="s">
        <v>55</v>
      </c>
      <c r="E226" t="s">
        <v>230</v>
      </c>
      <c r="F226" t="s">
        <v>231</v>
      </c>
      <c r="G226" t="s">
        <v>232</v>
      </c>
      <c r="H226" t="s">
        <v>68</v>
      </c>
      <c r="I226">
        <v>2</v>
      </c>
      <c r="J226">
        <v>4</v>
      </c>
      <c r="K226">
        <v>8</v>
      </c>
      <c r="L226" t="s">
        <v>28</v>
      </c>
      <c r="M226" t="s">
        <v>101</v>
      </c>
      <c r="N226" t="s">
        <v>51</v>
      </c>
      <c r="O226">
        <v>1</v>
      </c>
      <c r="P226">
        <v>4</v>
      </c>
      <c r="Q226">
        <v>4</v>
      </c>
      <c r="R226" t="s">
        <v>663</v>
      </c>
      <c r="S226" t="s">
        <v>31</v>
      </c>
      <c r="T226" t="s">
        <v>61</v>
      </c>
      <c r="U226" t="s">
        <v>96</v>
      </c>
      <c r="V226" s="13">
        <v>46330</v>
      </c>
    </row>
    <row r="227" spans="1:22" x14ac:dyDescent="0.25">
      <c r="A227" t="s">
        <v>361</v>
      </c>
      <c r="B227" s="13">
        <v>46092</v>
      </c>
      <c r="C227" t="s">
        <v>108</v>
      </c>
      <c r="D227" t="s">
        <v>55</v>
      </c>
      <c r="E227" t="s">
        <v>162</v>
      </c>
      <c r="F227" t="s">
        <v>163</v>
      </c>
      <c r="G227" t="s">
        <v>164</v>
      </c>
      <c r="H227" t="s">
        <v>68</v>
      </c>
      <c r="I227">
        <v>5</v>
      </c>
      <c r="J227">
        <v>5</v>
      </c>
      <c r="K227">
        <v>25</v>
      </c>
      <c r="L227" t="s">
        <v>94</v>
      </c>
      <c r="M227" t="s">
        <v>83</v>
      </c>
      <c r="N227" t="s">
        <v>42</v>
      </c>
      <c r="O227">
        <v>4</v>
      </c>
      <c r="P227">
        <v>5</v>
      </c>
      <c r="Q227">
        <v>20</v>
      </c>
      <c r="R227" t="s">
        <v>663</v>
      </c>
      <c r="S227" t="s">
        <v>94</v>
      </c>
      <c r="T227" t="s">
        <v>61</v>
      </c>
      <c r="U227" t="s">
        <v>33</v>
      </c>
      <c r="V227" s="13">
        <v>46457</v>
      </c>
    </row>
    <row r="228" spans="1:22" x14ac:dyDescent="0.25">
      <c r="A228" t="s">
        <v>362</v>
      </c>
      <c r="B228" s="13">
        <v>45660</v>
      </c>
      <c r="C228" t="s">
        <v>45</v>
      </c>
      <c r="D228" t="s">
        <v>74</v>
      </c>
      <c r="E228" t="s">
        <v>46</v>
      </c>
      <c r="F228" t="s">
        <v>47</v>
      </c>
      <c r="G228" t="s">
        <v>48</v>
      </c>
      <c r="H228" t="s">
        <v>39</v>
      </c>
      <c r="I228">
        <v>4</v>
      </c>
      <c r="J228">
        <v>4</v>
      </c>
      <c r="K228">
        <v>16</v>
      </c>
      <c r="L228" t="s">
        <v>40</v>
      </c>
      <c r="M228" t="s">
        <v>50</v>
      </c>
      <c r="N228" t="s">
        <v>89</v>
      </c>
      <c r="O228">
        <v>4</v>
      </c>
      <c r="P228">
        <v>3</v>
      </c>
      <c r="Q228">
        <v>12</v>
      </c>
      <c r="R228" t="s">
        <v>663</v>
      </c>
      <c r="S228" t="s">
        <v>40</v>
      </c>
      <c r="T228" t="s">
        <v>43</v>
      </c>
      <c r="U228" t="s">
        <v>71</v>
      </c>
      <c r="V228" s="13">
        <v>45840</v>
      </c>
    </row>
    <row r="229" spans="1:22" x14ac:dyDescent="0.25">
      <c r="A229" t="s">
        <v>363</v>
      </c>
      <c r="B229" s="13">
        <v>45938</v>
      </c>
      <c r="C229" t="s">
        <v>64</v>
      </c>
      <c r="D229" t="s">
        <v>55</v>
      </c>
      <c r="E229" t="s">
        <v>91</v>
      </c>
      <c r="F229" t="s">
        <v>92</v>
      </c>
      <c r="G229" t="s">
        <v>35</v>
      </c>
      <c r="H229" t="s">
        <v>68</v>
      </c>
      <c r="I229">
        <v>4</v>
      </c>
      <c r="J229">
        <v>3</v>
      </c>
      <c r="K229">
        <v>12</v>
      </c>
      <c r="L229" t="s">
        <v>40</v>
      </c>
      <c r="M229" t="s">
        <v>78</v>
      </c>
      <c r="N229" t="s">
        <v>128</v>
      </c>
      <c r="O229">
        <v>3</v>
      </c>
      <c r="P229">
        <v>2</v>
      </c>
      <c r="Q229">
        <v>6</v>
      </c>
      <c r="R229" t="s">
        <v>663</v>
      </c>
      <c r="S229" t="s">
        <v>28</v>
      </c>
      <c r="T229" t="s">
        <v>61</v>
      </c>
      <c r="U229" t="s">
        <v>71</v>
      </c>
      <c r="V229" s="13">
        <v>46303</v>
      </c>
    </row>
    <row r="230" spans="1:22" x14ac:dyDescent="0.25">
      <c r="A230" t="s">
        <v>364</v>
      </c>
      <c r="B230" s="13">
        <v>46284</v>
      </c>
      <c r="C230" t="s">
        <v>35</v>
      </c>
      <c r="D230" t="s">
        <v>74</v>
      </c>
      <c r="E230" t="s">
        <v>36</v>
      </c>
      <c r="F230" t="s">
        <v>37</v>
      </c>
      <c r="G230" t="s">
        <v>38</v>
      </c>
      <c r="H230" t="s">
        <v>39</v>
      </c>
      <c r="I230">
        <v>5</v>
      </c>
      <c r="J230">
        <v>4</v>
      </c>
      <c r="K230">
        <v>20</v>
      </c>
      <c r="L230" t="s">
        <v>94</v>
      </c>
      <c r="M230" t="s">
        <v>101</v>
      </c>
      <c r="N230" t="s">
        <v>102</v>
      </c>
      <c r="O230">
        <v>5</v>
      </c>
      <c r="P230">
        <v>3</v>
      </c>
      <c r="Q230">
        <v>15</v>
      </c>
      <c r="R230" t="s">
        <v>663</v>
      </c>
      <c r="S230" t="s">
        <v>40</v>
      </c>
      <c r="T230" t="s">
        <v>43</v>
      </c>
      <c r="U230" t="s">
        <v>33</v>
      </c>
      <c r="V230" s="13">
        <v>47014</v>
      </c>
    </row>
    <row r="231" spans="1:22" x14ac:dyDescent="0.25">
      <c r="A231" t="s">
        <v>365</v>
      </c>
      <c r="B231" s="13">
        <v>45873</v>
      </c>
      <c r="C231" t="s">
        <v>64</v>
      </c>
      <c r="D231" t="s">
        <v>74</v>
      </c>
      <c r="E231" t="s">
        <v>66</v>
      </c>
      <c r="F231" t="s">
        <v>67</v>
      </c>
      <c r="G231" t="s">
        <v>35</v>
      </c>
      <c r="H231" t="s">
        <v>68</v>
      </c>
      <c r="I231">
        <v>4</v>
      </c>
      <c r="J231">
        <v>3</v>
      </c>
      <c r="K231">
        <v>12</v>
      </c>
      <c r="L231" t="s">
        <v>40</v>
      </c>
      <c r="M231" t="s">
        <v>95</v>
      </c>
      <c r="N231" t="s">
        <v>42</v>
      </c>
      <c r="O231">
        <v>4</v>
      </c>
      <c r="P231">
        <v>3</v>
      </c>
      <c r="Q231">
        <v>12</v>
      </c>
      <c r="R231" t="s">
        <v>663</v>
      </c>
      <c r="S231" t="s">
        <v>40</v>
      </c>
      <c r="T231" t="s">
        <v>43</v>
      </c>
      <c r="U231" t="s">
        <v>71</v>
      </c>
      <c r="V231" s="13">
        <v>46238</v>
      </c>
    </row>
    <row r="232" spans="1:22" x14ac:dyDescent="0.25">
      <c r="A232" t="s">
        <v>366</v>
      </c>
      <c r="B232" s="13">
        <v>45943</v>
      </c>
      <c r="C232" t="s">
        <v>22</v>
      </c>
      <c r="D232" t="s">
        <v>23</v>
      </c>
      <c r="E232" t="s">
        <v>135</v>
      </c>
      <c r="F232" t="s">
        <v>136</v>
      </c>
      <c r="G232" t="s">
        <v>35</v>
      </c>
      <c r="H232" t="s">
        <v>137</v>
      </c>
      <c r="I232">
        <v>3</v>
      </c>
      <c r="J232">
        <v>5</v>
      </c>
      <c r="K232">
        <v>15</v>
      </c>
      <c r="L232" t="s">
        <v>40</v>
      </c>
      <c r="M232" t="s">
        <v>95</v>
      </c>
      <c r="N232" t="s">
        <v>42</v>
      </c>
      <c r="O232">
        <v>3</v>
      </c>
      <c r="P232">
        <v>4</v>
      </c>
      <c r="Q232">
        <v>12</v>
      </c>
      <c r="R232" t="s">
        <v>663</v>
      </c>
      <c r="S232" t="s">
        <v>40</v>
      </c>
      <c r="T232" t="s">
        <v>43</v>
      </c>
      <c r="U232" t="s">
        <v>62</v>
      </c>
      <c r="V232" s="13">
        <v>46673</v>
      </c>
    </row>
    <row r="233" spans="1:22" x14ac:dyDescent="0.25">
      <c r="A233" t="s">
        <v>367</v>
      </c>
      <c r="B233" s="13">
        <v>46160</v>
      </c>
      <c r="C233" t="s">
        <v>108</v>
      </c>
      <c r="D233" t="s">
        <v>65</v>
      </c>
      <c r="E233" t="s">
        <v>149</v>
      </c>
      <c r="F233" t="s">
        <v>150</v>
      </c>
      <c r="G233" t="s">
        <v>151</v>
      </c>
      <c r="H233" t="s">
        <v>68</v>
      </c>
      <c r="I233">
        <v>3</v>
      </c>
      <c r="J233">
        <v>2</v>
      </c>
      <c r="K233">
        <v>6</v>
      </c>
      <c r="L233" t="s">
        <v>28</v>
      </c>
      <c r="M233" t="s">
        <v>101</v>
      </c>
      <c r="N233" t="s">
        <v>102</v>
      </c>
      <c r="O233">
        <v>2</v>
      </c>
      <c r="P233">
        <v>2</v>
      </c>
      <c r="Q233">
        <v>4</v>
      </c>
      <c r="R233" t="s">
        <v>663</v>
      </c>
      <c r="S233" t="s">
        <v>31</v>
      </c>
      <c r="T233" t="s">
        <v>43</v>
      </c>
      <c r="U233" t="s">
        <v>62</v>
      </c>
      <c r="V233" s="13">
        <v>46525</v>
      </c>
    </row>
    <row r="234" spans="1:22" x14ac:dyDescent="0.25">
      <c r="A234" t="s">
        <v>368</v>
      </c>
      <c r="B234" s="13">
        <v>45955</v>
      </c>
      <c r="C234" t="s">
        <v>85</v>
      </c>
      <c r="D234" t="s">
        <v>65</v>
      </c>
      <c r="E234" t="s">
        <v>86</v>
      </c>
      <c r="F234" t="s">
        <v>87</v>
      </c>
      <c r="G234" t="s">
        <v>48</v>
      </c>
      <c r="H234" t="s">
        <v>39</v>
      </c>
      <c r="I234">
        <v>2</v>
      </c>
      <c r="J234">
        <v>5</v>
      </c>
      <c r="K234">
        <v>10</v>
      </c>
      <c r="L234" t="s">
        <v>40</v>
      </c>
      <c r="M234" t="s">
        <v>95</v>
      </c>
      <c r="N234" t="s">
        <v>51</v>
      </c>
      <c r="O234">
        <v>1</v>
      </c>
      <c r="P234">
        <v>4</v>
      </c>
      <c r="Q234">
        <v>4</v>
      </c>
      <c r="R234" t="s">
        <v>663</v>
      </c>
      <c r="S234" t="s">
        <v>31</v>
      </c>
      <c r="T234" t="s">
        <v>43</v>
      </c>
      <c r="U234" t="s">
        <v>71</v>
      </c>
      <c r="V234" s="13">
        <v>46135</v>
      </c>
    </row>
    <row r="235" spans="1:22" x14ac:dyDescent="0.25">
      <c r="A235" t="s">
        <v>369</v>
      </c>
      <c r="B235" s="13">
        <v>45677</v>
      </c>
      <c r="C235" t="s">
        <v>22</v>
      </c>
      <c r="D235" t="s">
        <v>80</v>
      </c>
      <c r="E235" t="s">
        <v>135</v>
      </c>
      <c r="F235" t="s">
        <v>136</v>
      </c>
      <c r="G235" t="s">
        <v>35</v>
      </c>
      <c r="H235" t="s">
        <v>137</v>
      </c>
      <c r="I235">
        <v>2</v>
      </c>
      <c r="J235">
        <v>3</v>
      </c>
      <c r="K235">
        <v>6</v>
      </c>
      <c r="L235" t="s">
        <v>28</v>
      </c>
      <c r="M235" t="s">
        <v>78</v>
      </c>
      <c r="N235" t="s">
        <v>128</v>
      </c>
      <c r="O235">
        <v>1</v>
      </c>
      <c r="P235">
        <v>2</v>
      </c>
      <c r="Q235">
        <v>2</v>
      </c>
      <c r="R235" t="s">
        <v>663</v>
      </c>
      <c r="S235" t="s">
        <v>31</v>
      </c>
      <c r="T235" t="s">
        <v>61</v>
      </c>
      <c r="U235" t="s">
        <v>71</v>
      </c>
      <c r="V235" s="13">
        <v>46042</v>
      </c>
    </row>
    <row r="236" spans="1:22" x14ac:dyDescent="0.25">
      <c r="A236" t="s">
        <v>370</v>
      </c>
      <c r="B236" s="13">
        <v>45862</v>
      </c>
      <c r="C236" t="s">
        <v>108</v>
      </c>
      <c r="D236" t="s">
        <v>55</v>
      </c>
      <c r="E236" t="s">
        <v>162</v>
      </c>
      <c r="F236" t="s">
        <v>163</v>
      </c>
      <c r="G236" t="s">
        <v>164</v>
      </c>
      <c r="H236" t="s">
        <v>68</v>
      </c>
      <c r="I236">
        <v>3</v>
      </c>
      <c r="J236">
        <v>2</v>
      </c>
      <c r="K236">
        <v>6</v>
      </c>
      <c r="L236" t="s">
        <v>28</v>
      </c>
      <c r="M236" t="s">
        <v>50</v>
      </c>
      <c r="N236" t="s">
        <v>89</v>
      </c>
      <c r="O236">
        <v>2</v>
      </c>
      <c r="P236">
        <v>2</v>
      </c>
      <c r="Q236">
        <v>4</v>
      </c>
      <c r="R236" t="s">
        <v>663</v>
      </c>
      <c r="S236" t="s">
        <v>31</v>
      </c>
      <c r="T236" t="s">
        <v>32</v>
      </c>
      <c r="U236" t="s">
        <v>71</v>
      </c>
      <c r="V236" s="13">
        <v>46592</v>
      </c>
    </row>
    <row r="237" spans="1:22" x14ac:dyDescent="0.25">
      <c r="A237" t="s">
        <v>371</v>
      </c>
      <c r="B237" s="13">
        <v>46093</v>
      </c>
      <c r="C237" t="s">
        <v>35</v>
      </c>
      <c r="D237" t="s">
        <v>74</v>
      </c>
      <c r="E237" t="s">
        <v>120</v>
      </c>
      <c r="F237" t="s">
        <v>121</v>
      </c>
      <c r="G237" t="s">
        <v>35</v>
      </c>
      <c r="H237" t="s">
        <v>93</v>
      </c>
      <c r="I237">
        <v>4</v>
      </c>
      <c r="J237">
        <v>5</v>
      </c>
      <c r="K237">
        <v>20</v>
      </c>
      <c r="L237" t="s">
        <v>94</v>
      </c>
      <c r="M237" t="s">
        <v>95</v>
      </c>
      <c r="N237" t="s">
        <v>70</v>
      </c>
      <c r="O237">
        <v>3</v>
      </c>
      <c r="P237">
        <v>5</v>
      </c>
      <c r="Q237">
        <v>15</v>
      </c>
      <c r="R237" t="s">
        <v>663</v>
      </c>
      <c r="S237" t="s">
        <v>40</v>
      </c>
      <c r="T237" t="s">
        <v>43</v>
      </c>
      <c r="U237" t="s">
        <v>71</v>
      </c>
      <c r="V237" s="13">
        <v>46458</v>
      </c>
    </row>
    <row r="238" spans="1:22" x14ac:dyDescent="0.25">
      <c r="A238" t="s">
        <v>372</v>
      </c>
      <c r="B238" s="13">
        <v>45777</v>
      </c>
      <c r="C238" t="s">
        <v>54</v>
      </c>
      <c r="D238" t="s">
        <v>74</v>
      </c>
      <c r="E238" t="s">
        <v>56</v>
      </c>
      <c r="F238" t="s">
        <v>57</v>
      </c>
      <c r="G238" t="s">
        <v>58</v>
      </c>
      <c r="H238" t="s">
        <v>59</v>
      </c>
      <c r="I238">
        <v>4</v>
      </c>
      <c r="J238">
        <v>5</v>
      </c>
      <c r="K238">
        <v>20</v>
      </c>
      <c r="L238" t="s">
        <v>94</v>
      </c>
      <c r="M238" t="s">
        <v>83</v>
      </c>
      <c r="N238" t="s">
        <v>106</v>
      </c>
      <c r="O238">
        <v>3</v>
      </c>
      <c r="P238">
        <v>4</v>
      </c>
      <c r="Q238">
        <v>12</v>
      </c>
      <c r="R238" t="s">
        <v>663</v>
      </c>
      <c r="S238" t="s">
        <v>40</v>
      </c>
      <c r="T238" t="s">
        <v>61</v>
      </c>
      <c r="U238" t="s">
        <v>33</v>
      </c>
      <c r="V238" s="13">
        <v>46507</v>
      </c>
    </row>
    <row r="239" spans="1:22" x14ac:dyDescent="0.25">
      <c r="A239" t="s">
        <v>625</v>
      </c>
      <c r="B239" s="13">
        <v>46082</v>
      </c>
      <c r="C239" t="s">
        <v>73</v>
      </c>
      <c r="D239" t="s">
        <v>23</v>
      </c>
      <c r="E239" t="s">
        <v>104</v>
      </c>
      <c r="F239" t="s">
        <v>105</v>
      </c>
      <c r="G239" t="s">
        <v>73</v>
      </c>
      <c r="H239" t="s">
        <v>77</v>
      </c>
      <c r="I239">
        <v>4</v>
      </c>
      <c r="J239">
        <v>5</v>
      </c>
      <c r="K239">
        <v>20</v>
      </c>
      <c r="L239" t="s">
        <v>94</v>
      </c>
      <c r="M239" t="s">
        <v>29</v>
      </c>
      <c r="N239" t="s">
        <v>102</v>
      </c>
      <c r="O239">
        <v>4</v>
      </c>
      <c r="P239">
        <v>5</v>
      </c>
      <c r="Q239">
        <v>20</v>
      </c>
      <c r="R239" t="s">
        <v>663</v>
      </c>
      <c r="S239" t="s">
        <v>94</v>
      </c>
      <c r="T239" t="s">
        <v>43</v>
      </c>
      <c r="U239" t="s">
        <v>33</v>
      </c>
      <c r="V239" s="13">
        <v>46262</v>
      </c>
    </row>
    <row r="240" spans="1:22" x14ac:dyDescent="0.25">
      <c r="A240" t="s">
        <v>374</v>
      </c>
      <c r="B240" s="13">
        <v>45747</v>
      </c>
      <c r="C240" t="s">
        <v>35</v>
      </c>
      <c r="D240" t="s">
        <v>55</v>
      </c>
      <c r="E240" t="s">
        <v>36</v>
      </c>
      <c r="F240" t="s">
        <v>37</v>
      </c>
      <c r="G240" t="s">
        <v>38</v>
      </c>
      <c r="H240" t="s">
        <v>39</v>
      </c>
      <c r="I240">
        <v>5</v>
      </c>
      <c r="J240">
        <v>3</v>
      </c>
      <c r="K240">
        <v>15</v>
      </c>
      <c r="L240" t="s">
        <v>40</v>
      </c>
      <c r="M240" t="s">
        <v>101</v>
      </c>
      <c r="N240" t="s">
        <v>124</v>
      </c>
      <c r="O240">
        <v>4</v>
      </c>
      <c r="P240">
        <v>3</v>
      </c>
      <c r="Q240">
        <v>12</v>
      </c>
      <c r="R240" t="s">
        <v>663</v>
      </c>
      <c r="S240" t="s">
        <v>40</v>
      </c>
      <c r="T240" t="s">
        <v>61</v>
      </c>
      <c r="U240" t="s">
        <v>52</v>
      </c>
      <c r="V240" s="13">
        <v>45927</v>
      </c>
    </row>
    <row r="241" spans="1:22" x14ac:dyDescent="0.25">
      <c r="A241" t="s">
        <v>375</v>
      </c>
      <c r="B241" s="13">
        <v>45905</v>
      </c>
      <c r="C241" t="s">
        <v>64</v>
      </c>
      <c r="D241" t="s">
        <v>55</v>
      </c>
      <c r="E241" t="s">
        <v>91</v>
      </c>
      <c r="F241" t="s">
        <v>92</v>
      </c>
      <c r="G241" t="s">
        <v>35</v>
      </c>
      <c r="H241" t="s">
        <v>122</v>
      </c>
      <c r="I241">
        <v>5</v>
      </c>
      <c r="J241">
        <v>2</v>
      </c>
      <c r="K241">
        <v>10</v>
      </c>
      <c r="L241" t="s">
        <v>40</v>
      </c>
      <c r="M241" t="s">
        <v>95</v>
      </c>
      <c r="N241" t="s">
        <v>70</v>
      </c>
      <c r="O241">
        <v>4</v>
      </c>
      <c r="P241">
        <v>1</v>
      </c>
      <c r="Q241">
        <v>4</v>
      </c>
      <c r="R241" t="s">
        <v>663</v>
      </c>
      <c r="S241" t="s">
        <v>31</v>
      </c>
      <c r="T241" t="s">
        <v>32</v>
      </c>
      <c r="U241" t="s">
        <v>52</v>
      </c>
      <c r="V241" s="13">
        <v>46270</v>
      </c>
    </row>
    <row r="242" spans="1:22" x14ac:dyDescent="0.25">
      <c r="A242" t="s">
        <v>376</v>
      </c>
      <c r="B242" s="13">
        <v>46120</v>
      </c>
      <c r="C242" t="s">
        <v>22</v>
      </c>
      <c r="D242" t="s">
        <v>23</v>
      </c>
      <c r="E242" t="s">
        <v>135</v>
      </c>
      <c r="F242" t="s">
        <v>136</v>
      </c>
      <c r="G242" t="s">
        <v>35</v>
      </c>
      <c r="H242" t="s">
        <v>68</v>
      </c>
      <c r="I242">
        <v>3</v>
      </c>
      <c r="J242">
        <v>2</v>
      </c>
      <c r="K242">
        <v>6</v>
      </c>
      <c r="L242" t="s">
        <v>28</v>
      </c>
      <c r="M242" t="s">
        <v>78</v>
      </c>
      <c r="N242" t="s">
        <v>70</v>
      </c>
      <c r="O242">
        <v>2</v>
      </c>
      <c r="P242">
        <v>2</v>
      </c>
      <c r="Q242">
        <v>4</v>
      </c>
      <c r="R242" t="s">
        <v>663</v>
      </c>
      <c r="S242" t="s">
        <v>31</v>
      </c>
      <c r="T242" t="s">
        <v>61</v>
      </c>
      <c r="U242" t="s">
        <v>71</v>
      </c>
      <c r="V242" s="13">
        <v>46485</v>
      </c>
    </row>
    <row r="243" spans="1:22" x14ac:dyDescent="0.25">
      <c r="A243" t="s">
        <v>377</v>
      </c>
      <c r="B243" s="13">
        <v>46101</v>
      </c>
      <c r="C243" t="s">
        <v>64</v>
      </c>
      <c r="D243" t="s">
        <v>80</v>
      </c>
      <c r="E243" t="s">
        <v>91</v>
      </c>
      <c r="F243" t="s">
        <v>92</v>
      </c>
      <c r="G243" t="s">
        <v>35</v>
      </c>
      <c r="H243" t="s">
        <v>68</v>
      </c>
      <c r="I243">
        <v>4</v>
      </c>
      <c r="J243">
        <v>3</v>
      </c>
      <c r="K243">
        <v>12</v>
      </c>
      <c r="L243" t="s">
        <v>40</v>
      </c>
      <c r="M243" t="s">
        <v>83</v>
      </c>
      <c r="N243" t="s">
        <v>42</v>
      </c>
      <c r="O243">
        <v>3</v>
      </c>
      <c r="P243">
        <v>2</v>
      </c>
      <c r="Q243">
        <v>6</v>
      </c>
      <c r="R243" t="s">
        <v>663</v>
      </c>
      <c r="S243" t="s">
        <v>28</v>
      </c>
      <c r="T243" t="s">
        <v>32</v>
      </c>
      <c r="U243" t="s">
        <v>52</v>
      </c>
      <c r="V243" s="13">
        <v>46831</v>
      </c>
    </row>
    <row r="244" spans="1:22" x14ac:dyDescent="0.25">
      <c r="A244" t="s">
        <v>378</v>
      </c>
      <c r="B244" s="13">
        <v>45864</v>
      </c>
      <c r="C244" t="s">
        <v>73</v>
      </c>
      <c r="D244" t="s">
        <v>23</v>
      </c>
      <c r="E244" t="s">
        <v>75</v>
      </c>
      <c r="F244" t="s">
        <v>76</v>
      </c>
      <c r="G244" t="s">
        <v>73</v>
      </c>
      <c r="H244" t="s">
        <v>116</v>
      </c>
      <c r="I244">
        <v>3</v>
      </c>
      <c r="J244">
        <v>2</v>
      </c>
      <c r="K244">
        <v>6</v>
      </c>
      <c r="L244" t="s">
        <v>28</v>
      </c>
      <c r="M244" t="s">
        <v>69</v>
      </c>
      <c r="N244" t="s">
        <v>124</v>
      </c>
      <c r="O244">
        <v>1</v>
      </c>
      <c r="P244">
        <v>2</v>
      </c>
      <c r="Q244">
        <v>2</v>
      </c>
      <c r="R244" t="s">
        <v>663</v>
      </c>
      <c r="S244" t="s">
        <v>31</v>
      </c>
      <c r="T244" t="s">
        <v>61</v>
      </c>
      <c r="U244" t="s">
        <v>33</v>
      </c>
      <c r="V244" s="13">
        <v>46229</v>
      </c>
    </row>
    <row r="245" spans="1:22" x14ac:dyDescent="0.25">
      <c r="A245" t="s">
        <v>379</v>
      </c>
      <c r="B245" s="13">
        <v>45781</v>
      </c>
      <c r="C245" t="s">
        <v>35</v>
      </c>
      <c r="D245" t="s">
        <v>108</v>
      </c>
      <c r="E245" t="s">
        <v>36</v>
      </c>
      <c r="F245" t="s">
        <v>37</v>
      </c>
      <c r="G245" t="s">
        <v>38</v>
      </c>
      <c r="H245" t="s">
        <v>113</v>
      </c>
      <c r="I245">
        <v>3</v>
      </c>
      <c r="J245">
        <v>4</v>
      </c>
      <c r="K245">
        <v>12</v>
      </c>
      <c r="L245" t="s">
        <v>40</v>
      </c>
      <c r="M245" t="s">
        <v>50</v>
      </c>
      <c r="N245" t="s">
        <v>60</v>
      </c>
      <c r="O245">
        <v>3</v>
      </c>
      <c r="P245">
        <v>4</v>
      </c>
      <c r="Q245">
        <v>12</v>
      </c>
      <c r="R245" t="s">
        <v>663</v>
      </c>
      <c r="S245" t="s">
        <v>40</v>
      </c>
      <c r="T245" t="s">
        <v>32</v>
      </c>
      <c r="U245" t="s">
        <v>96</v>
      </c>
      <c r="V245" s="13">
        <v>46146</v>
      </c>
    </row>
    <row r="246" spans="1:22" x14ac:dyDescent="0.25">
      <c r="A246" t="s">
        <v>380</v>
      </c>
      <c r="B246" s="13">
        <v>45837</v>
      </c>
      <c r="C246" t="s">
        <v>35</v>
      </c>
      <c r="D246" t="s">
        <v>23</v>
      </c>
      <c r="E246" t="s">
        <v>120</v>
      </c>
      <c r="F246" t="s">
        <v>121</v>
      </c>
      <c r="G246" t="s">
        <v>35</v>
      </c>
      <c r="H246" t="s">
        <v>122</v>
      </c>
      <c r="I246">
        <v>2</v>
      </c>
      <c r="J246">
        <v>2</v>
      </c>
      <c r="K246">
        <v>4</v>
      </c>
      <c r="L246" t="s">
        <v>31</v>
      </c>
      <c r="M246" t="s">
        <v>29</v>
      </c>
      <c r="N246" t="s">
        <v>124</v>
      </c>
      <c r="O246">
        <v>1</v>
      </c>
      <c r="P246">
        <v>2</v>
      </c>
      <c r="Q246">
        <v>2</v>
      </c>
      <c r="R246" t="s">
        <v>663</v>
      </c>
      <c r="S246" t="s">
        <v>31</v>
      </c>
      <c r="T246" t="s">
        <v>43</v>
      </c>
      <c r="U246" t="s">
        <v>96</v>
      </c>
      <c r="V246" s="13">
        <v>46567</v>
      </c>
    </row>
    <row r="247" spans="1:22" x14ac:dyDescent="0.25">
      <c r="A247" t="s">
        <v>381</v>
      </c>
      <c r="B247" s="13">
        <v>45686</v>
      </c>
      <c r="C247" t="s">
        <v>22</v>
      </c>
      <c r="D247" t="s">
        <v>98</v>
      </c>
      <c r="E247" t="s">
        <v>81</v>
      </c>
      <c r="F247" t="s">
        <v>82</v>
      </c>
      <c r="G247" t="s">
        <v>81</v>
      </c>
      <c r="H247" t="s">
        <v>127</v>
      </c>
      <c r="I247">
        <v>3</v>
      </c>
      <c r="J247">
        <v>3</v>
      </c>
      <c r="K247">
        <v>9</v>
      </c>
      <c r="L247" t="s">
        <v>28</v>
      </c>
      <c r="M247" t="s">
        <v>83</v>
      </c>
      <c r="N247" t="s">
        <v>51</v>
      </c>
      <c r="O247">
        <v>1</v>
      </c>
      <c r="P247">
        <v>3</v>
      </c>
      <c r="Q247">
        <v>3</v>
      </c>
      <c r="R247" t="s">
        <v>663</v>
      </c>
      <c r="S247" t="s">
        <v>31</v>
      </c>
      <c r="T247" t="s">
        <v>32</v>
      </c>
      <c r="U247" t="s">
        <v>52</v>
      </c>
      <c r="V247" s="13">
        <v>45866</v>
      </c>
    </row>
    <row r="248" spans="1:22" x14ac:dyDescent="0.25">
      <c r="A248" t="s">
        <v>382</v>
      </c>
      <c r="B248" s="13">
        <v>45674</v>
      </c>
      <c r="C248" t="s">
        <v>35</v>
      </c>
      <c r="D248" t="s">
        <v>55</v>
      </c>
      <c r="E248" t="s">
        <v>120</v>
      </c>
      <c r="F248" t="s">
        <v>121</v>
      </c>
      <c r="G248" t="s">
        <v>35</v>
      </c>
      <c r="H248" t="s">
        <v>137</v>
      </c>
      <c r="I248">
        <v>5</v>
      </c>
      <c r="J248">
        <v>5</v>
      </c>
      <c r="K248">
        <v>25</v>
      </c>
      <c r="L248" t="s">
        <v>94</v>
      </c>
      <c r="M248" t="s">
        <v>95</v>
      </c>
      <c r="N248" t="s">
        <v>51</v>
      </c>
      <c r="O248">
        <v>5</v>
      </c>
      <c r="P248">
        <v>5</v>
      </c>
      <c r="Q248">
        <v>25</v>
      </c>
      <c r="R248" t="s">
        <v>663</v>
      </c>
      <c r="S248" t="s">
        <v>94</v>
      </c>
      <c r="T248" t="s">
        <v>61</v>
      </c>
      <c r="U248" t="s">
        <v>96</v>
      </c>
      <c r="V248" s="13">
        <v>46039</v>
      </c>
    </row>
    <row r="249" spans="1:22" x14ac:dyDescent="0.25">
      <c r="A249" t="s">
        <v>383</v>
      </c>
      <c r="B249" s="13">
        <v>45850</v>
      </c>
      <c r="C249" t="s">
        <v>22</v>
      </c>
      <c r="D249" t="s">
        <v>74</v>
      </c>
      <c r="E249" t="s">
        <v>109</v>
      </c>
      <c r="F249" t="s">
        <v>110</v>
      </c>
      <c r="G249" t="s">
        <v>111</v>
      </c>
      <c r="H249" t="s">
        <v>197</v>
      </c>
      <c r="I249">
        <v>2</v>
      </c>
      <c r="J249">
        <v>5</v>
      </c>
      <c r="K249">
        <v>10</v>
      </c>
      <c r="L249" t="s">
        <v>40</v>
      </c>
      <c r="M249" t="s">
        <v>83</v>
      </c>
      <c r="N249" t="s">
        <v>124</v>
      </c>
      <c r="O249">
        <v>2</v>
      </c>
      <c r="P249">
        <v>4</v>
      </c>
      <c r="Q249">
        <v>8</v>
      </c>
      <c r="R249" t="s">
        <v>663</v>
      </c>
      <c r="S249" t="s">
        <v>28</v>
      </c>
      <c r="T249" t="s">
        <v>43</v>
      </c>
      <c r="U249" t="s">
        <v>71</v>
      </c>
      <c r="V249" s="13">
        <v>46215</v>
      </c>
    </row>
    <row r="250" spans="1:22" x14ac:dyDescent="0.25">
      <c r="A250" t="s">
        <v>384</v>
      </c>
      <c r="B250" s="13">
        <v>45816</v>
      </c>
      <c r="C250" t="s">
        <v>22</v>
      </c>
      <c r="D250" t="s">
        <v>98</v>
      </c>
      <c r="E250" t="s">
        <v>109</v>
      </c>
      <c r="F250" t="s">
        <v>110</v>
      </c>
      <c r="G250" t="s">
        <v>111</v>
      </c>
      <c r="H250" t="s">
        <v>143</v>
      </c>
      <c r="I250">
        <v>2</v>
      </c>
      <c r="J250">
        <v>3</v>
      </c>
      <c r="K250">
        <v>6</v>
      </c>
      <c r="L250" t="s">
        <v>28</v>
      </c>
      <c r="M250" t="s">
        <v>41</v>
      </c>
      <c r="N250" t="s">
        <v>60</v>
      </c>
      <c r="O250">
        <v>1</v>
      </c>
      <c r="P250">
        <v>3</v>
      </c>
      <c r="Q250">
        <v>3</v>
      </c>
      <c r="R250" t="s">
        <v>663</v>
      </c>
      <c r="S250" t="s">
        <v>31</v>
      </c>
      <c r="T250" t="s">
        <v>43</v>
      </c>
      <c r="U250" t="s">
        <v>62</v>
      </c>
      <c r="V250" s="13">
        <v>46181</v>
      </c>
    </row>
    <row r="251" spans="1:22" x14ac:dyDescent="0.25">
      <c r="A251" t="s">
        <v>385</v>
      </c>
      <c r="B251" s="13">
        <v>45940</v>
      </c>
      <c r="C251" t="s">
        <v>85</v>
      </c>
      <c r="D251" t="s">
        <v>98</v>
      </c>
      <c r="E251" t="s">
        <v>230</v>
      </c>
      <c r="F251" t="s">
        <v>231</v>
      </c>
      <c r="G251" t="s">
        <v>232</v>
      </c>
      <c r="H251" t="s">
        <v>68</v>
      </c>
      <c r="I251">
        <v>5</v>
      </c>
      <c r="J251">
        <v>5</v>
      </c>
      <c r="K251">
        <v>25</v>
      </c>
      <c r="L251" t="s">
        <v>94</v>
      </c>
      <c r="M251" t="s">
        <v>29</v>
      </c>
      <c r="N251" t="s">
        <v>124</v>
      </c>
      <c r="O251">
        <v>4</v>
      </c>
      <c r="P251">
        <v>5</v>
      </c>
      <c r="Q251">
        <v>20</v>
      </c>
      <c r="R251" t="s">
        <v>663</v>
      </c>
      <c r="S251" t="s">
        <v>94</v>
      </c>
      <c r="T251" t="s">
        <v>43</v>
      </c>
      <c r="U251" t="s">
        <v>33</v>
      </c>
      <c r="V251" s="13">
        <v>46305</v>
      </c>
    </row>
    <row r="252" spans="1:22" x14ac:dyDescent="0.25">
      <c r="A252" t="s">
        <v>386</v>
      </c>
      <c r="B252" s="13">
        <v>46030</v>
      </c>
      <c r="C252" t="s">
        <v>73</v>
      </c>
      <c r="D252" t="s">
        <v>80</v>
      </c>
      <c r="E252" t="s">
        <v>104</v>
      </c>
      <c r="F252" t="s">
        <v>105</v>
      </c>
      <c r="G252" t="s">
        <v>73</v>
      </c>
      <c r="H252" t="s">
        <v>116</v>
      </c>
      <c r="I252">
        <v>4</v>
      </c>
      <c r="J252">
        <v>3</v>
      </c>
      <c r="K252">
        <v>12</v>
      </c>
      <c r="L252" t="s">
        <v>40</v>
      </c>
      <c r="M252" t="s">
        <v>101</v>
      </c>
      <c r="N252" t="s">
        <v>70</v>
      </c>
      <c r="O252">
        <v>3</v>
      </c>
      <c r="P252">
        <v>3</v>
      </c>
      <c r="Q252">
        <v>9</v>
      </c>
      <c r="R252" t="s">
        <v>663</v>
      </c>
      <c r="S252" t="s">
        <v>28</v>
      </c>
      <c r="T252" t="s">
        <v>43</v>
      </c>
      <c r="U252" t="s">
        <v>96</v>
      </c>
      <c r="V252" s="13">
        <v>46395</v>
      </c>
    </row>
    <row r="253" spans="1:22" x14ac:dyDescent="0.25">
      <c r="A253" t="s">
        <v>387</v>
      </c>
      <c r="B253" s="13">
        <v>45865</v>
      </c>
      <c r="C253" t="s">
        <v>85</v>
      </c>
      <c r="D253" t="s">
        <v>80</v>
      </c>
      <c r="E253" t="s">
        <v>140</v>
      </c>
      <c r="F253" t="s">
        <v>141</v>
      </c>
      <c r="G253" t="s">
        <v>142</v>
      </c>
      <c r="H253" t="s">
        <v>143</v>
      </c>
      <c r="I253">
        <v>5</v>
      </c>
      <c r="J253">
        <v>3</v>
      </c>
      <c r="K253">
        <v>15</v>
      </c>
      <c r="L253" t="s">
        <v>40</v>
      </c>
      <c r="M253" t="s">
        <v>95</v>
      </c>
      <c r="N253" t="s">
        <v>60</v>
      </c>
      <c r="O253">
        <v>4</v>
      </c>
      <c r="P253">
        <v>2</v>
      </c>
      <c r="Q253">
        <v>8</v>
      </c>
      <c r="R253" t="s">
        <v>663</v>
      </c>
      <c r="S253" t="s">
        <v>28</v>
      </c>
      <c r="T253" t="s">
        <v>61</v>
      </c>
      <c r="U253" t="s">
        <v>62</v>
      </c>
      <c r="V253" s="13">
        <v>46045</v>
      </c>
    </row>
    <row r="254" spans="1:22" x14ac:dyDescent="0.25">
      <c r="A254" t="s">
        <v>388</v>
      </c>
      <c r="B254" s="13">
        <v>45912</v>
      </c>
      <c r="C254" t="s">
        <v>85</v>
      </c>
      <c r="D254" t="s">
        <v>74</v>
      </c>
      <c r="E254" t="s">
        <v>230</v>
      </c>
      <c r="F254" t="s">
        <v>231</v>
      </c>
      <c r="G254" t="s">
        <v>232</v>
      </c>
      <c r="H254" t="s">
        <v>233</v>
      </c>
      <c r="I254">
        <v>2</v>
      </c>
      <c r="J254">
        <v>5</v>
      </c>
      <c r="K254">
        <v>10</v>
      </c>
      <c r="L254" t="s">
        <v>40</v>
      </c>
      <c r="M254" t="s">
        <v>78</v>
      </c>
      <c r="N254" t="s">
        <v>89</v>
      </c>
      <c r="O254">
        <v>2</v>
      </c>
      <c r="P254">
        <v>4</v>
      </c>
      <c r="Q254">
        <v>8</v>
      </c>
      <c r="R254" t="s">
        <v>663</v>
      </c>
      <c r="S254" t="s">
        <v>28</v>
      </c>
      <c r="T254" t="s">
        <v>43</v>
      </c>
      <c r="U254" t="s">
        <v>96</v>
      </c>
      <c r="V254" s="13">
        <v>46642</v>
      </c>
    </row>
    <row r="255" spans="1:22" x14ac:dyDescent="0.25">
      <c r="A255" t="s">
        <v>389</v>
      </c>
      <c r="B255" s="13">
        <v>46285</v>
      </c>
      <c r="C255" t="s">
        <v>22</v>
      </c>
      <c r="D255" t="s">
        <v>65</v>
      </c>
      <c r="E255" t="s">
        <v>135</v>
      </c>
      <c r="F255" t="s">
        <v>136</v>
      </c>
      <c r="G255" t="s">
        <v>35</v>
      </c>
      <c r="H255" t="s">
        <v>68</v>
      </c>
      <c r="I255">
        <v>4</v>
      </c>
      <c r="J255">
        <v>4</v>
      </c>
      <c r="K255">
        <v>16</v>
      </c>
      <c r="L255" t="s">
        <v>40</v>
      </c>
      <c r="M255" t="s">
        <v>78</v>
      </c>
      <c r="N255" t="s">
        <v>60</v>
      </c>
      <c r="O255">
        <v>4</v>
      </c>
      <c r="P255">
        <v>3</v>
      </c>
      <c r="Q255">
        <v>12</v>
      </c>
      <c r="R255" t="s">
        <v>663</v>
      </c>
      <c r="S255" t="s">
        <v>40</v>
      </c>
      <c r="T255" t="s">
        <v>32</v>
      </c>
      <c r="U255" t="s">
        <v>52</v>
      </c>
      <c r="V255" s="13">
        <v>46650</v>
      </c>
    </row>
    <row r="256" spans="1:22" x14ac:dyDescent="0.25">
      <c r="A256" t="s">
        <v>390</v>
      </c>
      <c r="B256" s="13">
        <v>45863</v>
      </c>
      <c r="C256" t="s">
        <v>22</v>
      </c>
      <c r="D256" t="s">
        <v>65</v>
      </c>
      <c r="E256" t="s">
        <v>109</v>
      </c>
      <c r="F256" t="s">
        <v>110</v>
      </c>
      <c r="G256" t="s">
        <v>111</v>
      </c>
      <c r="H256" t="s">
        <v>197</v>
      </c>
      <c r="I256">
        <v>3</v>
      </c>
      <c r="J256">
        <v>4</v>
      </c>
      <c r="K256">
        <v>12</v>
      </c>
      <c r="L256" t="s">
        <v>40</v>
      </c>
      <c r="M256" t="s">
        <v>50</v>
      </c>
      <c r="N256" t="s">
        <v>51</v>
      </c>
      <c r="O256">
        <v>2</v>
      </c>
      <c r="P256">
        <v>3</v>
      </c>
      <c r="Q256">
        <v>6</v>
      </c>
      <c r="R256" t="s">
        <v>663</v>
      </c>
      <c r="S256" t="s">
        <v>28</v>
      </c>
      <c r="T256" t="s">
        <v>43</v>
      </c>
      <c r="U256" t="s">
        <v>52</v>
      </c>
      <c r="V256" s="13">
        <v>46228</v>
      </c>
    </row>
    <row r="257" spans="1:22" x14ac:dyDescent="0.25">
      <c r="A257" t="s">
        <v>391</v>
      </c>
      <c r="B257" s="13">
        <v>45705</v>
      </c>
      <c r="C257" t="s">
        <v>64</v>
      </c>
      <c r="D257" t="s">
        <v>108</v>
      </c>
      <c r="E257" t="s">
        <v>174</v>
      </c>
      <c r="F257" t="s">
        <v>175</v>
      </c>
      <c r="G257" t="s">
        <v>176</v>
      </c>
      <c r="H257" t="s">
        <v>201</v>
      </c>
      <c r="I257">
        <v>4</v>
      </c>
      <c r="J257">
        <v>3</v>
      </c>
      <c r="K257">
        <v>12</v>
      </c>
      <c r="L257" t="s">
        <v>40</v>
      </c>
      <c r="M257" t="s">
        <v>29</v>
      </c>
      <c r="N257" t="s">
        <v>128</v>
      </c>
      <c r="O257">
        <v>3</v>
      </c>
      <c r="P257">
        <v>3</v>
      </c>
      <c r="Q257">
        <v>9</v>
      </c>
      <c r="R257" t="s">
        <v>663</v>
      </c>
      <c r="S257" t="s">
        <v>28</v>
      </c>
      <c r="T257" t="s">
        <v>61</v>
      </c>
      <c r="U257" t="s">
        <v>33</v>
      </c>
      <c r="V257" s="13">
        <v>46070</v>
      </c>
    </row>
    <row r="258" spans="1:22" x14ac:dyDescent="0.25">
      <c r="A258" t="s">
        <v>392</v>
      </c>
      <c r="B258" s="13">
        <v>45895</v>
      </c>
      <c r="C258" t="s">
        <v>22</v>
      </c>
      <c r="D258" t="s">
        <v>55</v>
      </c>
      <c r="E258" t="s">
        <v>24</v>
      </c>
      <c r="F258" t="s">
        <v>25</v>
      </c>
      <c r="G258" t="s">
        <v>26</v>
      </c>
      <c r="H258" t="s">
        <v>116</v>
      </c>
      <c r="I258">
        <v>2</v>
      </c>
      <c r="J258">
        <v>3</v>
      </c>
      <c r="K258">
        <v>6</v>
      </c>
      <c r="L258" t="s">
        <v>28</v>
      </c>
      <c r="M258" t="s">
        <v>101</v>
      </c>
      <c r="N258" t="s">
        <v>42</v>
      </c>
      <c r="O258">
        <v>1</v>
      </c>
      <c r="P258">
        <v>2</v>
      </c>
      <c r="Q258">
        <v>2</v>
      </c>
      <c r="R258" t="s">
        <v>663</v>
      </c>
      <c r="S258" t="s">
        <v>31</v>
      </c>
      <c r="T258" t="s">
        <v>32</v>
      </c>
      <c r="U258" t="s">
        <v>96</v>
      </c>
      <c r="V258" s="13">
        <v>46260</v>
      </c>
    </row>
    <row r="259" spans="1:22" x14ac:dyDescent="0.25">
      <c r="A259" t="s">
        <v>393</v>
      </c>
      <c r="B259" s="13">
        <v>46229</v>
      </c>
      <c r="C259" t="s">
        <v>73</v>
      </c>
      <c r="D259" t="s">
        <v>74</v>
      </c>
      <c r="E259" t="s">
        <v>104</v>
      </c>
      <c r="F259" t="s">
        <v>105</v>
      </c>
      <c r="G259" t="s">
        <v>73</v>
      </c>
      <c r="H259" t="s">
        <v>77</v>
      </c>
      <c r="I259">
        <v>2</v>
      </c>
      <c r="J259">
        <v>3</v>
      </c>
      <c r="K259">
        <v>6</v>
      </c>
      <c r="L259" t="s">
        <v>28</v>
      </c>
      <c r="M259" t="s">
        <v>83</v>
      </c>
      <c r="N259" t="s">
        <v>30</v>
      </c>
      <c r="O259">
        <v>1</v>
      </c>
      <c r="P259">
        <v>2</v>
      </c>
      <c r="Q259">
        <v>2</v>
      </c>
      <c r="R259" t="s">
        <v>663</v>
      </c>
      <c r="S259" t="s">
        <v>31</v>
      </c>
      <c r="T259" t="s">
        <v>43</v>
      </c>
      <c r="U259" t="s">
        <v>52</v>
      </c>
      <c r="V259" s="13">
        <v>46594</v>
      </c>
    </row>
    <row r="260" spans="1:22" x14ac:dyDescent="0.25">
      <c r="A260" t="s">
        <v>394</v>
      </c>
      <c r="B260" s="13">
        <v>45666</v>
      </c>
      <c r="C260" t="s">
        <v>22</v>
      </c>
      <c r="D260" t="s">
        <v>98</v>
      </c>
      <c r="E260" t="s">
        <v>99</v>
      </c>
      <c r="F260" t="s">
        <v>100</v>
      </c>
      <c r="G260" t="s">
        <v>35</v>
      </c>
      <c r="H260" t="s">
        <v>68</v>
      </c>
      <c r="I260">
        <v>4</v>
      </c>
      <c r="J260">
        <v>2</v>
      </c>
      <c r="K260">
        <v>8</v>
      </c>
      <c r="L260" t="s">
        <v>28</v>
      </c>
      <c r="M260" t="s">
        <v>78</v>
      </c>
      <c r="N260" t="s">
        <v>51</v>
      </c>
      <c r="O260">
        <v>3</v>
      </c>
      <c r="P260">
        <v>1</v>
      </c>
      <c r="Q260">
        <v>3</v>
      </c>
      <c r="R260" t="s">
        <v>663</v>
      </c>
      <c r="S260" t="s">
        <v>31</v>
      </c>
      <c r="T260" t="s">
        <v>43</v>
      </c>
      <c r="U260" t="s">
        <v>62</v>
      </c>
      <c r="V260" s="13">
        <v>46031</v>
      </c>
    </row>
    <row r="261" spans="1:22" x14ac:dyDescent="0.25">
      <c r="A261" t="s">
        <v>395</v>
      </c>
      <c r="B261" s="13">
        <v>45681</v>
      </c>
      <c r="C261" t="s">
        <v>108</v>
      </c>
      <c r="D261" t="s">
        <v>23</v>
      </c>
      <c r="E261" t="s">
        <v>162</v>
      </c>
      <c r="F261" t="s">
        <v>163</v>
      </c>
      <c r="G261" t="s">
        <v>164</v>
      </c>
      <c r="H261" t="s">
        <v>219</v>
      </c>
      <c r="I261">
        <v>5</v>
      </c>
      <c r="J261">
        <v>3</v>
      </c>
      <c r="K261">
        <v>15</v>
      </c>
      <c r="L261" t="s">
        <v>40</v>
      </c>
      <c r="M261" t="s">
        <v>83</v>
      </c>
      <c r="N261" t="s">
        <v>89</v>
      </c>
      <c r="O261">
        <v>4</v>
      </c>
      <c r="P261">
        <v>3</v>
      </c>
      <c r="Q261">
        <v>12</v>
      </c>
      <c r="R261" t="s">
        <v>663</v>
      </c>
      <c r="S261" t="s">
        <v>40</v>
      </c>
      <c r="T261" t="s">
        <v>32</v>
      </c>
      <c r="U261" t="s">
        <v>62</v>
      </c>
      <c r="V261" s="13">
        <v>46046</v>
      </c>
    </row>
    <row r="262" spans="1:22" x14ac:dyDescent="0.25">
      <c r="A262" t="s">
        <v>396</v>
      </c>
      <c r="B262" s="13">
        <v>45944</v>
      </c>
      <c r="C262" t="s">
        <v>35</v>
      </c>
      <c r="D262" t="s">
        <v>74</v>
      </c>
      <c r="E262" t="s">
        <v>36</v>
      </c>
      <c r="F262" t="s">
        <v>37</v>
      </c>
      <c r="G262" t="s">
        <v>38</v>
      </c>
      <c r="H262" t="s">
        <v>113</v>
      </c>
      <c r="I262">
        <v>5</v>
      </c>
      <c r="J262">
        <v>4</v>
      </c>
      <c r="K262">
        <v>20</v>
      </c>
      <c r="L262" t="s">
        <v>94</v>
      </c>
      <c r="M262" t="s">
        <v>95</v>
      </c>
      <c r="N262" t="s">
        <v>42</v>
      </c>
      <c r="O262">
        <v>4</v>
      </c>
      <c r="P262">
        <v>4</v>
      </c>
      <c r="Q262">
        <v>16</v>
      </c>
      <c r="R262" t="s">
        <v>663</v>
      </c>
      <c r="S262" t="s">
        <v>40</v>
      </c>
      <c r="T262" t="s">
        <v>61</v>
      </c>
      <c r="U262" t="s">
        <v>52</v>
      </c>
      <c r="V262" s="13">
        <v>46309</v>
      </c>
    </row>
    <row r="263" spans="1:22" x14ac:dyDescent="0.25">
      <c r="A263" t="s">
        <v>397</v>
      </c>
      <c r="B263" s="13">
        <v>45946</v>
      </c>
      <c r="C263" t="s">
        <v>64</v>
      </c>
      <c r="D263" t="s">
        <v>65</v>
      </c>
      <c r="E263" t="s">
        <v>66</v>
      </c>
      <c r="F263" t="s">
        <v>67</v>
      </c>
      <c r="G263" t="s">
        <v>35</v>
      </c>
      <c r="H263" t="s">
        <v>68</v>
      </c>
      <c r="I263">
        <v>2</v>
      </c>
      <c r="J263">
        <v>3</v>
      </c>
      <c r="K263">
        <v>6</v>
      </c>
      <c r="L263" t="s">
        <v>28</v>
      </c>
      <c r="M263" t="s">
        <v>50</v>
      </c>
      <c r="N263" t="s">
        <v>42</v>
      </c>
      <c r="O263">
        <v>1</v>
      </c>
      <c r="P263">
        <v>2</v>
      </c>
      <c r="Q263">
        <v>2</v>
      </c>
      <c r="R263" t="s">
        <v>663</v>
      </c>
      <c r="S263" t="s">
        <v>31</v>
      </c>
      <c r="T263" t="s">
        <v>61</v>
      </c>
      <c r="U263" t="s">
        <v>33</v>
      </c>
      <c r="V263" s="13">
        <v>46311</v>
      </c>
    </row>
    <row r="264" spans="1:22" x14ac:dyDescent="0.25">
      <c r="A264" t="s">
        <v>398</v>
      </c>
      <c r="B264" s="13">
        <v>46103</v>
      </c>
      <c r="C264" t="s">
        <v>85</v>
      </c>
      <c r="D264" t="s">
        <v>98</v>
      </c>
      <c r="E264" t="s">
        <v>140</v>
      </c>
      <c r="F264" t="s">
        <v>141</v>
      </c>
      <c r="G264" t="s">
        <v>142</v>
      </c>
      <c r="H264" t="s">
        <v>153</v>
      </c>
      <c r="I264">
        <v>4</v>
      </c>
      <c r="J264">
        <v>3</v>
      </c>
      <c r="K264">
        <v>12</v>
      </c>
      <c r="L264" t="s">
        <v>40</v>
      </c>
      <c r="M264" t="s">
        <v>50</v>
      </c>
      <c r="N264" t="s">
        <v>106</v>
      </c>
      <c r="O264">
        <v>4</v>
      </c>
      <c r="P264">
        <v>2</v>
      </c>
      <c r="Q264">
        <v>8</v>
      </c>
      <c r="R264" t="s">
        <v>663</v>
      </c>
      <c r="S264" t="s">
        <v>28</v>
      </c>
      <c r="T264" t="s">
        <v>43</v>
      </c>
      <c r="U264" t="s">
        <v>71</v>
      </c>
      <c r="V264" s="13">
        <v>46468</v>
      </c>
    </row>
    <row r="265" spans="1:22" x14ac:dyDescent="0.25">
      <c r="A265" t="s">
        <v>399</v>
      </c>
      <c r="B265" s="13">
        <v>45681</v>
      </c>
      <c r="C265" t="s">
        <v>73</v>
      </c>
      <c r="D265" t="s">
        <v>74</v>
      </c>
      <c r="E265" t="s">
        <v>75</v>
      </c>
      <c r="F265" t="s">
        <v>76</v>
      </c>
      <c r="G265" t="s">
        <v>73</v>
      </c>
      <c r="H265" t="s">
        <v>116</v>
      </c>
      <c r="I265">
        <v>5</v>
      </c>
      <c r="J265">
        <v>4</v>
      </c>
      <c r="K265">
        <v>20</v>
      </c>
      <c r="L265" t="s">
        <v>94</v>
      </c>
      <c r="M265" t="s">
        <v>50</v>
      </c>
      <c r="N265" t="s">
        <v>51</v>
      </c>
      <c r="O265">
        <v>4</v>
      </c>
      <c r="P265">
        <v>3</v>
      </c>
      <c r="Q265">
        <v>12</v>
      </c>
      <c r="R265" t="s">
        <v>663</v>
      </c>
      <c r="S265" t="s">
        <v>40</v>
      </c>
      <c r="T265" t="s">
        <v>61</v>
      </c>
      <c r="U265" t="s">
        <v>71</v>
      </c>
      <c r="V265" s="13">
        <v>46411</v>
      </c>
    </row>
    <row r="266" spans="1:22" x14ac:dyDescent="0.25">
      <c r="A266" t="s">
        <v>400</v>
      </c>
      <c r="B266" s="13">
        <v>45999</v>
      </c>
      <c r="C266" t="s">
        <v>108</v>
      </c>
      <c r="D266" t="s">
        <v>108</v>
      </c>
      <c r="E266" t="s">
        <v>162</v>
      </c>
      <c r="F266" t="s">
        <v>163</v>
      </c>
      <c r="G266" t="s">
        <v>164</v>
      </c>
      <c r="H266" t="s">
        <v>68</v>
      </c>
      <c r="I266">
        <v>4</v>
      </c>
      <c r="J266">
        <v>5</v>
      </c>
      <c r="K266">
        <v>20</v>
      </c>
      <c r="L266" t="s">
        <v>94</v>
      </c>
      <c r="M266" t="s">
        <v>69</v>
      </c>
      <c r="N266" t="s">
        <v>128</v>
      </c>
      <c r="O266">
        <v>2</v>
      </c>
      <c r="P266">
        <v>4</v>
      </c>
      <c r="Q266">
        <v>8</v>
      </c>
      <c r="R266" t="s">
        <v>663</v>
      </c>
      <c r="S266" t="s">
        <v>28</v>
      </c>
      <c r="T266" t="s">
        <v>61</v>
      </c>
      <c r="U266" t="s">
        <v>52</v>
      </c>
      <c r="V266" s="13">
        <v>46179</v>
      </c>
    </row>
    <row r="267" spans="1:22" x14ac:dyDescent="0.25">
      <c r="A267" t="s">
        <v>401</v>
      </c>
      <c r="B267" s="13">
        <v>45753</v>
      </c>
      <c r="C267" t="s">
        <v>22</v>
      </c>
      <c r="D267" t="s">
        <v>65</v>
      </c>
      <c r="E267" t="s">
        <v>24</v>
      </c>
      <c r="F267" t="s">
        <v>25</v>
      </c>
      <c r="G267" t="s">
        <v>26</v>
      </c>
      <c r="H267" t="s">
        <v>223</v>
      </c>
      <c r="I267">
        <v>2</v>
      </c>
      <c r="J267">
        <v>4</v>
      </c>
      <c r="K267">
        <v>8</v>
      </c>
      <c r="L267" t="s">
        <v>28</v>
      </c>
      <c r="M267" t="s">
        <v>95</v>
      </c>
      <c r="N267" t="s">
        <v>106</v>
      </c>
      <c r="O267">
        <v>2</v>
      </c>
      <c r="P267">
        <v>3</v>
      </c>
      <c r="Q267">
        <v>6</v>
      </c>
      <c r="R267" t="s">
        <v>663</v>
      </c>
      <c r="S267" t="s">
        <v>28</v>
      </c>
      <c r="T267" t="s">
        <v>32</v>
      </c>
      <c r="U267" t="s">
        <v>96</v>
      </c>
      <c r="V267" s="13">
        <v>45933</v>
      </c>
    </row>
    <row r="268" spans="1:22" x14ac:dyDescent="0.25">
      <c r="A268" t="s">
        <v>402</v>
      </c>
      <c r="B268" s="13">
        <v>46242</v>
      </c>
      <c r="C268" t="s">
        <v>22</v>
      </c>
      <c r="D268" t="s">
        <v>55</v>
      </c>
      <c r="E268" t="s">
        <v>24</v>
      </c>
      <c r="F268" t="s">
        <v>25</v>
      </c>
      <c r="G268" t="s">
        <v>26</v>
      </c>
      <c r="H268" t="s">
        <v>27</v>
      </c>
      <c r="I268">
        <v>4</v>
      </c>
      <c r="J268">
        <v>4</v>
      </c>
      <c r="K268">
        <v>16</v>
      </c>
      <c r="L268" t="s">
        <v>40</v>
      </c>
      <c r="M268" t="s">
        <v>29</v>
      </c>
      <c r="N268" t="s">
        <v>51</v>
      </c>
      <c r="O268">
        <v>4</v>
      </c>
      <c r="P268">
        <v>3</v>
      </c>
      <c r="Q268">
        <v>12</v>
      </c>
      <c r="R268" t="s">
        <v>663</v>
      </c>
      <c r="S268" t="s">
        <v>40</v>
      </c>
      <c r="T268" t="s">
        <v>61</v>
      </c>
      <c r="U268" t="s">
        <v>52</v>
      </c>
      <c r="V268" s="13">
        <v>46422</v>
      </c>
    </row>
    <row r="269" spans="1:22" x14ac:dyDescent="0.25">
      <c r="A269" t="s">
        <v>403</v>
      </c>
      <c r="B269" s="13">
        <v>46255</v>
      </c>
      <c r="C269" t="s">
        <v>73</v>
      </c>
      <c r="D269" t="s">
        <v>74</v>
      </c>
      <c r="E269" t="s">
        <v>75</v>
      </c>
      <c r="F269" t="s">
        <v>76</v>
      </c>
      <c r="G269" t="s">
        <v>73</v>
      </c>
      <c r="H269" t="s">
        <v>116</v>
      </c>
      <c r="I269">
        <v>5</v>
      </c>
      <c r="J269">
        <v>4</v>
      </c>
      <c r="K269">
        <v>20</v>
      </c>
      <c r="L269" t="s">
        <v>94</v>
      </c>
      <c r="M269" t="s">
        <v>50</v>
      </c>
      <c r="N269" t="s">
        <v>89</v>
      </c>
      <c r="O269">
        <v>4</v>
      </c>
      <c r="P269">
        <v>4</v>
      </c>
      <c r="Q269">
        <v>16</v>
      </c>
      <c r="R269" t="s">
        <v>663</v>
      </c>
      <c r="S269" t="s">
        <v>40</v>
      </c>
      <c r="T269" t="s">
        <v>61</v>
      </c>
      <c r="U269" t="s">
        <v>96</v>
      </c>
      <c r="V269" s="13">
        <v>46435</v>
      </c>
    </row>
    <row r="270" spans="1:22" x14ac:dyDescent="0.25">
      <c r="A270" t="s">
        <v>404</v>
      </c>
      <c r="B270" s="13">
        <v>46238</v>
      </c>
      <c r="C270" t="s">
        <v>73</v>
      </c>
      <c r="D270" t="s">
        <v>55</v>
      </c>
      <c r="E270" t="s">
        <v>75</v>
      </c>
      <c r="F270" t="s">
        <v>76</v>
      </c>
      <c r="G270" t="s">
        <v>73</v>
      </c>
      <c r="H270" t="s">
        <v>116</v>
      </c>
      <c r="I270">
        <v>4</v>
      </c>
      <c r="J270">
        <v>5</v>
      </c>
      <c r="K270">
        <v>20</v>
      </c>
      <c r="L270" t="s">
        <v>94</v>
      </c>
      <c r="M270" t="s">
        <v>83</v>
      </c>
      <c r="N270" t="s">
        <v>128</v>
      </c>
      <c r="O270">
        <v>3</v>
      </c>
      <c r="P270">
        <v>5</v>
      </c>
      <c r="Q270">
        <v>15</v>
      </c>
      <c r="R270" t="s">
        <v>663</v>
      </c>
      <c r="S270" t="s">
        <v>40</v>
      </c>
      <c r="T270" t="s">
        <v>61</v>
      </c>
      <c r="U270" t="s">
        <v>71</v>
      </c>
      <c r="V270" s="13">
        <v>46418</v>
      </c>
    </row>
    <row r="271" spans="1:22" x14ac:dyDescent="0.25">
      <c r="A271" t="s">
        <v>405</v>
      </c>
      <c r="B271" s="13">
        <v>46032</v>
      </c>
      <c r="C271" t="s">
        <v>64</v>
      </c>
      <c r="D271" t="s">
        <v>80</v>
      </c>
      <c r="E271" t="s">
        <v>174</v>
      </c>
      <c r="F271" t="s">
        <v>175</v>
      </c>
      <c r="G271" t="s">
        <v>176</v>
      </c>
      <c r="H271" t="s">
        <v>201</v>
      </c>
      <c r="I271">
        <v>2</v>
      </c>
      <c r="J271">
        <v>4</v>
      </c>
      <c r="K271">
        <v>8</v>
      </c>
      <c r="L271" t="s">
        <v>28</v>
      </c>
      <c r="M271" t="s">
        <v>101</v>
      </c>
      <c r="N271" t="s">
        <v>102</v>
      </c>
      <c r="O271">
        <v>1</v>
      </c>
      <c r="P271">
        <v>4</v>
      </c>
      <c r="Q271">
        <v>4</v>
      </c>
      <c r="R271" t="s">
        <v>663</v>
      </c>
      <c r="S271" t="s">
        <v>31</v>
      </c>
      <c r="T271" t="s">
        <v>32</v>
      </c>
      <c r="U271" t="s">
        <v>33</v>
      </c>
      <c r="V271" s="13">
        <v>46212</v>
      </c>
    </row>
    <row r="272" spans="1:22" x14ac:dyDescent="0.25">
      <c r="A272" t="s">
        <v>406</v>
      </c>
      <c r="B272" s="13">
        <v>46061</v>
      </c>
      <c r="C272" t="s">
        <v>85</v>
      </c>
      <c r="D272" t="s">
        <v>80</v>
      </c>
      <c r="E272" t="s">
        <v>140</v>
      </c>
      <c r="F272" t="s">
        <v>141</v>
      </c>
      <c r="G272" t="s">
        <v>142</v>
      </c>
      <c r="H272" t="s">
        <v>153</v>
      </c>
      <c r="I272">
        <v>5</v>
      </c>
      <c r="J272">
        <v>2</v>
      </c>
      <c r="K272">
        <v>10</v>
      </c>
      <c r="L272" t="s">
        <v>40</v>
      </c>
      <c r="M272" t="s">
        <v>95</v>
      </c>
      <c r="N272" t="s">
        <v>51</v>
      </c>
      <c r="O272">
        <v>3</v>
      </c>
      <c r="P272">
        <v>2</v>
      </c>
      <c r="Q272">
        <v>6</v>
      </c>
      <c r="R272" t="s">
        <v>663</v>
      </c>
      <c r="S272" t="s">
        <v>28</v>
      </c>
      <c r="T272" t="s">
        <v>61</v>
      </c>
      <c r="U272" t="s">
        <v>33</v>
      </c>
      <c r="V272" s="13">
        <v>46426</v>
      </c>
    </row>
    <row r="273" spans="1:22" x14ac:dyDescent="0.25">
      <c r="A273" t="s">
        <v>407</v>
      </c>
      <c r="B273" s="13">
        <v>46157</v>
      </c>
      <c r="C273" t="s">
        <v>64</v>
      </c>
      <c r="D273" t="s">
        <v>98</v>
      </c>
      <c r="E273" t="s">
        <v>91</v>
      </c>
      <c r="F273" t="s">
        <v>92</v>
      </c>
      <c r="G273" t="s">
        <v>35</v>
      </c>
      <c r="H273" t="s">
        <v>68</v>
      </c>
      <c r="I273">
        <v>2</v>
      </c>
      <c r="J273">
        <v>2</v>
      </c>
      <c r="K273">
        <v>4</v>
      </c>
      <c r="L273" t="s">
        <v>31</v>
      </c>
      <c r="M273" t="s">
        <v>41</v>
      </c>
      <c r="N273" t="s">
        <v>70</v>
      </c>
      <c r="O273">
        <v>1</v>
      </c>
      <c r="P273">
        <v>1</v>
      </c>
      <c r="Q273">
        <v>1</v>
      </c>
      <c r="R273" t="s">
        <v>663</v>
      </c>
      <c r="S273" t="s">
        <v>31</v>
      </c>
      <c r="T273" t="s">
        <v>61</v>
      </c>
      <c r="U273" t="s">
        <v>62</v>
      </c>
      <c r="V273" s="13">
        <v>46522</v>
      </c>
    </row>
    <row r="274" spans="1:22" x14ac:dyDescent="0.25">
      <c r="A274" t="s">
        <v>408</v>
      </c>
      <c r="B274" s="13">
        <v>46118</v>
      </c>
      <c r="C274" t="s">
        <v>45</v>
      </c>
      <c r="D274" t="s">
        <v>80</v>
      </c>
      <c r="E274" t="s">
        <v>46</v>
      </c>
      <c r="F274" t="s">
        <v>47</v>
      </c>
      <c r="G274" t="s">
        <v>48</v>
      </c>
      <c r="H274" t="s">
        <v>49</v>
      </c>
      <c r="I274">
        <v>4</v>
      </c>
      <c r="J274">
        <v>5</v>
      </c>
      <c r="K274">
        <v>20</v>
      </c>
      <c r="L274" t="s">
        <v>94</v>
      </c>
      <c r="M274" t="s">
        <v>69</v>
      </c>
      <c r="N274" t="s">
        <v>42</v>
      </c>
      <c r="O274">
        <v>3</v>
      </c>
      <c r="P274">
        <v>4</v>
      </c>
      <c r="Q274">
        <v>12</v>
      </c>
      <c r="R274" t="s">
        <v>663</v>
      </c>
      <c r="S274" t="s">
        <v>40</v>
      </c>
      <c r="T274" t="s">
        <v>43</v>
      </c>
      <c r="U274" t="s">
        <v>52</v>
      </c>
      <c r="V274" s="13">
        <v>46483</v>
      </c>
    </row>
    <row r="275" spans="1:22" x14ac:dyDescent="0.25">
      <c r="A275" t="s">
        <v>409</v>
      </c>
      <c r="B275" s="13">
        <v>46190</v>
      </c>
      <c r="C275" t="s">
        <v>35</v>
      </c>
      <c r="D275" t="s">
        <v>74</v>
      </c>
      <c r="E275" t="s">
        <v>120</v>
      </c>
      <c r="F275" t="s">
        <v>121</v>
      </c>
      <c r="G275" t="s">
        <v>35</v>
      </c>
      <c r="H275" t="s">
        <v>68</v>
      </c>
      <c r="I275">
        <v>3</v>
      </c>
      <c r="J275">
        <v>2</v>
      </c>
      <c r="K275">
        <v>6</v>
      </c>
      <c r="L275" t="s">
        <v>28</v>
      </c>
      <c r="M275" t="s">
        <v>83</v>
      </c>
      <c r="N275" t="s">
        <v>128</v>
      </c>
      <c r="O275">
        <v>2</v>
      </c>
      <c r="P275">
        <v>1</v>
      </c>
      <c r="Q275">
        <v>2</v>
      </c>
      <c r="R275" t="s">
        <v>663</v>
      </c>
      <c r="S275" t="s">
        <v>31</v>
      </c>
      <c r="T275" t="s">
        <v>43</v>
      </c>
      <c r="U275" t="s">
        <v>33</v>
      </c>
      <c r="V275" s="13">
        <v>46555</v>
      </c>
    </row>
    <row r="276" spans="1:22" x14ac:dyDescent="0.25">
      <c r="A276" t="s">
        <v>410</v>
      </c>
      <c r="B276" s="13">
        <v>46307</v>
      </c>
      <c r="C276" t="s">
        <v>54</v>
      </c>
      <c r="D276" t="s">
        <v>98</v>
      </c>
      <c r="E276" t="s">
        <v>56</v>
      </c>
      <c r="F276" t="s">
        <v>57</v>
      </c>
      <c r="G276" t="s">
        <v>58</v>
      </c>
      <c r="H276" t="s">
        <v>59</v>
      </c>
      <c r="I276">
        <v>3</v>
      </c>
      <c r="J276">
        <v>2</v>
      </c>
      <c r="K276">
        <v>6</v>
      </c>
      <c r="L276" t="s">
        <v>28</v>
      </c>
      <c r="M276" t="s">
        <v>101</v>
      </c>
      <c r="N276" t="s">
        <v>70</v>
      </c>
      <c r="O276">
        <v>1</v>
      </c>
      <c r="P276">
        <v>2</v>
      </c>
      <c r="Q276">
        <v>2</v>
      </c>
      <c r="R276" t="s">
        <v>663</v>
      </c>
      <c r="S276" t="s">
        <v>31</v>
      </c>
      <c r="T276" t="s">
        <v>32</v>
      </c>
      <c r="U276" t="s">
        <v>96</v>
      </c>
      <c r="V276" s="13">
        <v>47037</v>
      </c>
    </row>
    <row r="277" spans="1:22" x14ac:dyDescent="0.25">
      <c r="A277" t="s">
        <v>624</v>
      </c>
      <c r="B277" s="13">
        <v>45954</v>
      </c>
      <c r="C277" t="s">
        <v>22</v>
      </c>
      <c r="D277" t="s">
        <v>98</v>
      </c>
      <c r="E277" t="s">
        <v>99</v>
      </c>
      <c r="F277" t="s">
        <v>100</v>
      </c>
      <c r="G277" t="s">
        <v>35</v>
      </c>
      <c r="H277" t="s">
        <v>122</v>
      </c>
      <c r="I277">
        <v>2</v>
      </c>
      <c r="J277">
        <v>3</v>
      </c>
      <c r="K277">
        <v>6</v>
      </c>
      <c r="L277" t="s">
        <v>28</v>
      </c>
      <c r="M277" t="s">
        <v>41</v>
      </c>
      <c r="N277" t="s">
        <v>106</v>
      </c>
      <c r="O277">
        <v>2</v>
      </c>
      <c r="P277">
        <v>3</v>
      </c>
      <c r="Q277">
        <v>6</v>
      </c>
      <c r="R277" t="s">
        <v>663</v>
      </c>
      <c r="S277" t="s">
        <v>28</v>
      </c>
      <c r="T277" t="s">
        <v>43</v>
      </c>
      <c r="U277" t="s">
        <v>71</v>
      </c>
      <c r="V277" s="13">
        <v>46319</v>
      </c>
    </row>
    <row r="278" spans="1:22" x14ac:dyDescent="0.25">
      <c r="A278" t="s">
        <v>412</v>
      </c>
      <c r="B278" s="13">
        <v>46109</v>
      </c>
      <c r="C278" t="s">
        <v>73</v>
      </c>
      <c r="D278" t="s">
        <v>55</v>
      </c>
      <c r="E278" t="s">
        <v>75</v>
      </c>
      <c r="F278" t="s">
        <v>76</v>
      </c>
      <c r="G278" t="s">
        <v>73</v>
      </c>
      <c r="H278" t="s">
        <v>68</v>
      </c>
      <c r="I278">
        <v>3</v>
      </c>
      <c r="J278">
        <v>4</v>
      </c>
      <c r="K278">
        <v>12</v>
      </c>
      <c r="L278" t="s">
        <v>40</v>
      </c>
      <c r="M278" t="s">
        <v>83</v>
      </c>
      <c r="N278" t="s">
        <v>124</v>
      </c>
      <c r="O278">
        <v>3</v>
      </c>
      <c r="P278">
        <v>3</v>
      </c>
      <c r="Q278">
        <v>9</v>
      </c>
      <c r="R278" t="s">
        <v>663</v>
      </c>
      <c r="S278" t="s">
        <v>28</v>
      </c>
      <c r="T278" t="s">
        <v>43</v>
      </c>
      <c r="U278" t="s">
        <v>33</v>
      </c>
      <c r="V278" s="13">
        <v>46289</v>
      </c>
    </row>
    <row r="279" spans="1:22" x14ac:dyDescent="0.25">
      <c r="A279" t="s">
        <v>413</v>
      </c>
      <c r="B279" s="13">
        <v>46120</v>
      </c>
      <c r="C279" t="s">
        <v>85</v>
      </c>
      <c r="D279" t="s">
        <v>23</v>
      </c>
      <c r="E279" t="s">
        <v>86</v>
      </c>
      <c r="F279" t="s">
        <v>87</v>
      </c>
      <c r="G279" t="s">
        <v>48</v>
      </c>
      <c r="H279" t="s">
        <v>88</v>
      </c>
      <c r="I279">
        <v>5</v>
      </c>
      <c r="J279">
        <v>3</v>
      </c>
      <c r="K279">
        <v>15</v>
      </c>
      <c r="L279" t="s">
        <v>40</v>
      </c>
      <c r="M279" t="s">
        <v>78</v>
      </c>
      <c r="N279" t="s">
        <v>42</v>
      </c>
      <c r="O279">
        <v>5</v>
      </c>
      <c r="P279">
        <v>2</v>
      </c>
      <c r="Q279">
        <v>10</v>
      </c>
      <c r="R279" t="s">
        <v>663</v>
      </c>
      <c r="S279" t="s">
        <v>40</v>
      </c>
      <c r="T279" t="s">
        <v>32</v>
      </c>
      <c r="U279" t="s">
        <v>62</v>
      </c>
      <c r="V279" s="13">
        <v>46485</v>
      </c>
    </row>
    <row r="280" spans="1:22" x14ac:dyDescent="0.25">
      <c r="A280" t="s">
        <v>414</v>
      </c>
      <c r="B280" s="13">
        <v>46324</v>
      </c>
      <c r="C280" t="s">
        <v>22</v>
      </c>
      <c r="D280" t="s">
        <v>80</v>
      </c>
      <c r="E280" t="s">
        <v>135</v>
      </c>
      <c r="F280" t="s">
        <v>136</v>
      </c>
      <c r="G280" t="s">
        <v>35</v>
      </c>
      <c r="H280" t="s">
        <v>137</v>
      </c>
      <c r="I280">
        <v>4</v>
      </c>
      <c r="J280">
        <v>4</v>
      </c>
      <c r="K280">
        <v>16</v>
      </c>
      <c r="L280" t="s">
        <v>40</v>
      </c>
      <c r="M280" t="s">
        <v>78</v>
      </c>
      <c r="N280" t="s">
        <v>51</v>
      </c>
      <c r="O280">
        <v>3</v>
      </c>
      <c r="P280">
        <v>4</v>
      </c>
      <c r="Q280">
        <v>12</v>
      </c>
      <c r="R280" t="s">
        <v>663</v>
      </c>
      <c r="S280" t="s">
        <v>40</v>
      </c>
      <c r="T280" t="s">
        <v>32</v>
      </c>
      <c r="U280" t="s">
        <v>96</v>
      </c>
      <c r="V280" s="13">
        <v>46504</v>
      </c>
    </row>
    <row r="281" spans="1:22" x14ac:dyDescent="0.25">
      <c r="A281" t="s">
        <v>415</v>
      </c>
      <c r="B281" s="13">
        <v>45991</v>
      </c>
      <c r="C281" t="s">
        <v>45</v>
      </c>
      <c r="D281" t="s">
        <v>98</v>
      </c>
      <c r="E281" t="s">
        <v>46</v>
      </c>
      <c r="F281" t="s">
        <v>47</v>
      </c>
      <c r="G281" t="s">
        <v>48</v>
      </c>
      <c r="H281" t="s">
        <v>39</v>
      </c>
      <c r="I281">
        <v>2</v>
      </c>
      <c r="J281">
        <v>4</v>
      </c>
      <c r="K281">
        <v>8</v>
      </c>
      <c r="L281" t="s">
        <v>28</v>
      </c>
      <c r="M281" t="s">
        <v>83</v>
      </c>
      <c r="N281" t="s">
        <v>128</v>
      </c>
      <c r="O281">
        <v>1</v>
      </c>
      <c r="P281">
        <v>3</v>
      </c>
      <c r="Q281">
        <v>3</v>
      </c>
      <c r="R281" t="s">
        <v>663</v>
      </c>
      <c r="S281" t="s">
        <v>31</v>
      </c>
      <c r="T281" t="s">
        <v>61</v>
      </c>
      <c r="U281" t="s">
        <v>62</v>
      </c>
      <c r="V281" s="13">
        <v>46171</v>
      </c>
    </row>
    <row r="282" spans="1:22" x14ac:dyDescent="0.25">
      <c r="A282" t="s">
        <v>416</v>
      </c>
      <c r="B282" s="13">
        <v>45690</v>
      </c>
      <c r="C282" t="s">
        <v>73</v>
      </c>
      <c r="D282" t="s">
        <v>98</v>
      </c>
      <c r="E282" t="s">
        <v>75</v>
      </c>
      <c r="F282" t="s">
        <v>76</v>
      </c>
      <c r="G282" t="s">
        <v>73</v>
      </c>
      <c r="H282" t="s">
        <v>77</v>
      </c>
      <c r="I282">
        <v>3</v>
      </c>
      <c r="J282">
        <v>3</v>
      </c>
      <c r="K282">
        <v>9</v>
      </c>
      <c r="L282" t="s">
        <v>28</v>
      </c>
      <c r="M282" t="s">
        <v>50</v>
      </c>
      <c r="N282" t="s">
        <v>124</v>
      </c>
      <c r="O282">
        <v>2</v>
      </c>
      <c r="P282">
        <v>2</v>
      </c>
      <c r="Q282">
        <v>4</v>
      </c>
      <c r="R282" t="s">
        <v>663</v>
      </c>
      <c r="S282" t="s">
        <v>31</v>
      </c>
      <c r="T282" t="s">
        <v>32</v>
      </c>
      <c r="U282" t="s">
        <v>96</v>
      </c>
      <c r="V282" s="13">
        <v>46420</v>
      </c>
    </row>
    <row r="283" spans="1:22" x14ac:dyDescent="0.25">
      <c r="A283" t="s">
        <v>623</v>
      </c>
      <c r="B283" s="13">
        <v>46381</v>
      </c>
      <c r="C283" t="s">
        <v>54</v>
      </c>
      <c r="D283" t="s">
        <v>65</v>
      </c>
      <c r="E283" t="s">
        <v>56</v>
      </c>
      <c r="F283" t="s">
        <v>57</v>
      </c>
      <c r="G283" t="s">
        <v>58</v>
      </c>
      <c r="H283" t="s">
        <v>209</v>
      </c>
      <c r="I283">
        <v>4</v>
      </c>
      <c r="J283">
        <v>4</v>
      </c>
      <c r="K283">
        <v>16</v>
      </c>
      <c r="L283" t="s">
        <v>40</v>
      </c>
      <c r="M283" t="s">
        <v>29</v>
      </c>
      <c r="N283" t="s">
        <v>102</v>
      </c>
      <c r="O283">
        <v>3</v>
      </c>
      <c r="P283">
        <v>4</v>
      </c>
      <c r="Q283">
        <v>12</v>
      </c>
      <c r="R283" t="s">
        <v>663</v>
      </c>
      <c r="S283" t="s">
        <v>40</v>
      </c>
      <c r="T283" t="s">
        <v>32</v>
      </c>
      <c r="U283" t="s">
        <v>52</v>
      </c>
      <c r="V283" s="13">
        <v>46561</v>
      </c>
    </row>
    <row r="284" spans="1:22" x14ac:dyDescent="0.25">
      <c r="A284" t="s">
        <v>418</v>
      </c>
      <c r="B284" s="13">
        <v>46175</v>
      </c>
      <c r="C284" t="s">
        <v>22</v>
      </c>
      <c r="D284" t="s">
        <v>74</v>
      </c>
      <c r="E284" t="s">
        <v>24</v>
      </c>
      <c r="F284" t="s">
        <v>25</v>
      </c>
      <c r="G284" t="s">
        <v>26</v>
      </c>
      <c r="H284" t="s">
        <v>27</v>
      </c>
      <c r="I284">
        <v>5</v>
      </c>
      <c r="J284">
        <v>5</v>
      </c>
      <c r="K284">
        <v>25</v>
      </c>
      <c r="L284" t="s">
        <v>94</v>
      </c>
      <c r="M284" t="s">
        <v>83</v>
      </c>
      <c r="N284" t="s">
        <v>128</v>
      </c>
      <c r="O284">
        <v>4</v>
      </c>
      <c r="P284">
        <v>5</v>
      </c>
      <c r="Q284">
        <v>20</v>
      </c>
      <c r="R284" t="s">
        <v>663</v>
      </c>
      <c r="S284" t="s">
        <v>94</v>
      </c>
      <c r="T284" t="s">
        <v>43</v>
      </c>
      <c r="U284" t="s">
        <v>96</v>
      </c>
      <c r="V284" s="13">
        <v>46540</v>
      </c>
    </row>
    <row r="285" spans="1:22" x14ac:dyDescent="0.25">
      <c r="A285" t="s">
        <v>622</v>
      </c>
      <c r="B285" s="13">
        <v>45757</v>
      </c>
      <c r="C285" t="s">
        <v>108</v>
      </c>
      <c r="D285" t="s">
        <v>108</v>
      </c>
      <c r="E285" t="s">
        <v>162</v>
      </c>
      <c r="F285" t="s">
        <v>163</v>
      </c>
      <c r="G285" t="s">
        <v>164</v>
      </c>
      <c r="H285" t="s">
        <v>219</v>
      </c>
      <c r="I285">
        <v>4</v>
      </c>
      <c r="J285">
        <v>3</v>
      </c>
      <c r="K285">
        <v>12</v>
      </c>
      <c r="L285" t="s">
        <v>40</v>
      </c>
      <c r="M285" t="s">
        <v>83</v>
      </c>
      <c r="N285" t="s">
        <v>128</v>
      </c>
      <c r="O285">
        <v>3</v>
      </c>
      <c r="P285">
        <v>3</v>
      </c>
      <c r="Q285">
        <v>9</v>
      </c>
      <c r="R285" t="s">
        <v>663</v>
      </c>
      <c r="S285" t="s">
        <v>28</v>
      </c>
      <c r="T285" t="s">
        <v>32</v>
      </c>
      <c r="U285" t="s">
        <v>33</v>
      </c>
      <c r="V285" s="13">
        <v>45937</v>
      </c>
    </row>
    <row r="286" spans="1:22" x14ac:dyDescent="0.25">
      <c r="A286" t="s">
        <v>420</v>
      </c>
      <c r="B286" s="13">
        <v>45778</v>
      </c>
      <c r="C286" t="s">
        <v>35</v>
      </c>
      <c r="D286" t="s">
        <v>80</v>
      </c>
      <c r="E286" t="s">
        <v>36</v>
      </c>
      <c r="F286" t="s">
        <v>37</v>
      </c>
      <c r="G286" t="s">
        <v>38</v>
      </c>
      <c r="H286" t="s">
        <v>113</v>
      </c>
      <c r="I286">
        <v>2</v>
      </c>
      <c r="J286">
        <v>2</v>
      </c>
      <c r="K286">
        <v>4</v>
      </c>
      <c r="L286" t="s">
        <v>31</v>
      </c>
      <c r="M286" t="s">
        <v>50</v>
      </c>
      <c r="N286" t="s">
        <v>89</v>
      </c>
      <c r="O286">
        <v>1</v>
      </c>
      <c r="P286">
        <v>2</v>
      </c>
      <c r="Q286">
        <v>2</v>
      </c>
      <c r="R286" t="s">
        <v>663</v>
      </c>
      <c r="S286" t="s">
        <v>31</v>
      </c>
      <c r="T286" t="s">
        <v>43</v>
      </c>
      <c r="U286" t="s">
        <v>52</v>
      </c>
      <c r="V286" s="13">
        <v>46143</v>
      </c>
    </row>
    <row r="287" spans="1:22" x14ac:dyDescent="0.25">
      <c r="A287" t="s">
        <v>421</v>
      </c>
      <c r="B287" s="13">
        <v>45864</v>
      </c>
      <c r="C287" t="s">
        <v>45</v>
      </c>
      <c r="D287" t="s">
        <v>65</v>
      </c>
      <c r="E287" t="s">
        <v>46</v>
      </c>
      <c r="F287" t="s">
        <v>47</v>
      </c>
      <c r="G287" t="s">
        <v>48</v>
      </c>
      <c r="H287" t="s">
        <v>49</v>
      </c>
      <c r="I287">
        <v>4</v>
      </c>
      <c r="J287">
        <v>2</v>
      </c>
      <c r="K287">
        <v>8</v>
      </c>
      <c r="L287" t="s">
        <v>28</v>
      </c>
      <c r="M287" t="s">
        <v>69</v>
      </c>
      <c r="N287" t="s">
        <v>124</v>
      </c>
      <c r="O287">
        <v>2</v>
      </c>
      <c r="P287">
        <v>2</v>
      </c>
      <c r="Q287">
        <v>4</v>
      </c>
      <c r="R287" t="s">
        <v>663</v>
      </c>
      <c r="S287" t="s">
        <v>31</v>
      </c>
      <c r="T287" t="s">
        <v>32</v>
      </c>
      <c r="U287" t="s">
        <v>33</v>
      </c>
      <c r="V287" s="13">
        <v>46229</v>
      </c>
    </row>
    <row r="288" spans="1:22" x14ac:dyDescent="0.25">
      <c r="A288" t="s">
        <v>422</v>
      </c>
      <c r="B288" s="13">
        <v>46230</v>
      </c>
      <c r="C288" t="s">
        <v>22</v>
      </c>
      <c r="D288" t="s">
        <v>65</v>
      </c>
      <c r="E288" t="s">
        <v>81</v>
      </c>
      <c r="F288" t="s">
        <v>82</v>
      </c>
      <c r="G288" t="s">
        <v>81</v>
      </c>
      <c r="H288" t="s">
        <v>143</v>
      </c>
      <c r="I288">
        <v>3</v>
      </c>
      <c r="J288">
        <v>4</v>
      </c>
      <c r="K288">
        <v>12</v>
      </c>
      <c r="L288" t="s">
        <v>40</v>
      </c>
      <c r="M288" t="s">
        <v>69</v>
      </c>
      <c r="N288" t="s">
        <v>30</v>
      </c>
      <c r="O288">
        <v>3</v>
      </c>
      <c r="P288">
        <v>3</v>
      </c>
      <c r="Q288">
        <v>9</v>
      </c>
      <c r="R288" t="s">
        <v>663</v>
      </c>
      <c r="S288" t="s">
        <v>28</v>
      </c>
      <c r="T288" t="s">
        <v>32</v>
      </c>
      <c r="U288" t="s">
        <v>52</v>
      </c>
      <c r="V288" s="13">
        <v>46410</v>
      </c>
    </row>
    <row r="289" spans="1:22" x14ac:dyDescent="0.25">
      <c r="A289" t="s">
        <v>423</v>
      </c>
      <c r="B289" s="13">
        <v>46250</v>
      </c>
      <c r="C289" t="s">
        <v>45</v>
      </c>
      <c r="D289" t="s">
        <v>98</v>
      </c>
      <c r="E289" t="s">
        <v>46</v>
      </c>
      <c r="F289" t="s">
        <v>47</v>
      </c>
      <c r="G289" t="s">
        <v>48</v>
      </c>
      <c r="H289" t="s">
        <v>49</v>
      </c>
      <c r="I289">
        <v>3</v>
      </c>
      <c r="J289">
        <v>3</v>
      </c>
      <c r="K289">
        <v>9</v>
      </c>
      <c r="L289" t="s">
        <v>28</v>
      </c>
      <c r="M289" t="s">
        <v>41</v>
      </c>
      <c r="N289" t="s">
        <v>106</v>
      </c>
      <c r="O289">
        <v>2</v>
      </c>
      <c r="P289">
        <v>3</v>
      </c>
      <c r="Q289">
        <v>6</v>
      </c>
      <c r="R289" t="s">
        <v>663</v>
      </c>
      <c r="S289" t="s">
        <v>28</v>
      </c>
      <c r="T289" t="s">
        <v>61</v>
      </c>
      <c r="U289" t="s">
        <v>52</v>
      </c>
      <c r="V289" s="13">
        <v>46980</v>
      </c>
    </row>
    <row r="290" spans="1:22" x14ac:dyDescent="0.25">
      <c r="A290" t="s">
        <v>424</v>
      </c>
      <c r="B290" s="13">
        <v>46082</v>
      </c>
      <c r="C290" t="s">
        <v>64</v>
      </c>
      <c r="D290" t="s">
        <v>65</v>
      </c>
      <c r="E290" t="s">
        <v>174</v>
      </c>
      <c r="F290" t="s">
        <v>175</v>
      </c>
      <c r="G290" t="s">
        <v>176</v>
      </c>
      <c r="H290" t="s">
        <v>177</v>
      </c>
      <c r="I290">
        <v>3</v>
      </c>
      <c r="J290">
        <v>5</v>
      </c>
      <c r="K290">
        <v>15</v>
      </c>
      <c r="L290" t="s">
        <v>40</v>
      </c>
      <c r="M290" t="s">
        <v>50</v>
      </c>
      <c r="N290" t="s">
        <v>102</v>
      </c>
      <c r="O290">
        <v>2</v>
      </c>
      <c r="P290">
        <v>4</v>
      </c>
      <c r="Q290">
        <v>8</v>
      </c>
      <c r="R290" t="s">
        <v>663</v>
      </c>
      <c r="S290" t="s">
        <v>28</v>
      </c>
      <c r="T290" t="s">
        <v>43</v>
      </c>
      <c r="U290" t="s">
        <v>33</v>
      </c>
      <c r="V290" s="13">
        <v>46262</v>
      </c>
    </row>
    <row r="291" spans="1:22" x14ac:dyDescent="0.25">
      <c r="A291" t="s">
        <v>425</v>
      </c>
      <c r="B291" s="13">
        <v>45844</v>
      </c>
      <c r="C291" t="s">
        <v>85</v>
      </c>
      <c r="D291" t="s">
        <v>23</v>
      </c>
      <c r="E291" t="s">
        <v>86</v>
      </c>
      <c r="F291" t="s">
        <v>87</v>
      </c>
      <c r="G291" t="s">
        <v>48</v>
      </c>
      <c r="H291" t="s">
        <v>88</v>
      </c>
      <c r="I291">
        <v>4</v>
      </c>
      <c r="J291">
        <v>4</v>
      </c>
      <c r="K291">
        <v>16</v>
      </c>
      <c r="L291" t="s">
        <v>40</v>
      </c>
      <c r="M291" t="s">
        <v>69</v>
      </c>
      <c r="N291" t="s">
        <v>60</v>
      </c>
      <c r="O291">
        <v>3</v>
      </c>
      <c r="P291">
        <v>3</v>
      </c>
      <c r="Q291">
        <v>9</v>
      </c>
      <c r="R291" t="s">
        <v>663</v>
      </c>
      <c r="S291" t="s">
        <v>28</v>
      </c>
      <c r="T291" t="s">
        <v>61</v>
      </c>
      <c r="U291" t="s">
        <v>33</v>
      </c>
      <c r="V291" s="13">
        <v>46209</v>
      </c>
    </row>
    <row r="292" spans="1:22" x14ac:dyDescent="0.25">
      <c r="A292" t="s">
        <v>426</v>
      </c>
      <c r="B292" s="13">
        <v>46106</v>
      </c>
      <c r="C292" t="s">
        <v>22</v>
      </c>
      <c r="D292" t="s">
        <v>74</v>
      </c>
      <c r="E292" t="s">
        <v>135</v>
      </c>
      <c r="F292" t="s">
        <v>136</v>
      </c>
      <c r="G292" t="s">
        <v>35</v>
      </c>
      <c r="H292" t="s">
        <v>93</v>
      </c>
      <c r="I292">
        <v>4</v>
      </c>
      <c r="J292">
        <v>2</v>
      </c>
      <c r="K292">
        <v>8</v>
      </c>
      <c r="L292" t="s">
        <v>28</v>
      </c>
      <c r="M292" t="s">
        <v>95</v>
      </c>
      <c r="N292" t="s">
        <v>51</v>
      </c>
      <c r="O292">
        <v>4</v>
      </c>
      <c r="P292">
        <v>2</v>
      </c>
      <c r="Q292">
        <v>8</v>
      </c>
      <c r="R292" t="s">
        <v>663</v>
      </c>
      <c r="S292" t="s">
        <v>28</v>
      </c>
      <c r="T292" t="s">
        <v>61</v>
      </c>
      <c r="U292" t="s">
        <v>62</v>
      </c>
      <c r="V292" s="13">
        <v>46286</v>
      </c>
    </row>
    <row r="293" spans="1:22" x14ac:dyDescent="0.25">
      <c r="A293" t="s">
        <v>621</v>
      </c>
      <c r="B293" s="13">
        <v>46119</v>
      </c>
      <c r="C293" t="s">
        <v>73</v>
      </c>
      <c r="D293" t="s">
        <v>55</v>
      </c>
      <c r="E293" t="s">
        <v>75</v>
      </c>
      <c r="F293" t="s">
        <v>76</v>
      </c>
      <c r="G293" t="s">
        <v>73</v>
      </c>
      <c r="H293" t="s">
        <v>68</v>
      </c>
      <c r="I293">
        <v>3</v>
      </c>
      <c r="J293">
        <v>2</v>
      </c>
      <c r="K293">
        <v>6</v>
      </c>
      <c r="L293" t="s">
        <v>28</v>
      </c>
      <c r="M293" t="s">
        <v>101</v>
      </c>
      <c r="N293" t="s">
        <v>89</v>
      </c>
      <c r="O293">
        <v>3</v>
      </c>
      <c r="P293">
        <v>1</v>
      </c>
      <c r="Q293">
        <v>3</v>
      </c>
      <c r="R293" t="s">
        <v>663</v>
      </c>
      <c r="S293" t="s">
        <v>31</v>
      </c>
      <c r="T293" t="s">
        <v>61</v>
      </c>
      <c r="U293" t="s">
        <v>62</v>
      </c>
      <c r="V293" s="13">
        <v>46849</v>
      </c>
    </row>
    <row r="294" spans="1:22" x14ac:dyDescent="0.25">
      <c r="A294" t="s">
        <v>428</v>
      </c>
      <c r="B294" s="13">
        <v>46057</v>
      </c>
      <c r="C294" t="s">
        <v>22</v>
      </c>
      <c r="D294" t="s">
        <v>55</v>
      </c>
      <c r="E294" t="s">
        <v>99</v>
      </c>
      <c r="F294" t="s">
        <v>100</v>
      </c>
      <c r="G294" t="s">
        <v>35</v>
      </c>
      <c r="H294" t="s">
        <v>137</v>
      </c>
      <c r="I294">
        <v>2</v>
      </c>
      <c r="J294">
        <v>3</v>
      </c>
      <c r="K294">
        <v>6</v>
      </c>
      <c r="L294" t="s">
        <v>28</v>
      </c>
      <c r="M294" t="s">
        <v>78</v>
      </c>
      <c r="N294" t="s">
        <v>60</v>
      </c>
      <c r="O294">
        <v>1</v>
      </c>
      <c r="P294">
        <v>3</v>
      </c>
      <c r="Q294">
        <v>3</v>
      </c>
      <c r="R294" t="s">
        <v>663</v>
      </c>
      <c r="S294" t="s">
        <v>31</v>
      </c>
      <c r="T294" t="s">
        <v>43</v>
      </c>
      <c r="U294" t="s">
        <v>96</v>
      </c>
      <c r="V294" s="13">
        <v>46237</v>
      </c>
    </row>
    <row r="295" spans="1:22" x14ac:dyDescent="0.25">
      <c r="A295" t="s">
        <v>429</v>
      </c>
      <c r="B295" s="13">
        <v>45826</v>
      </c>
      <c r="C295" t="s">
        <v>35</v>
      </c>
      <c r="D295" t="s">
        <v>108</v>
      </c>
      <c r="E295" t="s">
        <v>36</v>
      </c>
      <c r="F295" t="s">
        <v>37</v>
      </c>
      <c r="G295" t="s">
        <v>38</v>
      </c>
      <c r="H295" t="s">
        <v>116</v>
      </c>
      <c r="I295">
        <v>4</v>
      </c>
      <c r="J295">
        <v>5</v>
      </c>
      <c r="K295">
        <v>20</v>
      </c>
      <c r="L295" t="s">
        <v>94</v>
      </c>
      <c r="M295" t="s">
        <v>78</v>
      </c>
      <c r="N295" t="s">
        <v>128</v>
      </c>
      <c r="O295">
        <v>2</v>
      </c>
      <c r="P295">
        <v>4</v>
      </c>
      <c r="Q295">
        <v>8</v>
      </c>
      <c r="R295" t="s">
        <v>663</v>
      </c>
      <c r="S295" t="s">
        <v>28</v>
      </c>
      <c r="T295" t="s">
        <v>61</v>
      </c>
      <c r="U295" t="s">
        <v>52</v>
      </c>
      <c r="V295" s="13">
        <v>46556</v>
      </c>
    </row>
    <row r="296" spans="1:22" x14ac:dyDescent="0.25">
      <c r="A296" t="s">
        <v>430</v>
      </c>
      <c r="B296" s="13">
        <v>46205</v>
      </c>
      <c r="C296" t="s">
        <v>64</v>
      </c>
      <c r="D296" t="s">
        <v>80</v>
      </c>
      <c r="E296" t="s">
        <v>91</v>
      </c>
      <c r="F296" t="s">
        <v>92</v>
      </c>
      <c r="G296" t="s">
        <v>35</v>
      </c>
      <c r="H296" t="s">
        <v>68</v>
      </c>
      <c r="I296">
        <v>3</v>
      </c>
      <c r="J296">
        <v>5</v>
      </c>
      <c r="K296">
        <v>15</v>
      </c>
      <c r="L296" t="s">
        <v>40</v>
      </c>
      <c r="M296" t="s">
        <v>78</v>
      </c>
      <c r="N296" t="s">
        <v>42</v>
      </c>
      <c r="O296">
        <v>1</v>
      </c>
      <c r="P296">
        <v>4</v>
      </c>
      <c r="Q296">
        <v>4</v>
      </c>
      <c r="R296" t="s">
        <v>663</v>
      </c>
      <c r="S296" t="s">
        <v>31</v>
      </c>
      <c r="T296" t="s">
        <v>43</v>
      </c>
      <c r="U296" t="s">
        <v>52</v>
      </c>
      <c r="V296" s="13">
        <v>46570</v>
      </c>
    </row>
    <row r="297" spans="1:22" x14ac:dyDescent="0.25">
      <c r="A297" t="s">
        <v>431</v>
      </c>
      <c r="B297" s="13">
        <v>46008</v>
      </c>
      <c r="C297" t="s">
        <v>85</v>
      </c>
      <c r="D297" t="s">
        <v>80</v>
      </c>
      <c r="E297" t="s">
        <v>86</v>
      </c>
      <c r="F297" t="s">
        <v>87</v>
      </c>
      <c r="G297" t="s">
        <v>48</v>
      </c>
      <c r="H297" t="s">
        <v>49</v>
      </c>
      <c r="I297">
        <v>2</v>
      </c>
      <c r="J297">
        <v>5</v>
      </c>
      <c r="K297">
        <v>10</v>
      </c>
      <c r="L297" t="s">
        <v>40</v>
      </c>
      <c r="M297" t="s">
        <v>41</v>
      </c>
      <c r="N297" t="s">
        <v>42</v>
      </c>
      <c r="O297">
        <v>1</v>
      </c>
      <c r="P297">
        <v>5</v>
      </c>
      <c r="Q297">
        <v>5</v>
      </c>
      <c r="R297" t="s">
        <v>663</v>
      </c>
      <c r="S297" t="s">
        <v>28</v>
      </c>
      <c r="T297" t="s">
        <v>61</v>
      </c>
      <c r="U297" t="s">
        <v>71</v>
      </c>
      <c r="V297" s="13">
        <v>46373</v>
      </c>
    </row>
    <row r="298" spans="1:22" x14ac:dyDescent="0.25">
      <c r="A298" t="s">
        <v>620</v>
      </c>
      <c r="B298" s="13">
        <v>45869</v>
      </c>
      <c r="C298" t="s">
        <v>22</v>
      </c>
      <c r="D298" t="s">
        <v>74</v>
      </c>
      <c r="E298" t="s">
        <v>109</v>
      </c>
      <c r="F298" t="s">
        <v>110</v>
      </c>
      <c r="G298" t="s">
        <v>111</v>
      </c>
      <c r="H298" t="s">
        <v>197</v>
      </c>
      <c r="I298">
        <v>2</v>
      </c>
      <c r="J298">
        <v>2</v>
      </c>
      <c r="K298">
        <v>4</v>
      </c>
      <c r="L298" t="s">
        <v>31</v>
      </c>
      <c r="M298" t="s">
        <v>78</v>
      </c>
      <c r="N298" t="s">
        <v>128</v>
      </c>
      <c r="O298">
        <v>1</v>
      </c>
      <c r="P298">
        <v>2</v>
      </c>
      <c r="Q298">
        <v>2</v>
      </c>
      <c r="R298" t="s">
        <v>663</v>
      </c>
      <c r="S298" t="s">
        <v>31</v>
      </c>
      <c r="T298" t="s">
        <v>61</v>
      </c>
      <c r="U298" t="s">
        <v>71</v>
      </c>
      <c r="V298" s="13">
        <v>46599</v>
      </c>
    </row>
    <row r="299" spans="1:22" x14ac:dyDescent="0.25">
      <c r="A299" t="s">
        <v>433</v>
      </c>
      <c r="B299" s="13">
        <v>45691</v>
      </c>
      <c r="C299" t="s">
        <v>35</v>
      </c>
      <c r="D299" t="s">
        <v>98</v>
      </c>
      <c r="E299" t="s">
        <v>36</v>
      </c>
      <c r="F299" t="s">
        <v>37</v>
      </c>
      <c r="G299" t="s">
        <v>38</v>
      </c>
      <c r="H299" t="s">
        <v>116</v>
      </c>
      <c r="I299">
        <v>5</v>
      </c>
      <c r="J299">
        <v>4</v>
      </c>
      <c r="K299">
        <v>20</v>
      </c>
      <c r="L299" t="s">
        <v>94</v>
      </c>
      <c r="M299" t="s">
        <v>69</v>
      </c>
      <c r="N299" t="s">
        <v>30</v>
      </c>
      <c r="O299">
        <v>3</v>
      </c>
      <c r="P299">
        <v>4</v>
      </c>
      <c r="Q299">
        <v>12</v>
      </c>
      <c r="R299" t="s">
        <v>663</v>
      </c>
      <c r="S299" t="s">
        <v>40</v>
      </c>
      <c r="T299" t="s">
        <v>43</v>
      </c>
      <c r="U299" t="s">
        <v>62</v>
      </c>
      <c r="V299" s="13">
        <v>45871</v>
      </c>
    </row>
    <row r="300" spans="1:22" x14ac:dyDescent="0.25">
      <c r="A300" t="s">
        <v>619</v>
      </c>
      <c r="B300" s="13">
        <v>45882</v>
      </c>
      <c r="C300" t="s">
        <v>64</v>
      </c>
      <c r="D300" t="s">
        <v>98</v>
      </c>
      <c r="E300" t="s">
        <v>66</v>
      </c>
      <c r="F300" t="s">
        <v>67</v>
      </c>
      <c r="G300" t="s">
        <v>35</v>
      </c>
      <c r="H300" t="s">
        <v>137</v>
      </c>
      <c r="I300">
        <v>4</v>
      </c>
      <c r="J300">
        <v>2</v>
      </c>
      <c r="K300">
        <v>8</v>
      </c>
      <c r="L300" t="s">
        <v>28</v>
      </c>
      <c r="M300" t="s">
        <v>101</v>
      </c>
      <c r="N300" t="s">
        <v>89</v>
      </c>
      <c r="O300">
        <v>2</v>
      </c>
      <c r="P300">
        <v>2</v>
      </c>
      <c r="Q300">
        <v>4</v>
      </c>
      <c r="R300" t="s">
        <v>663</v>
      </c>
      <c r="S300" t="s">
        <v>31</v>
      </c>
      <c r="T300" t="s">
        <v>61</v>
      </c>
      <c r="U300" t="s">
        <v>96</v>
      </c>
      <c r="V300" s="13">
        <v>46612</v>
      </c>
    </row>
    <row r="301" spans="1:22" x14ac:dyDescent="0.25">
      <c r="A301" t="s">
        <v>435</v>
      </c>
      <c r="B301" s="13">
        <v>45752</v>
      </c>
      <c r="C301" t="s">
        <v>85</v>
      </c>
      <c r="D301" t="s">
        <v>65</v>
      </c>
      <c r="E301" t="s">
        <v>86</v>
      </c>
      <c r="F301" t="s">
        <v>87</v>
      </c>
      <c r="G301" t="s">
        <v>48</v>
      </c>
      <c r="H301" t="s">
        <v>88</v>
      </c>
      <c r="I301">
        <v>4</v>
      </c>
      <c r="J301">
        <v>3</v>
      </c>
      <c r="K301">
        <v>12</v>
      </c>
      <c r="L301" t="s">
        <v>40</v>
      </c>
      <c r="M301" t="s">
        <v>78</v>
      </c>
      <c r="N301" t="s">
        <v>51</v>
      </c>
      <c r="O301">
        <v>3</v>
      </c>
      <c r="P301">
        <v>2</v>
      </c>
      <c r="Q301">
        <v>6</v>
      </c>
      <c r="R301" t="s">
        <v>663</v>
      </c>
      <c r="S301" t="s">
        <v>28</v>
      </c>
      <c r="T301" t="s">
        <v>32</v>
      </c>
      <c r="U301" t="s">
        <v>33</v>
      </c>
      <c r="V301" s="13">
        <v>46117</v>
      </c>
    </row>
    <row r="302" spans="1:22" x14ac:dyDescent="0.25">
      <c r="A302" t="s">
        <v>436</v>
      </c>
      <c r="B302" s="13">
        <v>45891</v>
      </c>
      <c r="C302" t="s">
        <v>85</v>
      </c>
      <c r="D302" t="s">
        <v>80</v>
      </c>
      <c r="E302" t="s">
        <v>140</v>
      </c>
      <c r="F302" t="s">
        <v>141</v>
      </c>
      <c r="G302" t="s">
        <v>142</v>
      </c>
      <c r="H302" t="s">
        <v>153</v>
      </c>
      <c r="I302">
        <v>4</v>
      </c>
      <c r="J302">
        <v>3</v>
      </c>
      <c r="K302">
        <v>12</v>
      </c>
      <c r="L302" t="s">
        <v>40</v>
      </c>
      <c r="M302" t="s">
        <v>41</v>
      </c>
      <c r="N302" t="s">
        <v>51</v>
      </c>
      <c r="O302">
        <v>3</v>
      </c>
      <c r="P302">
        <v>3</v>
      </c>
      <c r="Q302">
        <v>9</v>
      </c>
      <c r="R302" t="s">
        <v>663</v>
      </c>
      <c r="S302" t="s">
        <v>28</v>
      </c>
      <c r="T302" t="s">
        <v>32</v>
      </c>
      <c r="U302" t="s">
        <v>96</v>
      </c>
      <c r="V302" s="13">
        <v>46621</v>
      </c>
    </row>
    <row r="303" spans="1:22" x14ac:dyDescent="0.25">
      <c r="A303" t="s">
        <v>437</v>
      </c>
      <c r="B303" s="13">
        <v>45694</v>
      </c>
      <c r="C303" t="s">
        <v>64</v>
      </c>
      <c r="D303" t="s">
        <v>108</v>
      </c>
      <c r="E303" t="s">
        <v>91</v>
      </c>
      <c r="F303" t="s">
        <v>92</v>
      </c>
      <c r="G303" t="s">
        <v>35</v>
      </c>
      <c r="H303" t="s">
        <v>68</v>
      </c>
      <c r="I303">
        <v>3</v>
      </c>
      <c r="J303">
        <v>2</v>
      </c>
      <c r="K303">
        <v>6</v>
      </c>
      <c r="L303" t="s">
        <v>28</v>
      </c>
      <c r="M303" t="s">
        <v>41</v>
      </c>
      <c r="N303" t="s">
        <v>89</v>
      </c>
      <c r="O303">
        <v>2</v>
      </c>
      <c r="P303">
        <v>1</v>
      </c>
      <c r="Q303">
        <v>2</v>
      </c>
      <c r="R303" t="s">
        <v>663</v>
      </c>
      <c r="S303" t="s">
        <v>31</v>
      </c>
      <c r="T303" t="s">
        <v>61</v>
      </c>
      <c r="U303" t="s">
        <v>52</v>
      </c>
      <c r="V303" s="13">
        <v>45874</v>
      </c>
    </row>
    <row r="304" spans="1:22" x14ac:dyDescent="0.25">
      <c r="A304" t="s">
        <v>438</v>
      </c>
      <c r="B304" s="13">
        <v>46195</v>
      </c>
      <c r="C304" t="s">
        <v>35</v>
      </c>
      <c r="D304" t="s">
        <v>65</v>
      </c>
      <c r="E304" t="s">
        <v>120</v>
      </c>
      <c r="F304" t="s">
        <v>121</v>
      </c>
      <c r="G304" t="s">
        <v>35</v>
      </c>
      <c r="H304" t="s">
        <v>93</v>
      </c>
      <c r="I304">
        <v>4</v>
      </c>
      <c r="J304">
        <v>4</v>
      </c>
      <c r="K304">
        <v>16</v>
      </c>
      <c r="L304" t="s">
        <v>40</v>
      </c>
      <c r="M304" t="s">
        <v>29</v>
      </c>
      <c r="N304" t="s">
        <v>106</v>
      </c>
      <c r="O304">
        <v>3</v>
      </c>
      <c r="P304">
        <v>4</v>
      </c>
      <c r="Q304">
        <v>12</v>
      </c>
      <c r="R304" t="s">
        <v>663</v>
      </c>
      <c r="S304" t="s">
        <v>40</v>
      </c>
      <c r="T304" t="s">
        <v>32</v>
      </c>
      <c r="U304" t="s">
        <v>71</v>
      </c>
      <c r="V304" s="13">
        <v>46560</v>
      </c>
    </row>
    <row r="305" spans="1:22" x14ac:dyDescent="0.25">
      <c r="A305" t="s">
        <v>618</v>
      </c>
      <c r="B305" s="13">
        <v>46216</v>
      </c>
      <c r="C305" t="s">
        <v>85</v>
      </c>
      <c r="D305" t="s">
        <v>108</v>
      </c>
      <c r="E305" t="s">
        <v>230</v>
      </c>
      <c r="F305" t="s">
        <v>231</v>
      </c>
      <c r="G305" t="s">
        <v>232</v>
      </c>
      <c r="H305" t="s">
        <v>68</v>
      </c>
      <c r="I305">
        <v>3</v>
      </c>
      <c r="J305">
        <v>4</v>
      </c>
      <c r="K305">
        <v>12</v>
      </c>
      <c r="L305" t="s">
        <v>40</v>
      </c>
      <c r="M305" t="s">
        <v>41</v>
      </c>
      <c r="N305" t="s">
        <v>106</v>
      </c>
      <c r="O305">
        <v>2</v>
      </c>
      <c r="P305">
        <v>4</v>
      </c>
      <c r="Q305">
        <v>8</v>
      </c>
      <c r="R305" t="s">
        <v>663</v>
      </c>
      <c r="S305" t="s">
        <v>28</v>
      </c>
      <c r="T305" t="s">
        <v>32</v>
      </c>
      <c r="U305" t="s">
        <v>52</v>
      </c>
      <c r="V305" s="13">
        <v>46946</v>
      </c>
    </row>
    <row r="306" spans="1:22" x14ac:dyDescent="0.25">
      <c r="A306" t="s">
        <v>440</v>
      </c>
      <c r="B306" s="13">
        <v>45771</v>
      </c>
      <c r="C306" t="s">
        <v>22</v>
      </c>
      <c r="D306" t="s">
        <v>65</v>
      </c>
      <c r="E306" t="s">
        <v>81</v>
      </c>
      <c r="F306" t="s">
        <v>82</v>
      </c>
      <c r="G306" t="s">
        <v>81</v>
      </c>
      <c r="H306" t="s">
        <v>127</v>
      </c>
      <c r="I306">
        <v>3</v>
      </c>
      <c r="J306">
        <v>5</v>
      </c>
      <c r="K306">
        <v>15</v>
      </c>
      <c r="L306" t="s">
        <v>40</v>
      </c>
      <c r="M306" t="s">
        <v>29</v>
      </c>
      <c r="N306" t="s">
        <v>60</v>
      </c>
      <c r="O306">
        <v>2</v>
      </c>
      <c r="P306">
        <v>4</v>
      </c>
      <c r="Q306">
        <v>8</v>
      </c>
      <c r="R306" t="s">
        <v>663</v>
      </c>
      <c r="S306" t="s">
        <v>28</v>
      </c>
      <c r="T306" t="s">
        <v>32</v>
      </c>
      <c r="U306" t="s">
        <v>52</v>
      </c>
      <c r="V306" s="13">
        <v>46136</v>
      </c>
    </row>
    <row r="307" spans="1:22" x14ac:dyDescent="0.25">
      <c r="A307" t="s">
        <v>441</v>
      </c>
      <c r="B307" s="13">
        <v>45721</v>
      </c>
      <c r="C307" t="s">
        <v>64</v>
      </c>
      <c r="D307" t="s">
        <v>55</v>
      </c>
      <c r="E307" t="s">
        <v>174</v>
      </c>
      <c r="F307" t="s">
        <v>175</v>
      </c>
      <c r="G307" t="s">
        <v>176</v>
      </c>
      <c r="H307" t="s">
        <v>68</v>
      </c>
      <c r="I307">
        <v>3</v>
      </c>
      <c r="J307">
        <v>2</v>
      </c>
      <c r="K307">
        <v>6</v>
      </c>
      <c r="L307" t="s">
        <v>28</v>
      </c>
      <c r="M307" t="s">
        <v>78</v>
      </c>
      <c r="N307" t="s">
        <v>60</v>
      </c>
      <c r="O307">
        <v>3</v>
      </c>
      <c r="P307">
        <v>2</v>
      </c>
      <c r="Q307">
        <v>6</v>
      </c>
      <c r="R307" t="s">
        <v>663</v>
      </c>
      <c r="S307" t="s">
        <v>28</v>
      </c>
      <c r="T307" t="s">
        <v>32</v>
      </c>
      <c r="U307" t="s">
        <v>62</v>
      </c>
      <c r="V307" s="13">
        <v>46086</v>
      </c>
    </row>
    <row r="308" spans="1:22" x14ac:dyDescent="0.25">
      <c r="A308" t="s">
        <v>442</v>
      </c>
      <c r="B308" s="13">
        <v>45877</v>
      </c>
      <c r="C308" t="s">
        <v>64</v>
      </c>
      <c r="D308" t="s">
        <v>74</v>
      </c>
      <c r="E308" t="s">
        <v>91</v>
      </c>
      <c r="F308" t="s">
        <v>92</v>
      </c>
      <c r="G308" t="s">
        <v>35</v>
      </c>
      <c r="H308" t="s">
        <v>68</v>
      </c>
      <c r="I308">
        <v>5</v>
      </c>
      <c r="J308">
        <v>2</v>
      </c>
      <c r="K308">
        <v>10</v>
      </c>
      <c r="L308" t="s">
        <v>40</v>
      </c>
      <c r="M308" t="s">
        <v>83</v>
      </c>
      <c r="N308" t="s">
        <v>30</v>
      </c>
      <c r="O308">
        <v>3</v>
      </c>
      <c r="P308">
        <v>2</v>
      </c>
      <c r="Q308">
        <v>6</v>
      </c>
      <c r="R308" t="s">
        <v>663</v>
      </c>
      <c r="S308" t="s">
        <v>28</v>
      </c>
      <c r="T308" t="s">
        <v>43</v>
      </c>
      <c r="U308" t="s">
        <v>71</v>
      </c>
      <c r="V308" s="13">
        <v>46242</v>
      </c>
    </row>
    <row r="309" spans="1:22" x14ac:dyDescent="0.25">
      <c r="A309" t="s">
        <v>443</v>
      </c>
      <c r="B309" s="13">
        <v>46089</v>
      </c>
      <c r="C309" t="s">
        <v>108</v>
      </c>
      <c r="D309" t="s">
        <v>80</v>
      </c>
      <c r="E309" t="s">
        <v>162</v>
      </c>
      <c r="F309" t="s">
        <v>163</v>
      </c>
      <c r="G309" t="s">
        <v>164</v>
      </c>
      <c r="H309" t="s">
        <v>219</v>
      </c>
      <c r="I309">
        <v>3</v>
      </c>
      <c r="J309">
        <v>2</v>
      </c>
      <c r="K309">
        <v>6</v>
      </c>
      <c r="L309" t="s">
        <v>28</v>
      </c>
      <c r="M309" t="s">
        <v>83</v>
      </c>
      <c r="N309" t="s">
        <v>124</v>
      </c>
      <c r="O309">
        <v>2</v>
      </c>
      <c r="P309">
        <v>1</v>
      </c>
      <c r="Q309">
        <v>2</v>
      </c>
      <c r="R309" t="s">
        <v>663</v>
      </c>
      <c r="S309" t="s">
        <v>31</v>
      </c>
      <c r="T309" t="s">
        <v>61</v>
      </c>
      <c r="U309" t="s">
        <v>33</v>
      </c>
      <c r="V309" s="13">
        <v>46819</v>
      </c>
    </row>
    <row r="310" spans="1:22" x14ac:dyDescent="0.25">
      <c r="A310" t="s">
        <v>444</v>
      </c>
      <c r="B310" s="13">
        <v>46052</v>
      </c>
      <c r="C310" t="s">
        <v>22</v>
      </c>
      <c r="D310" t="s">
        <v>98</v>
      </c>
      <c r="E310" t="s">
        <v>99</v>
      </c>
      <c r="F310" t="s">
        <v>100</v>
      </c>
      <c r="G310" t="s">
        <v>35</v>
      </c>
      <c r="H310" t="s">
        <v>93</v>
      </c>
      <c r="I310">
        <v>4</v>
      </c>
      <c r="J310">
        <v>3</v>
      </c>
      <c r="K310">
        <v>12</v>
      </c>
      <c r="L310" t="s">
        <v>40</v>
      </c>
      <c r="M310" t="s">
        <v>101</v>
      </c>
      <c r="N310" t="s">
        <v>42</v>
      </c>
      <c r="O310">
        <v>3</v>
      </c>
      <c r="P310">
        <v>3</v>
      </c>
      <c r="Q310">
        <v>9</v>
      </c>
      <c r="R310" t="s">
        <v>663</v>
      </c>
      <c r="S310" t="s">
        <v>28</v>
      </c>
      <c r="T310" t="s">
        <v>43</v>
      </c>
      <c r="U310" t="s">
        <v>33</v>
      </c>
      <c r="V310" s="13">
        <v>46417</v>
      </c>
    </row>
    <row r="311" spans="1:22" x14ac:dyDescent="0.25">
      <c r="A311" t="s">
        <v>445</v>
      </c>
      <c r="B311" s="13">
        <v>45891</v>
      </c>
      <c r="C311" t="s">
        <v>22</v>
      </c>
      <c r="D311" t="s">
        <v>108</v>
      </c>
      <c r="E311" t="s">
        <v>135</v>
      </c>
      <c r="F311" t="s">
        <v>136</v>
      </c>
      <c r="G311" t="s">
        <v>35</v>
      </c>
      <c r="H311" t="s">
        <v>93</v>
      </c>
      <c r="I311">
        <v>5</v>
      </c>
      <c r="J311">
        <v>4</v>
      </c>
      <c r="K311">
        <v>20</v>
      </c>
      <c r="L311" t="s">
        <v>94</v>
      </c>
      <c r="M311" t="s">
        <v>69</v>
      </c>
      <c r="N311" t="s">
        <v>128</v>
      </c>
      <c r="O311">
        <v>4</v>
      </c>
      <c r="P311">
        <v>4</v>
      </c>
      <c r="Q311">
        <v>16</v>
      </c>
      <c r="R311" t="s">
        <v>663</v>
      </c>
      <c r="S311" t="s">
        <v>40</v>
      </c>
      <c r="T311" t="s">
        <v>43</v>
      </c>
      <c r="U311" t="s">
        <v>96</v>
      </c>
      <c r="V311" s="13">
        <v>46621</v>
      </c>
    </row>
    <row r="312" spans="1:22" x14ac:dyDescent="0.25">
      <c r="A312" t="s">
        <v>446</v>
      </c>
      <c r="B312" s="13">
        <v>45833</v>
      </c>
      <c r="C312" t="s">
        <v>85</v>
      </c>
      <c r="D312" t="s">
        <v>55</v>
      </c>
      <c r="E312" t="s">
        <v>140</v>
      </c>
      <c r="F312" t="s">
        <v>141</v>
      </c>
      <c r="G312" t="s">
        <v>142</v>
      </c>
      <c r="H312" t="s">
        <v>143</v>
      </c>
      <c r="I312">
        <v>5</v>
      </c>
      <c r="J312">
        <v>3</v>
      </c>
      <c r="K312">
        <v>15</v>
      </c>
      <c r="L312" t="s">
        <v>40</v>
      </c>
      <c r="M312" t="s">
        <v>101</v>
      </c>
      <c r="N312" t="s">
        <v>42</v>
      </c>
      <c r="O312">
        <v>4</v>
      </c>
      <c r="P312">
        <v>2</v>
      </c>
      <c r="Q312">
        <v>8</v>
      </c>
      <c r="R312" t="s">
        <v>663</v>
      </c>
      <c r="S312" t="s">
        <v>28</v>
      </c>
      <c r="T312" t="s">
        <v>32</v>
      </c>
      <c r="U312" t="s">
        <v>52</v>
      </c>
      <c r="V312" s="13">
        <v>46198</v>
      </c>
    </row>
    <row r="313" spans="1:22" x14ac:dyDescent="0.25">
      <c r="A313" t="s">
        <v>447</v>
      </c>
      <c r="B313" s="13">
        <v>45941</v>
      </c>
      <c r="C313" t="s">
        <v>22</v>
      </c>
      <c r="D313" t="s">
        <v>65</v>
      </c>
      <c r="E313" t="s">
        <v>135</v>
      </c>
      <c r="F313" t="s">
        <v>136</v>
      </c>
      <c r="G313" t="s">
        <v>35</v>
      </c>
      <c r="H313" t="s">
        <v>68</v>
      </c>
      <c r="I313">
        <v>2</v>
      </c>
      <c r="J313">
        <v>5</v>
      </c>
      <c r="K313">
        <v>10</v>
      </c>
      <c r="L313" t="s">
        <v>40</v>
      </c>
      <c r="M313" t="s">
        <v>83</v>
      </c>
      <c r="N313" t="s">
        <v>42</v>
      </c>
      <c r="O313">
        <v>1</v>
      </c>
      <c r="P313">
        <v>5</v>
      </c>
      <c r="Q313">
        <v>5</v>
      </c>
      <c r="R313" t="s">
        <v>663</v>
      </c>
      <c r="S313" t="s">
        <v>28</v>
      </c>
      <c r="T313" t="s">
        <v>32</v>
      </c>
      <c r="U313" t="s">
        <v>62</v>
      </c>
      <c r="V313" s="13">
        <v>46306</v>
      </c>
    </row>
    <row r="314" spans="1:22" x14ac:dyDescent="0.25">
      <c r="A314" t="s">
        <v>448</v>
      </c>
      <c r="B314" s="13">
        <v>46340</v>
      </c>
      <c r="C314" t="s">
        <v>64</v>
      </c>
      <c r="D314" t="s">
        <v>23</v>
      </c>
      <c r="E314" t="s">
        <v>174</v>
      </c>
      <c r="F314" t="s">
        <v>175</v>
      </c>
      <c r="G314" t="s">
        <v>176</v>
      </c>
      <c r="H314" t="s">
        <v>68</v>
      </c>
      <c r="I314">
        <v>2</v>
      </c>
      <c r="J314">
        <v>5</v>
      </c>
      <c r="K314">
        <v>10</v>
      </c>
      <c r="L314" t="s">
        <v>40</v>
      </c>
      <c r="M314" t="s">
        <v>95</v>
      </c>
      <c r="N314" t="s">
        <v>70</v>
      </c>
      <c r="O314">
        <v>1</v>
      </c>
      <c r="P314">
        <v>5</v>
      </c>
      <c r="Q314">
        <v>5</v>
      </c>
      <c r="R314" t="s">
        <v>663</v>
      </c>
      <c r="S314" t="s">
        <v>28</v>
      </c>
      <c r="T314" t="s">
        <v>61</v>
      </c>
      <c r="U314" t="s">
        <v>62</v>
      </c>
      <c r="V314" s="13">
        <v>46520</v>
      </c>
    </row>
    <row r="315" spans="1:22" x14ac:dyDescent="0.25">
      <c r="A315" t="s">
        <v>449</v>
      </c>
      <c r="B315" s="13">
        <v>45682</v>
      </c>
      <c r="C315" t="s">
        <v>54</v>
      </c>
      <c r="D315" t="s">
        <v>108</v>
      </c>
      <c r="E315" t="s">
        <v>56</v>
      </c>
      <c r="F315" t="s">
        <v>57</v>
      </c>
      <c r="G315" t="s">
        <v>58</v>
      </c>
      <c r="H315" t="s">
        <v>59</v>
      </c>
      <c r="I315">
        <v>5</v>
      </c>
      <c r="J315">
        <v>2</v>
      </c>
      <c r="K315">
        <v>10</v>
      </c>
      <c r="L315" t="s">
        <v>40</v>
      </c>
      <c r="M315" t="s">
        <v>29</v>
      </c>
      <c r="N315" t="s">
        <v>89</v>
      </c>
      <c r="O315">
        <v>4</v>
      </c>
      <c r="P315">
        <v>2</v>
      </c>
      <c r="Q315">
        <v>8</v>
      </c>
      <c r="R315" t="s">
        <v>663</v>
      </c>
      <c r="S315" t="s">
        <v>28</v>
      </c>
      <c r="T315" t="s">
        <v>43</v>
      </c>
      <c r="U315" t="s">
        <v>96</v>
      </c>
      <c r="V315" s="13">
        <v>46412</v>
      </c>
    </row>
    <row r="316" spans="1:22" x14ac:dyDescent="0.25">
      <c r="A316" t="s">
        <v>450</v>
      </c>
      <c r="B316" s="13">
        <v>46287</v>
      </c>
      <c r="C316" t="s">
        <v>64</v>
      </c>
      <c r="D316" t="s">
        <v>80</v>
      </c>
      <c r="E316" t="s">
        <v>66</v>
      </c>
      <c r="F316" t="s">
        <v>67</v>
      </c>
      <c r="G316" t="s">
        <v>35</v>
      </c>
      <c r="H316" t="s">
        <v>68</v>
      </c>
      <c r="I316">
        <v>5</v>
      </c>
      <c r="J316">
        <v>3</v>
      </c>
      <c r="K316">
        <v>15</v>
      </c>
      <c r="L316" t="s">
        <v>40</v>
      </c>
      <c r="M316" t="s">
        <v>95</v>
      </c>
      <c r="N316" t="s">
        <v>124</v>
      </c>
      <c r="O316">
        <v>4</v>
      </c>
      <c r="P316">
        <v>3</v>
      </c>
      <c r="Q316">
        <v>12</v>
      </c>
      <c r="R316" t="s">
        <v>663</v>
      </c>
      <c r="S316" t="s">
        <v>40</v>
      </c>
      <c r="T316" t="s">
        <v>61</v>
      </c>
      <c r="U316" t="s">
        <v>33</v>
      </c>
      <c r="V316" s="13">
        <v>46652</v>
      </c>
    </row>
    <row r="317" spans="1:22" x14ac:dyDescent="0.25">
      <c r="A317" t="s">
        <v>451</v>
      </c>
      <c r="B317" s="13">
        <v>46118</v>
      </c>
      <c r="C317" t="s">
        <v>108</v>
      </c>
      <c r="D317" t="s">
        <v>74</v>
      </c>
      <c r="E317" t="s">
        <v>162</v>
      </c>
      <c r="F317" t="s">
        <v>163</v>
      </c>
      <c r="G317" t="s">
        <v>164</v>
      </c>
      <c r="H317" t="s">
        <v>68</v>
      </c>
      <c r="I317">
        <v>4</v>
      </c>
      <c r="J317">
        <v>4</v>
      </c>
      <c r="K317">
        <v>16</v>
      </c>
      <c r="L317" t="s">
        <v>40</v>
      </c>
      <c r="M317" t="s">
        <v>95</v>
      </c>
      <c r="N317" t="s">
        <v>51</v>
      </c>
      <c r="O317">
        <v>3</v>
      </c>
      <c r="P317">
        <v>3</v>
      </c>
      <c r="Q317">
        <v>9</v>
      </c>
      <c r="R317" t="s">
        <v>663</v>
      </c>
      <c r="S317" t="s">
        <v>28</v>
      </c>
      <c r="T317" t="s">
        <v>32</v>
      </c>
      <c r="U317" t="s">
        <v>33</v>
      </c>
      <c r="V317" s="13">
        <v>46848</v>
      </c>
    </row>
    <row r="318" spans="1:22" x14ac:dyDescent="0.25">
      <c r="A318" t="s">
        <v>452</v>
      </c>
      <c r="B318" s="13">
        <v>45896</v>
      </c>
      <c r="C318" t="s">
        <v>108</v>
      </c>
      <c r="D318" t="s">
        <v>23</v>
      </c>
      <c r="E318" t="s">
        <v>149</v>
      </c>
      <c r="F318" t="s">
        <v>150</v>
      </c>
      <c r="G318" t="s">
        <v>151</v>
      </c>
      <c r="H318" t="s">
        <v>225</v>
      </c>
      <c r="I318">
        <v>5</v>
      </c>
      <c r="J318">
        <v>2</v>
      </c>
      <c r="K318">
        <v>10</v>
      </c>
      <c r="L318" t="s">
        <v>40</v>
      </c>
      <c r="M318" t="s">
        <v>83</v>
      </c>
      <c r="N318" t="s">
        <v>102</v>
      </c>
      <c r="O318">
        <v>4</v>
      </c>
      <c r="P318">
        <v>2</v>
      </c>
      <c r="Q318">
        <v>8</v>
      </c>
      <c r="R318" t="s">
        <v>663</v>
      </c>
      <c r="S318" t="s">
        <v>28</v>
      </c>
      <c r="T318" t="s">
        <v>61</v>
      </c>
      <c r="U318" t="s">
        <v>33</v>
      </c>
      <c r="V318" s="13">
        <v>46076</v>
      </c>
    </row>
    <row r="319" spans="1:22" x14ac:dyDescent="0.25">
      <c r="A319" t="s">
        <v>453</v>
      </c>
      <c r="B319" s="13">
        <v>45832</v>
      </c>
      <c r="C319" t="s">
        <v>22</v>
      </c>
      <c r="D319" t="s">
        <v>80</v>
      </c>
      <c r="E319" t="s">
        <v>135</v>
      </c>
      <c r="F319" t="s">
        <v>136</v>
      </c>
      <c r="G319" t="s">
        <v>35</v>
      </c>
      <c r="H319" t="s">
        <v>137</v>
      </c>
      <c r="I319">
        <v>5</v>
      </c>
      <c r="J319">
        <v>3</v>
      </c>
      <c r="K319">
        <v>15</v>
      </c>
      <c r="L319" t="s">
        <v>40</v>
      </c>
      <c r="M319" t="s">
        <v>78</v>
      </c>
      <c r="N319" t="s">
        <v>51</v>
      </c>
      <c r="O319">
        <v>4</v>
      </c>
      <c r="P319">
        <v>3</v>
      </c>
      <c r="Q319">
        <v>12</v>
      </c>
      <c r="R319" t="s">
        <v>663</v>
      </c>
      <c r="S319" t="s">
        <v>40</v>
      </c>
      <c r="T319" t="s">
        <v>43</v>
      </c>
      <c r="U319" t="s">
        <v>52</v>
      </c>
      <c r="V319" s="13">
        <v>46197</v>
      </c>
    </row>
    <row r="320" spans="1:22" x14ac:dyDescent="0.25">
      <c r="A320" t="s">
        <v>454</v>
      </c>
      <c r="B320" s="13">
        <v>45942</v>
      </c>
      <c r="C320" t="s">
        <v>73</v>
      </c>
      <c r="D320" t="s">
        <v>74</v>
      </c>
      <c r="E320" t="s">
        <v>75</v>
      </c>
      <c r="F320" t="s">
        <v>76</v>
      </c>
      <c r="G320" t="s">
        <v>73</v>
      </c>
      <c r="H320" t="s">
        <v>77</v>
      </c>
      <c r="I320">
        <v>5</v>
      </c>
      <c r="J320">
        <v>5</v>
      </c>
      <c r="K320">
        <v>25</v>
      </c>
      <c r="L320" t="s">
        <v>94</v>
      </c>
      <c r="M320" t="s">
        <v>69</v>
      </c>
      <c r="N320" t="s">
        <v>70</v>
      </c>
      <c r="O320">
        <v>4</v>
      </c>
      <c r="P320">
        <v>4</v>
      </c>
      <c r="Q320">
        <v>16</v>
      </c>
      <c r="R320" t="s">
        <v>663</v>
      </c>
      <c r="S320" t="s">
        <v>40</v>
      </c>
      <c r="T320" t="s">
        <v>43</v>
      </c>
      <c r="U320" t="s">
        <v>96</v>
      </c>
      <c r="V320" s="13">
        <v>46307</v>
      </c>
    </row>
    <row r="321" spans="1:22" x14ac:dyDescent="0.25">
      <c r="A321" t="s">
        <v>455</v>
      </c>
      <c r="B321" s="13">
        <v>45730</v>
      </c>
      <c r="C321" t="s">
        <v>22</v>
      </c>
      <c r="D321" t="s">
        <v>98</v>
      </c>
      <c r="E321" t="s">
        <v>135</v>
      </c>
      <c r="F321" t="s">
        <v>136</v>
      </c>
      <c r="G321" t="s">
        <v>35</v>
      </c>
      <c r="H321" t="s">
        <v>122</v>
      </c>
      <c r="I321">
        <v>5</v>
      </c>
      <c r="J321">
        <v>3</v>
      </c>
      <c r="K321">
        <v>15</v>
      </c>
      <c r="L321" t="s">
        <v>40</v>
      </c>
      <c r="M321" t="s">
        <v>83</v>
      </c>
      <c r="N321" t="s">
        <v>89</v>
      </c>
      <c r="O321">
        <v>3</v>
      </c>
      <c r="P321">
        <v>3</v>
      </c>
      <c r="Q321">
        <v>9</v>
      </c>
      <c r="R321" t="s">
        <v>663</v>
      </c>
      <c r="S321" t="s">
        <v>28</v>
      </c>
      <c r="T321" t="s">
        <v>61</v>
      </c>
      <c r="U321" t="s">
        <v>96</v>
      </c>
      <c r="V321" s="13">
        <v>46095</v>
      </c>
    </row>
    <row r="322" spans="1:22" x14ac:dyDescent="0.25">
      <c r="A322" t="s">
        <v>456</v>
      </c>
      <c r="B322" s="13">
        <v>45788</v>
      </c>
      <c r="C322" t="s">
        <v>22</v>
      </c>
      <c r="D322" t="s">
        <v>108</v>
      </c>
      <c r="E322" t="s">
        <v>135</v>
      </c>
      <c r="F322" t="s">
        <v>136</v>
      </c>
      <c r="G322" t="s">
        <v>35</v>
      </c>
      <c r="H322" t="s">
        <v>122</v>
      </c>
      <c r="I322">
        <v>2</v>
      </c>
      <c r="J322">
        <v>4</v>
      </c>
      <c r="K322">
        <v>8</v>
      </c>
      <c r="L322" t="s">
        <v>28</v>
      </c>
      <c r="M322" t="s">
        <v>95</v>
      </c>
      <c r="N322" t="s">
        <v>106</v>
      </c>
      <c r="O322">
        <v>1</v>
      </c>
      <c r="P322">
        <v>4</v>
      </c>
      <c r="Q322">
        <v>4</v>
      </c>
      <c r="R322" t="s">
        <v>663</v>
      </c>
      <c r="S322" t="s">
        <v>31</v>
      </c>
      <c r="T322" t="s">
        <v>61</v>
      </c>
      <c r="U322" t="s">
        <v>62</v>
      </c>
      <c r="V322" s="13">
        <v>46518</v>
      </c>
    </row>
    <row r="323" spans="1:22" x14ac:dyDescent="0.25">
      <c r="A323" t="s">
        <v>457</v>
      </c>
      <c r="B323" s="13">
        <v>45738</v>
      </c>
      <c r="C323" t="s">
        <v>64</v>
      </c>
      <c r="D323" t="s">
        <v>65</v>
      </c>
      <c r="E323" t="s">
        <v>91</v>
      </c>
      <c r="F323" t="s">
        <v>92</v>
      </c>
      <c r="G323" t="s">
        <v>35</v>
      </c>
      <c r="H323" t="s">
        <v>122</v>
      </c>
      <c r="I323">
        <v>3</v>
      </c>
      <c r="J323">
        <v>2</v>
      </c>
      <c r="K323">
        <v>6</v>
      </c>
      <c r="L323" t="s">
        <v>28</v>
      </c>
      <c r="M323" t="s">
        <v>83</v>
      </c>
      <c r="N323" t="s">
        <v>60</v>
      </c>
      <c r="O323">
        <v>2</v>
      </c>
      <c r="P323">
        <v>2</v>
      </c>
      <c r="Q323">
        <v>4</v>
      </c>
      <c r="R323" t="s">
        <v>663</v>
      </c>
      <c r="S323" t="s">
        <v>31</v>
      </c>
      <c r="T323" t="s">
        <v>32</v>
      </c>
      <c r="U323" t="s">
        <v>52</v>
      </c>
      <c r="V323" s="13">
        <v>45918</v>
      </c>
    </row>
    <row r="324" spans="1:22" x14ac:dyDescent="0.25">
      <c r="A324" t="s">
        <v>458</v>
      </c>
      <c r="B324" s="13">
        <v>46281</v>
      </c>
      <c r="C324" t="s">
        <v>22</v>
      </c>
      <c r="D324" t="s">
        <v>23</v>
      </c>
      <c r="E324" t="s">
        <v>81</v>
      </c>
      <c r="F324" t="s">
        <v>82</v>
      </c>
      <c r="G324" t="s">
        <v>81</v>
      </c>
      <c r="H324" t="s">
        <v>143</v>
      </c>
      <c r="I324">
        <v>4</v>
      </c>
      <c r="J324">
        <v>4</v>
      </c>
      <c r="K324">
        <v>16</v>
      </c>
      <c r="L324" t="s">
        <v>40</v>
      </c>
      <c r="M324" t="s">
        <v>78</v>
      </c>
      <c r="N324" t="s">
        <v>51</v>
      </c>
      <c r="O324">
        <v>2</v>
      </c>
      <c r="P324">
        <v>3</v>
      </c>
      <c r="Q324">
        <v>6</v>
      </c>
      <c r="R324" t="s">
        <v>663</v>
      </c>
      <c r="S324" t="s">
        <v>28</v>
      </c>
      <c r="T324" t="s">
        <v>61</v>
      </c>
      <c r="U324" t="s">
        <v>52</v>
      </c>
      <c r="V324" s="13">
        <v>46646</v>
      </c>
    </row>
    <row r="325" spans="1:22" x14ac:dyDescent="0.25">
      <c r="A325" t="s">
        <v>459</v>
      </c>
      <c r="B325" s="13">
        <v>45979</v>
      </c>
      <c r="C325" t="s">
        <v>35</v>
      </c>
      <c r="D325" t="s">
        <v>55</v>
      </c>
      <c r="E325" t="s">
        <v>120</v>
      </c>
      <c r="F325" t="s">
        <v>121</v>
      </c>
      <c r="G325" t="s">
        <v>35</v>
      </c>
      <c r="H325" t="s">
        <v>93</v>
      </c>
      <c r="I325">
        <v>5</v>
      </c>
      <c r="J325">
        <v>5</v>
      </c>
      <c r="K325">
        <v>25</v>
      </c>
      <c r="L325" t="s">
        <v>94</v>
      </c>
      <c r="M325" t="s">
        <v>95</v>
      </c>
      <c r="N325" t="s">
        <v>128</v>
      </c>
      <c r="O325">
        <v>3</v>
      </c>
      <c r="P325">
        <v>4</v>
      </c>
      <c r="Q325">
        <v>12</v>
      </c>
      <c r="R325" t="s">
        <v>663</v>
      </c>
      <c r="S325" t="s">
        <v>40</v>
      </c>
      <c r="T325" t="s">
        <v>43</v>
      </c>
      <c r="U325" t="s">
        <v>96</v>
      </c>
      <c r="V325" s="13">
        <v>46344</v>
      </c>
    </row>
    <row r="326" spans="1:22" x14ac:dyDescent="0.25">
      <c r="A326" t="s">
        <v>460</v>
      </c>
      <c r="B326" s="13">
        <v>46045</v>
      </c>
      <c r="C326" t="s">
        <v>45</v>
      </c>
      <c r="D326" t="s">
        <v>98</v>
      </c>
      <c r="E326" t="s">
        <v>46</v>
      </c>
      <c r="F326" t="s">
        <v>47</v>
      </c>
      <c r="G326" t="s">
        <v>48</v>
      </c>
      <c r="H326" t="s">
        <v>49</v>
      </c>
      <c r="I326">
        <v>3</v>
      </c>
      <c r="J326">
        <v>3</v>
      </c>
      <c r="K326">
        <v>9</v>
      </c>
      <c r="L326" t="s">
        <v>28</v>
      </c>
      <c r="M326" t="s">
        <v>50</v>
      </c>
      <c r="N326" t="s">
        <v>89</v>
      </c>
      <c r="O326">
        <v>2</v>
      </c>
      <c r="P326">
        <v>3</v>
      </c>
      <c r="Q326">
        <v>6</v>
      </c>
      <c r="R326" t="s">
        <v>663</v>
      </c>
      <c r="S326" t="s">
        <v>28</v>
      </c>
      <c r="T326" t="s">
        <v>61</v>
      </c>
      <c r="U326" t="s">
        <v>62</v>
      </c>
      <c r="V326" s="13">
        <v>46225</v>
      </c>
    </row>
    <row r="327" spans="1:22" x14ac:dyDescent="0.25">
      <c r="A327" t="s">
        <v>461</v>
      </c>
      <c r="B327" s="13">
        <v>45849</v>
      </c>
      <c r="C327" t="s">
        <v>35</v>
      </c>
      <c r="D327" t="s">
        <v>65</v>
      </c>
      <c r="E327" t="s">
        <v>36</v>
      </c>
      <c r="F327" t="s">
        <v>37</v>
      </c>
      <c r="G327" t="s">
        <v>38</v>
      </c>
      <c r="H327" t="s">
        <v>116</v>
      </c>
      <c r="I327">
        <v>5</v>
      </c>
      <c r="J327">
        <v>5</v>
      </c>
      <c r="K327">
        <v>25</v>
      </c>
      <c r="L327" t="s">
        <v>94</v>
      </c>
      <c r="M327" t="s">
        <v>29</v>
      </c>
      <c r="N327" t="s">
        <v>106</v>
      </c>
      <c r="O327">
        <v>4</v>
      </c>
      <c r="P327">
        <v>4</v>
      </c>
      <c r="Q327">
        <v>16</v>
      </c>
      <c r="R327" t="s">
        <v>663</v>
      </c>
      <c r="S327" t="s">
        <v>40</v>
      </c>
      <c r="T327" t="s">
        <v>61</v>
      </c>
      <c r="U327" t="s">
        <v>96</v>
      </c>
      <c r="V327" s="13">
        <v>46579</v>
      </c>
    </row>
    <row r="328" spans="1:22" x14ac:dyDescent="0.25">
      <c r="A328" t="s">
        <v>462</v>
      </c>
      <c r="B328" s="13">
        <v>46281</v>
      </c>
      <c r="C328" t="s">
        <v>64</v>
      </c>
      <c r="D328" t="s">
        <v>74</v>
      </c>
      <c r="E328" t="s">
        <v>174</v>
      </c>
      <c r="F328" t="s">
        <v>175</v>
      </c>
      <c r="G328" t="s">
        <v>176</v>
      </c>
      <c r="H328" t="s">
        <v>201</v>
      </c>
      <c r="I328">
        <v>5</v>
      </c>
      <c r="J328">
        <v>2</v>
      </c>
      <c r="K328">
        <v>10</v>
      </c>
      <c r="L328" t="s">
        <v>40</v>
      </c>
      <c r="M328" t="s">
        <v>83</v>
      </c>
      <c r="N328" t="s">
        <v>51</v>
      </c>
      <c r="O328">
        <v>4</v>
      </c>
      <c r="P328">
        <v>2</v>
      </c>
      <c r="Q328">
        <v>8</v>
      </c>
      <c r="R328" t="s">
        <v>663</v>
      </c>
      <c r="S328" t="s">
        <v>28</v>
      </c>
      <c r="T328" t="s">
        <v>43</v>
      </c>
      <c r="U328" t="s">
        <v>33</v>
      </c>
      <c r="V328" s="13">
        <v>46646</v>
      </c>
    </row>
    <row r="329" spans="1:22" x14ac:dyDescent="0.25">
      <c r="A329" t="s">
        <v>463</v>
      </c>
      <c r="B329" s="13">
        <v>45717</v>
      </c>
      <c r="C329" t="s">
        <v>45</v>
      </c>
      <c r="D329" t="s">
        <v>23</v>
      </c>
      <c r="E329" t="s">
        <v>46</v>
      </c>
      <c r="F329" t="s">
        <v>47</v>
      </c>
      <c r="G329" t="s">
        <v>48</v>
      </c>
      <c r="H329" t="s">
        <v>39</v>
      </c>
      <c r="I329">
        <v>3</v>
      </c>
      <c r="J329">
        <v>4</v>
      </c>
      <c r="K329">
        <v>12</v>
      </c>
      <c r="L329" t="s">
        <v>40</v>
      </c>
      <c r="M329" t="s">
        <v>101</v>
      </c>
      <c r="N329" t="s">
        <v>89</v>
      </c>
      <c r="O329">
        <v>2</v>
      </c>
      <c r="P329">
        <v>3</v>
      </c>
      <c r="Q329">
        <v>6</v>
      </c>
      <c r="R329" t="s">
        <v>663</v>
      </c>
      <c r="S329" t="s">
        <v>28</v>
      </c>
      <c r="T329" t="s">
        <v>32</v>
      </c>
      <c r="U329" t="s">
        <v>62</v>
      </c>
      <c r="V329" s="13">
        <v>46447</v>
      </c>
    </row>
    <row r="330" spans="1:22" x14ac:dyDescent="0.25">
      <c r="A330" t="s">
        <v>464</v>
      </c>
      <c r="B330" s="13">
        <v>45894</v>
      </c>
      <c r="C330" t="s">
        <v>54</v>
      </c>
      <c r="D330" t="s">
        <v>98</v>
      </c>
      <c r="E330" t="s">
        <v>56</v>
      </c>
      <c r="F330" t="s">
        <v>57</v>
      </c>
      <c r="G330" t="s">
        <v>58</v>
      </c>
      <c r="H330" t="s">
        <v>59</v>
      </c>
      <c r="I330">
        <v>2</v>
      </c>
      <c r="J330">
        <v>4</v>
      </c>
      <c r="K330">
        <v>8</v>
      </c>
      <c r="L330" t="s">
        <v>28</v>
      </c>
      <c r="M330" t="s">
        <v>50</v>
      </c>
      <c r="N330" t="s">
        <v>128</v>
      </c>
      <c r="O330">
        <v>1</v>
      </c>
      <c r="P330">
        <v>3</v>
      </c>
      <c r="Q330">
        <v>3</v>
      </c>
      <c r="R330" t="s">
        <v>663</v>
      </c>
      <c r="S330" t="s">
        <v>31</v>
      </c>
      <c r="T330" t="s">
        <v>43</v>
      </c>
      <c r="U330" t="s">
        <v>62</v>
      </c>
      <c r="V330" s="13">
        <v>46259</v>
      </c>
    </row>
    <row r="331" spans="1:22" x14ac:dyDescent="0.25">
      <c r="A331" t="s">
        <v>465</v>
      </c>
      <c r="B331" s="13">
        <v>46257</v>
      </c>
      <c r="C331" t="s">
        <v>73</v>
      </c>
      <c r="D331" t="s">
        <v>98</v>
      </c>
      <c r="E331" t="s">
        <v>75</v>
      </c>
      <c r="F331" t="s">
        <v>76</v>
      </c>
      <c r="G331" t="s">
        <v>73</v>
      </c>
      <c r="H331" t="s">
        <v>68</v>
      </c>
      <c r="I331">
        <v>4</v>
      </c>
      <c r="J331">
        <v>2</v>
      </c>
      <c r="K331">
        <v>8</v>
      </c>
      <c r="L331" t="s">
        <v>28</v>
      </c>
      <c r="M331" t="s">
        <v>101</v>
      </c>
      <c r="N331" t="s">
        <v>106</v>
      </c>
      <c r="O331">
        <v>3</v>
      </c>
      <c r="P331">
        <v>1</v>
      </c>
      <c r="Q331">
        <v>3</v>
      </c>
      <c r="R331" t="s">
        <v>663</v>
      </c>
      <c r="S331" t="s">
        <v>31</v>
      </c>
      <c r="T331" t="s">
        <v>61</v>
      </c>
      <c r="U331" t="s">
        <v>62</v>
      </c>
      <c r="V331" s="13">
        <v>46622</v>
      </c>
    </row>
    <row r="332" spans="1:22" x14ac:dyDescent="0.25">
      <c r="A332" t="s">
        <v>466</v>
      </c>
      <c r="B332" s="13">
        <v>45923</v>
      </c>
      <c r="C332" t="s">
        <v>45</v>
      </c>
      <c r="D332" t="s">
        <v>23</v>
      </c>
      <c r="E332" t="s">
        <v>46</v>
      </c>
      <c r="F332" t="s">
        <v>47</v>
      </c>
      <c r="G332" t="s">
        <v>48</v>
      </c>
      <c r="H332" t="s">
        <v>88</v>
      </c>
      <c r="I332">
        <v>2</v>
      </c>
      <c r="J332">
        <v>5</v>
      </c>
      <c r="K332">
        <v>10</v>
      </c>
      <c r="L332" t="s">
        <v>40</v>
      </c>
      <c r="M332" t="s">
        <v>29</v>
      </c>
      <c r="N332" t="s">
        <v>128</v>
      </c>
      <c r="O332">
        <v>1</v>
      </c>
      <c r="P332">
        <v>5</v>
      </c>
      <c r="Q332">
        <v>5</v>
      </c>
      <c r="R332" t="s">
        <v>663</v>
      </c>
      <c r="S332" t="s">
        <v>28</v>
      </c>
      <c r="T332" t="s">
        <v>61</v>
      </c>
      <c r="U332" t="s">
        <v>71</v>
      </c>
      <c r="V332" s="13">
        <v>46288</v>
      </c>
    </row>
    <row r="333" spans="1:22" x14ac:dyDescent="0.25">
      <c r="A333" t="s">
        <v>467</v>
      </c>
      <c r="B333" s="13">
        <v>46058</v>
      </c>
      <c r="C333" t="s">
        <v>64</v>
      </c>
      <c r="D333" t="s">
        <v>65</v>
      </c>
      <c r="E333" t="s">
        <v>66</v>
      </c>
      <c r="F333" t="s">
        <v>67</v>
      </c>
      <c r="G333" t="s">
        <v>35</v>
      </c>
      <c r="H333" t="s">
        <v>122</v>
      </c>
      <c r="I333">
        <v>4</v>
      </c>
      <c r="J333">
        <v>5</v>
      </c>
      <c r="K333">
        <v>20</v>
      </c>
      <c r="L333" t="s">
        <v>94</v>
      </c>
      <c r="M333" t="s">
        <v>78</v>
      </c>
      <c r="N333" t="s">
        <v>42</v>
      </c>
      <c r="O333">
        <v>3</v>
      </c>
      <c r="P333">
        <v>4</v>
      </c>
      <c r="Q333">
        <v>12</v>
      </c>
      <c r="R333" t="s">
        <v>663</v>
      </c>
      <c r="S333" t="s">
        <v>40</v>
      </c>
      <c r="T333" t="s">
        <v>61</v>
      </c>
      <c r="U333" t="s">
        <v>96</v>
      </c>
      <c r="V333" s="13">
        <v>46423</v>
      </c>
    </row>
    <row r="334" spans="1:22" x14ac:dyDescent="0.25">
      <c r="A334" t="s">
        <v>468</v>
      </c>
      <c r="B334" s="13">
        <v>45853</v>
      </c>
      <c r="C334" t="s">
        <v>64</v>
      </c>
      <c r="D334" t="s">
        <v>74</v>
      </c>
      <c r="E334" t="s">
        <v>66</v>
      </c>
      <c r="F334" t="s">
        <v>67</v>
      </c>
      <c r="G334" t="s">
        <v>35</v>
      </c>
      <c r="H334" t="s">
        <v>122</v>
      </c>
      <c r="I334">
        <v>2</v>
      </c>
      <c r="J334">
        <v>3</v>
      </c>
      <c r="K334">
        <v>6</v>
      </c>
      <c r="L334" t="s">
        <v>28</v>
      </c>
      <c r="M334" t="s">
        <v>101</v>
      </c>
      <c r="N334" t="s">
        <v>128</v>
      </c>
      <c r="O334">
        <v>1</v>
      </c>
      <c r="P334">
        <v>2</v>
      </c>
      <c r="Q334">
        <v>2</v>
      </c>
      <c r="R334" t="s">
        <v>663</v>
      </c>
      <c r="S334" t="s">
        <v>31</v>
      </c>
      <c r="T334" t="s">
        <v>32</v>
      </c>
      <c r="U334" t="s">
        <v>33</v>
      </c>
      <c r="V334" s="13">
        <v>46218</v>
      </c>
    </row>
    <row r="335" spans="1:22" x14ac:dyDescent="0.25">
      <c r="A335" t="s">
        <v>469</v>
      </c>
      <c r="B335" s="13">
        <v>46002</v>
      </c>
      <c r="C335" t="s">
        <v>73</v>
      </c>
      <c r="D335" t="s">
        <v>98</v>
      </c>
      <c r="E335" t="s">
        <v>104</v>
      </c>
      <c r="F335" t="s">
        <v>105</v>
      </c>
      <c r="G335" t="s">
        <v>73</v>
      </c>
      <c r="H335" t="s">
        <v>116</v>
      </c>
      <c r="I335">
        <v>5</v>
      </c>
      <c r="J335">
        <v>2</v>
      </c>
      <c r="K335">
        <v>10</v>
      </c>
      <c r="L335" t="s">
        <v>40</v>
      </c>
      <c r="M335" t="s">
        <v>50</v>
      </c>
      <c r="N335" t="s">
        <v>70</v>
      </c>
      <c r="O335">
        <v>4</v>
      </c>
      <c r="P335">
        <v>2</v>
      </c>
      <c r="Q335">
        <v>8</v>
      </c>
      <c r="R335" t="s">
        <v>663</v>
      </c>
      <c r="S335" t="s">
        <v>28</v>
      </c>
      <c r="T335" t="s">
        <v>61</v>
      </c>
      <c r="U335" t="s">
        <v>62</v>
      </c>
      <c r="V335" s="13">
        <v>46732</v>
      </c>
    </row>
    <row r="336" spans="1:22" x14ac:dyDescent="0.25">
      <c r="A336" t="s">
        <v>470</v>
      </c>
      <c r="B336" s="13">
        <v>45717</v>
      </c>
      <c r="C336" t="s">
        <v>73</v>
      </c>
      <c r="D336" t="s">
        <v>80</v>
      </c>
      <c r="E336" t="s">
        <v>75</v>
      </c>
      <c r="F336" t="s">
        <v>76</v>
      </c>
      <c r="G336" t="s">
        <v>73</v>
      </c>
      <c r="H336" t="s">
        <v>116</v>
      </c>
      <c r="I336">
        <v>3</v>
      </c>
      <c r="J336">
        <v>2</v>
      </c>
      <c r="K336">
        <v>6</v>
      </c>
      <c r="L336" t="s">
        <v>28</v>
      </c>
      <c r="M336" t="s">
        <v>78</v>
      </c>
      <c r="N336" t="s">
        <v>102</v>
      </c>
      <c r="O336">
        <v>2</v>
      </c>
      <c r="P336">
        <v>1</v>
      </c>
      <c r="Q336">
        <v>2</v>
      </c>
      <c r="R336" t="s">
        <v>663</v>
      </c>
      <c r="S336" t="s">
        <v>31</v>
      </c>
      <c r="T336" t="s">
        <v>61</v>
      </c>
      <c r="U336" t="s">
        <v>33</v>
      </c>
      <c r="V336" s="13">
        <v>46447</v>
      </c>
    </row>
    <row r="337" spans="1:22" x14ac:dyDescent="0.25">
      <c r="A337" t="s">
        <v>471</v>
      </c>
      <c r="B337" s="13">
        <v>46118</v>
      </c>
      <c r="C337" t="s">
        <v>35</v>
      </c>
      <c r="D337" t="s">
        <v>80</v>
      </c>
      <c r="E337" t="s">
        <v>120</v>
      </c>
      <c r="F337" t="s">
        <v>121</v>
      </c>
      <c r="G337" t="s">
        <v>35</v>
      </c>
      <c r="H337" t="s">
        <v>68</v>
      </c>
      <c r="I337">
        <v>2</v>
      </c>
      <c r="J337">
        <v>5</v>
      </c>
      <c r="K337">
        <v>10</v>
      </c>
      <c r="L337" t="s">
        <v>40</v>
      </c>
      <c r="M337" t="s">
        <v>29</v>
      </c>
      <c r="N337" t="s">
        <v>30</v>
      </c>
      <c r="O337">
        <v>1</v>
      </c>
      <c r="P337">
        <v>4</v>
      </c>
      <c r="Q337">
        <v>4</v>
      </c>
      <c r="R337" t="s">
        <v>663</v>
      </c>
      <c r="S337" t="s">
        <v>31</v>
      </c>
      <c r="T337" t="s">
        <v>32</v>
      </c>
      <c r="U337" t="s">
        <v>62</v>
      </c>
      <c r="V337" s="13">
        <v>46483</v>
      </c>
    </row>
    <row r="338" spans="1:22" x14ac:dyDescent="0.25">
      <c r="A338" t="s">
        <v>472</v>
      </c>
      <c r="B338" s="13">
        <v>45789</v>
      </c>
      <c r="C338" t="s">
        <v>85</v>
      </c>
      <c r="D338" t="s">
        <v>108</v>
      </c>
      <c r="E338" t="s">
        <v>230</v>
      </c>
      <c r="F338" t="s">
        <v>231</v>
      </c>
      <c r="G338" t="s">
        <v>232</v>
      </c>
      <c r="H338" t="s">
        <v>116</v>
      </c>
      <c r="I338">
        <v>2</v>
      </c>
      <c r="J338">
        <v>3</v>
      </c>
      <c r="K338">
        <v>6</v>
      </c>
      <c r="L338" t="s">
        <v>28</v>
      </c>
      <c r="M338" t="s">
        <v>95</v>
      </c>
      <c r="N338" t="s">
        <v>42</v>
      </c>
      <c r="O338">
        <v>1</v>
      </c>
      <c r="P338">
        <v>2</v>
      </c>
      <c r="Q338">
        <v>2</v>
      </c>
      <c r="R338" t="s">
        <v>663</v>
      </c>
      <c r="S338" t="s">
        <v>31</v>
      </c>
      <c r="T338" t="s">
        <v>43</v>
      </c>
      <c r="U338" t="s">
        <v>62</v>
      </c>
      <c r="V338" s="13">
        <v>45969</v>
      </c>
    </row>
    <row r="339" spans="1:22" x14ac:dyDescent="0.25">
      <c r="A339" t="s">
        <v>473</v>
      </c>
      <c r="B339" s="13">
        <v>45693</v>
      </c>
      <c r="C339" t="s">
        <v>108</v>
      </c>
      <c r="D339" t="s">
        <v>80</v>
      </c>
      <c r="E339" t="s">
        <v>149</v>
      </c>
      <c r="F339" t="s">
        <v>150</v>
      </c>
      <c r="G339" t="s">
        <v>151</v>
      </c>
      <c r="H339" t="s">
        <v>68</v>
      </c>
      <c r="I339">
        <v>4</v>
      </c>
      <c r="J339">
        <v>2</v>
      </c>
      <c r="K339">
        <v>8</v>
      </c>
      <c r="L339" t="s">
        <v>28</v>
      </c>
      <c r="M339" t="s">
        <v>101</v>
      </c>
      <c r="N339" t="s">
        <v>30</v>
      </c>
      <c r="O339">
        <v>2</v>
      </c>
      <c r="P339">
        <v>2</v>
      </c>
      <c r="Q339">
        <v>4</v>
      </c>
      <c r="R339" t="s">
        <v>663</v>
      </c>
      <c r="S339" t="s">
        <v>31</v>
      </c>
      <c r="T339" t="s">
        <v>32</v>
      </c>
      <c r="U339" t="s">
        <v>33</v>
      </c>
      <c r="V339" s="13">
        <v>46423</v>
      </c>
    </row>
    <row r="340" spans="1:22" x14ac:dyDescent="0.25">
      <c r="A340" t="s">
        <v>474</v>
      </c>
      <c r="B340" s="13">
        <v>45958</v>
      </c>
      <c r="C340" t="s">
        <v>64</v>
      </c>
      <c r="D340" t="s">
        <v>108</v>
      </c>
      <c r="E340" t="s">
        <v>174</v>
      </c>
      <c r="F340" t="s">
        <v>175</v>
      </c>
      <c r="G340" t="s">
        <v>176</v>
      </c>
      <c r="H340" t="s">
        <v>201</v>
      </c>
      <c r="I340">
        <v>5</v>
      </c>
      <c r="J340">
        <v>3</v>
      </c>
      <c r="K340">
        <v>15</v>
      </c>
      <c r="L340" t="s">
        <v>40</v>
      </c>
      <c r="M340" t="s">
        <v>95</v>
      </c>
      <c r="N340" t="s">
        <v>124</v>
      </c>
      <c r="O340">
        <v>5</v>
      </c>
      <c r="P340">
        <v>3</v>
      </c>
      <c r="Q340">
        <v>15</v>
      </c>
      <c r="R340" t="s">
        <v>663</v>
      </c>
      <c r="S340" t="s">
        <v>40</v>
      </c>
      <c r="T340" t="s">
        <v>32</v>
      </c>
      <c r="U340" t="s">
        <v>96</v>
      </c>
      <c r="V340" s="13">
        <v>46138</v>
      </c>
    </row>
    <row r="341" spans="1:22" x14ac:dyDescent="0.25">
      <c r="A341" t="s">
        <v>475</v>
      </c>
      <c r="B341" s="13">
        <v>45759</v>
      </c>
      <c r="C341" t="s">
        <v>22</v>
      </c>
      <c r="D341" t="s">
        <v>55</v>
      </c>
      <c r="E341" t="s">
        <v>81</v>
      </c>
      <c r="F341" t="s">
        <v>82</v>
      </c>
      <c r="G341" t="s">
        <v>81</v>
      </c>
      <c r="H341" t="s">
        <v>68</v>
      </c>
      <c r="I341">
        <v>4</v>
      </c>
      <c r="J341">
        <v>3</v>
      </c>
      <c r="K341">
        <v>12</v>
      </c>
      <c r="L341" t="s">
        <v>40</v>
      </c>
      <c r="M341" t="s">
        <v>83</v>
      </c>
      <c r="N341" t="s">
        <v>30</v>
      </c>
      <c r="O341">
        <v>4</v>
      </c>
      <c r="P341">
        <v>2</v>
      </c>
      <c r="Q341">
        <v>8</v>
      </c>
      <c r="R341" t="s">
        <v>663</v>
      </c>
      <c r="S341" t="s">
        <v>28</v>
      </c>
      <c r="T341" t="s">
        <v>61</v>
      </c>
      <c r="U341" t="s">
        <v>62</v>
      </c>
      <c r="V341" s="13">
        <v>46124</v>
      </c>
    </row>
    <row r="342" spans="1:22" x14ac:dyDescent="0.25">
      <c r="A342" t="s">
        <v>476</v>
      </c>
      <c r="B342" s="13">
        <v>46105</v>
      </c>
      <c r="C342" t="s">
        <v>22</v>
      </c>
      <c r="D342" t="s">
        <v>80</v>
      </c>
      <c r="E342" t="s">
        <v>109</v>
      </c>
      <c r="F342" t="s">
        <v>110</v>
      </c>
      <c r="G342" t="s">
        <v>111</v>
      </c>
      <c r="H342" t="s">
        <v>197</v>
      </c>
      <c r="I342">
        <v>4</v>
      </c>
      <c r="J342">
        <v>4</v>
      </c>
      <c r="K342">
        <v>16</v>
      </c>
      <c r="L342" t="s">
        <v>40</v>
      </c>
      <c r="M342" t="s">
        <v>95</v>
      </c>
      <c r="N342" t="s">
        <v>128</v>
      </c>
      <c r="O342">
        <v>2</v>
      </c>
      <c r="P342">
        <v>4</v>
      </c>
      <c r="Q342">
        <v>8</v>
      </c>
      <c r="R342" t="s">
        <v>663</v>
      </c>
      <c r="S342" t="s">
        <v>28</v>
      </c>
      <c r="T342" t="s">
        <v>61</v>
      </c>
      <c r="U342" t="s">
        <v>71</v>
      </c>
      <c r="V342" s="13">
        <v>46470</v>
      </c>
    </row>
    <row r="343" spans="1:22" x14ac:dyDescent="0.25">
      <c r="A343" t="s">
        <v>477</v>
      </c>
      <c r="B343" s="13">
        <v>45966</v>
      </c>
      <c r="C343" t="s">
        <v>35</v>
      </c>
      <c r="D343" t="s">
        <v>98</v>
      </c>
      <c r="E343" t="s">
        <v>36</v>
      </c>
      <c r="F343" t="s">
        <v>37</v>
      </c>
      <c r="G343" t="s">
        <v>38</v>
      </c>
      <c r="H343" t="s">
        <v>39</v>
      </c>
      <c r="I343">
        <v>4</v>
      </c>
      <c r="J343">
        <v>4</v>
      </c>
      <c r="K343">
        <v>16</v>
      </c>
      <c r="L343" t="s">
        <v>40</v>
      </c>
      <c r="M343" t="s">
        <v>83</v>
      </c>
      <c r="N343" t="s">
        <v>106</v>
      </c>
      <c r="O343">
        <v>4</v>
      </c>
      <c r="P343">
        <v>3</v>
      </c>
      <c r="Q343">
        <v>12</v>
      </c>
      <c r="R343" t="s">
        <v>663</v>
      </c>
      <c r="S343" t="s">
        <v>40</v>
      </c>
      <c r="T343" t="s">
        <v>61</v>
      </c>
      <c r="U343" t="s">
        <v>96</v>
      </c>
      <c r="V343" s="13">
        <v>46331</v>
      </c>
    </row>
    <row r="344" spans="1:22" x14ac:dyDescent="0.25">
      <c r="A344" t="s">
        <v>478</v>
      </c>
      <c r="B344" s="13">
        <v>45772</v>
      </c>
      <c r="C344" t="s">
        <v>35</v>
      </c>
      <c r="D344" t="s">
        <v>55</v>
      </c>
      <c r="E344" t="s">
        <v>36</v>
      </c>
      <c r="F344" t="s">
        <v>37</v>
      </c>
      <c r="G344" t="s">
        <v>38</v>
      </c>
      <c r="H344" t="s">
        <v>113</v>
      </c>
      <c r="I344">
        <v>2</v>
      </c>
      <c r="J344">
        <v>2</v>
      </c>
      <c r="K344">
        <v>4</v>
      </c>
      <c r="L344" t="s">
        <v>31</v>
      </c>
      <c r="M344" t="s">
        <v>95</v>
      </c>
      <c r="N344" t="s">
        <v>106</v>
      </c>
      <c r="O344">
        <v>1</v>
      </c>
      <c r="P344">
        <v>1</v>
      </c>
      <c r="Q344">
        <v>1</v>
      </c>
      <c r="R344" t="s">
        <v>663</v>
      </c>
      <c r="S344" t="s">
        <v>31</v>
      </c>
      <c r="T344" t="s">
        <v>43</v>
      </c>
      <c r="U344" t="s">
        <v>71</v>
      </c>
      <c r="V344" s="13">
        <v>46137</v>
      </c>
    </row>
    <row r="345" spans="1:22" x14ac:dyDescent="0.25">
      <c r="A345" t="s">
        <v>479</v>
      </c>
      <c r="B345" s="13">
        <v>45748</v>
      </c>
      <c r="C345" t="s">
        <v>35</v>
      </c>
      <c r="D345" t="s">
        <v>80</v>
      </c>
      <c r="E345" t="s">
        <v>36</v>
      </c>
      <c r="F345" t="s">
        <v>37</v>
      </c>
      <c r="G345" t="s">
        <v>38</v>
      </c>
      <c r="H345" t="s">
        <v>116</v>
      </c>
      <c r="I345">
        <v>2</v>
      </c>
      <c r="J345">
        <v>5</v>
      </c>
      <c r="K345">
        <v>10</v>
      </c>
      <c r="L345" t="s">
        <v>40</v>
      </c>
      <c r="M345" t="s">
        <v>29</v>
      </c>
      <c r="N345" t="s">
        <v>124</v>
      </c>
      <c r="O345">
        <v>1</v>
      </c>
      <c r="P345">
        <v>4</v>
      </c>
      <c r="Q345">
        <v>4</v>
      </c>
      <c r="R345" t="s">
        <v>663</v>
      </c>
      <c r="S345" t="s">
        <v>31</v>
      </c>
      <c r="T345" t="s">
        <v>32</v>
      </c>
      <c r="U345" t="s">
        <v>71</v>
      </c>
      <c r="V345" s="13">
        <v>46113</v>
      </c>
    </row>
    <row r="346" spans="1:22" x14ac:dyDescent="0.25">
      <c r="A346" t="s">
        <v>480</v>
      </c>
      <c r="B346" s="13">
        <v>45845</v>
      </c>
      <c r="C346" t="s">
        <v>35</v>
      </c>
      <c r="D346" t="s">
        <v>65</v>
      </c>
      <c r="E346" t="s">
        <v>36</v>
      </c>
      <c r="F346" t="s">
        <v>37</v>
      </c>
      <c r="G346" t="s">
        <v>38</v>
      </c>
      <c r="H346" t="s">
        <v>39</v>
      </c>
      <c r="I346">
        <v>3</v>
      </c>
      <c r="J346">
        <v>5</v>
      </c>
      <c r="K346">
        <v>15</v>
      </c>
      <c r="L346" t="s">
        <v>40</v>
      </c>
      <c r="M346" t="s">
        <v>69</v>
      </c>
      <c r="N346" t="s">
        <v>124</v>
      </c>
      <c r="O346">
        <v>2</v>
      </c>
      <c r="P346">
        <v>4</v>
      </c>
      <c r="Q346">
        <v>8</v>
      </c>
      <c r="R346" t="s">
        <v>663</v>
      </c>
      <c r="S346" t="s">
        <v>28</v>
      </c>
      <c r="T346" t="s">
        <v>32</v>
      </c>
      <c r="U346" t="s">
        <v>62</v>
      </c>
      <c r="V346" s="13">
        <v>46025</v>
      </c>
    </row>
    <row r="347" spans="1:22" x14ac:dyDescent="0.25">
      <c r="A347" t="s">
        <v>481</v>
      </c>
      <c r="B347" s="13">
        <v>45837</v>
      </c>
      <c r="C347" t="s">
        <v>64</v>
      </c>
      <c r="D347" t="s">
        <v>80</v>
      </c>
      <c r="E347" t="s">
        <v>66</v>
      </c>
      <c r="F347" t="s">
        <v>67</v>
      </c>
      <c r="G347" t="s">
        <v>35</v>
      </c>
      <c r="H347" t="s">
        <v>68</v>
      </c>
      <c r="I347">
        <v>4</v>
      </c>
      <c r="J347">
        <v>2</v>
      </c>
      <c r="K347">
        <v>8</v>
      </c>
      <c r="L347" t="s">
        <v>28</v>
      </c>
      <c r="M347" t="s">
        <v>29</v>
      </c>
      <c r="N347" t="s">
        <v>124</v>
      </c>
      <c r="O347">
        <v>3</v>
      </c>
      <c r="P347">
        <v>1</v>
      </c>
      <c r="Q347">
        <v>3</v>
      </c>
      <c r="R347" t="s">
        <v>663</v>
      </c>
      <c r="S347" t="s">
        <v>31</v>
      </c>
      <c r="T347" t="s">
        <v>43</v>
      </c>
      <c r="U347" t="s">
        <v>52</v>
      </c>
      <c r="V347" s="13">
        <v>46202</v>
      </c>
    </row>
    <row r="348" spans="1:22" x14ac:dyDescent="0.25">
      <c r="A348" t="s">
        <v>482</v>
      </c>
      <c r="B348" s="13">
        <v>46169</v>
      </c>
      <c r="C348" t="s">
        <v>22</v>
      </c>
      <c r="D348" t="s">
        <v>108</v>
      </c>
      <c r="E348" t="s">
        <v>135</v>
      </c>
      <c r="F348" t="s">
        <v>136</v>
      </c>
      <c r="G348" t="s">
        <v>35</v>
      </c>
      <c r="H348" t="s">
        <v>122</v>
      </c>
      <c r="I348">
        <v>3</v>
      </c>
      <c r="J348">
        <v>4</v>
      </c>
      <c r="K348">
        <v>12</v>
      </c>
      <c r="L348" t="s">
        <v>40</v>
      </c>
      <c r="M348" t="s">
        <v>29</v>
      </c>
      <c r="N348" t="s">
        <v>89</v>
      </c>
      <c r="O348">
        <v>1</v>
      </c>
      <c r="P348">
        <v>4</v>
      </c>
      <c r="Q348">
        <v>4</v>
      </c>
      <c r="R348" t="s">
        <v>663</v>
      </c>
      <c r="S348" t="s">
        <v>31</v>
      </c>
      <c r="T348" t="s">
        <v>61</v>
      </c>
      <c r="U348" t="s">
        <v>62</v>
      </c>
      <c r="V348" s="13">
        <v>46899</v>
      </c>
    </row>
    <row r="349" spans="1:22" x14ac:dyDescent="0.25">
      <c r="A349" t="s">
        <v>483</v>
      </c>
      <c r="B349" s="13">
        <v>46152</v>
      </c>
      <c r="C349" t="s">
        <v>64</v>
      </c>
      <c r="D349" t="s">
        <v>65</v>
      </c>
      <c r="E349" t="s">
        <v>66</v>
      </c>
      <c r="F349" t="s">
        <v>67</v>
      </c>
      <c r="G349" t="s">
        <v>35</v>
      </c>
      <c r="H349" t="s">
        <v>68</v>
      </c>
      <c r="I349">
        <v>5</v>
      </c>
      <c r="J349">
        <v>5</v>
      </c>
      <c r="K349">
        <v>25</v>
      </c>
      <c r="L349" t="s">
        <v>94</v>
      </c>
      <c r="M349" t="s">
        <v>50</v>
      </c>
      <c r="N349" t="s">
        <v>106</v>
      </c>
      <c r="O349">
        <v>4</v>
      </c>
      <c r="P349">
        <v>5</v>
      </c>
      <c r="Q349">
        <v>20</v>
      </c>
      <c r="R349" t="s">
        <v>663</v>
      </c>
      <c r="S349" t="s">
        <v>94</v>
      </c>
      <c r="T349" t="s">
        <v>43</v>
      </c>
      <c r="U349" t="s">
        <v>33</v>
      </c>
      <c r="V349" s="13">
        <v>46882</v>
      </c>
    </row>
    <row r="350" spans="1:22" x14ac:dyDescent="0.25">
      <c r="A350" t="s">
        <v>484</v>
      </c>
      <c r="B350" s="13">
        <v>45875</v>
      </c>
      <c r="C350" t="s">
        <v>35</v>
      </c>
      <c r="D350" t="s">
        <v>74</v>
      </c>
      <c r="E350" t="s">
        <v>36</v>
      </c>
      <c r="F350" t="s">
        <v>37</v>
      </c>
      <c r="G350" t="s">
        <v>38</v>
      </c>
      <c r="H350" t="s">
        <v>113</v>
      </c>
      <c r="I350">
        <v>4</v>
      </c>
      <c r="J350">
        <v>4</v>
      </c>
      <c r="K350">
        <v>16</v>
      </c>
      <c r="L350" t="s">
        <v>40</v>
      </c>
      <c r="M350" t="s">
        <v>101</v>
      </c>
      <c r="N350" t="s">
        <v>60</v>
      </c>
      <c r="O350">
        <v>4</v>
      </c>
      <c r="P350">
        <v>4</v>
      </c>
      <c r="Q350">
        <v>16</v>
      </c>
      <c r="R350" t="s">
        <v>663</v>
      </c>
      <c r="S350" t="s">
        <v>40</v>
      </c>
      <c r="T350" t="s">
        <v>32</v>
      </c>
      <c r="U350" t="s">
        <v>71</v>
      </c>
      <c r="V350" s="13">
        <v>46240</v>
      </c>
    </row>
    <row r="351" spans="1:22" x14ac:dyDescent="0.25">
      <c r="A351" t="s">
        <v>485</v>
      </c>
      <c r="B351" s="13">
        <v>45939</v>
      </c>
      <c r="C351" t="s">
        <v>45</v>
      </c>
      <c r="D351" t="s">
        <v>65</v>
      </c>
      <c r="E351" t="s">
        <v>46</v>
      </c>
      <c r="F351" t="s">
        <v>47</v>
      </c>
      <c r="G351" t="s">
        <v>48</v>
      </c>
      <c r="H351" t="s">
        <v>39</v>
      </c>
      <c r="I351">
        <v>4</v>
      </c>
      <c r="J351">
        <v>4</v>
      </c>
      <c r="K351">
        <v>16</v>
      </c>
      <c r="L351" t="s">
        <v>40</v>
      </c>
      <c r="M351" t="s">
        <v>50</v>
      </c>
      <c r="N351" t="s">
        <v>30</v>
      </c>
      <c r="O351">
        <v>2</v>
      </c>
      <c r="P351">
        <v>3</v>
      </c>
      <c r="Q351">
        <v>6</v>
      </c>
      <c r="R351" t="s">
        <v>663</v>
      </c>
      <c r="S351" t="s">
        <v>28</v>
      </c>
      <c r="T351" t="s">
        <v>32</v>
      </c>
      <c r="U351" t="s">
        <v>52</v>
      </c>
      <c r="V351" s="13">
        <v>46669</v>
      </c>
    </row>
    <row r="352" spans="1:22" x14ac:dyDescent="0.25">
      <c r="A352" t="s">
        <v>486</v>
      </c>
      <c r="B352" s="13">
        <v>45936</v>
      </c>
      <c r="C352" t="s">
        <v>85</v>
      </c>
      <c r="D352" t="s">
        <v>23</v>
      </c>
      <c r="E352" t="s">
        <v>230</v>
      </c>
      <c r="F352" t="s">
        <v>231</v>
      </c>
      <c r="G352" t="s">
        <v>232</v>
      </c>
      <c r="H352" t="s">
        <v>233</v>
      </c>
      <c r="I352">
        <v>2</v>
      </c>
      <c r="J352">
        <v>2</v>
      </c>
      <c r="K352">
        <v>4</v>
      </c>
      <c r="L352" t="s">
        <v>31</v>
      </c>
      <c r="M352" t="s">
        <v>101</v>
      </c>
      <c r="N352" t="s">
        <v>60</v>
      </c>
      <c r="O352">
        <v>1</v>
      </c>
      <c r="P352">
        <v>1</v>
      </c>
      <c r="Q352">
        <v>1</v>
      </c>
      <c r="R352" t="s">
        <v>663</v>
      </c>
      <c r="S352" t="s">
        <v>31</v>
      </c>
      <c r="T352" t="s">
        <v>43</v>
      </c>
      <c r="U352" t="s">
        <v>71</v>
      </c>
      <c r="V352" s="13">
        <v>46301</v>
      </c>
    </row>
    <row r="353" spans="1:22" x14ac:dyDescent="0.25">
      <c r="A353" t="s">
        <v>487</v>
      </c>
      <c r="B353" s="13">
        <v>45677</v>
      </c>
      <c r="C353" t="s">
        <v>85</v>
      </c>
      <c r="D353" t="s">
        <v>74</v>
      </c>
      <c r="E353" t="s">
        <v>230</v>
      </c>
      <c r="F353" t="s">
        <v>231</v>
      </c>
      <c r="G353" t="s">
        <v>232</v>
      </c>
      <c r="H353" t="s">
        <v>233</v>
      </c>
      <c r="I353">
        <v>4</v>
      </c>
      <c r="J353">
        <v>4</v>
      </c>
      <c r="K353">
        <v>16</v>
      </c>
      <c r="L353" t="s">
        <v>40</v>
      </c>
      <c r="M353" t="s">
        <v>41</v>
      </c>
      <c r="N353" t="s">
        <v>102</v>
      </c>
      <c r="O353">
        <v>2</v>
      </c>
      <c r="P353">
        <v>4</v>
      </c>
      <c r="Q353">
        <v>8</v>
      </c>
      <c r="R353" t="s">
        <v>663</v>
      </c>
      <c r="S353" t="s">
        <v>28</v>
      </c>
      <c r="T353" t="s">
        <v>43</v>
      </c>
      <c r="U353" t="s">
        <v>62</v>
      </c>
      <c r="V353" s="13">
        <v>46407</v>
      </c>
    </row>
    <row r="354" spans="1:22" x14ac:dyDescent="0.25">
      <c r="A354" t="s">
        <v>617</v>
      </c>
      <c r="B354" s="13">
        <v>46088</v>
      </c>
      <c r="C354" t="s">
        <v>22</v>
      </c>
      <c r="D354" t="s">
        <v>65</v>
      </c>
      <c r="E354" t="s">
        <v>135</v>
      </c>
      <c r="F354" t="s">
        <v>136</v>
      </c>
      <c r="G354" t="s">
        <v>35</v>
      </c>
      <c r="H354" t="s">
        <v>68</v>
      </c>
      <c r="I354">
        <v>3</v>
      </c>
      <c r="J354">
        <v>2</v>
      </c>
      <c r="K354">
        <v>6</v>
      </c>
      <c r="L354" t="s">
        <v>28</v>
      </c>
      <c r="M354" t="s">
        <v>78</v>
      </c>
      <c r="N354" t="s">
        <v>70</v>
      </c>
      <c r="O354">
        <v>3</v>
      </c>
      <c r="P354">
        <v>1</v>
      </c>
      <c r="Q354">
        <v>3</v>
      </c>
      <c r="R354" t="s">
        <v>663</v>
      </c>
      <c r="S354" t="s">
        <v>31</v>
      </c>
      <c r="T354" t="s">
        <v>43</v>
      </c>
      <c r="U354" t="s">
        <v>62</v>
      </c>
      <c r="V354" s="13">
        <v>46818</v>
      </c>
    </row>
    <row r="355" spans="1:22" x14ac:dyDescent="0.25">
      <c r="A355" t="s">
        <v>489</v>
      </c>
      <c r="B355" s="13">
        <v>46099</v>
      </c>
      <c r="C355" t="s">
        <v>73</v>
      </c>
      <c r="D355" t="s">
        <v>65</v>
      </c>
      <c r="E355" t="s">
        <v>75</v>
      </c>
      <c r="F355" t="s">
        <v>76</v>
      </c>
      <c r="G355" t="s">
        <v>73</v>
      </c>
      <c r="H355" t="s">
        <v>68</v>
      </c>
      <c r="I355">
        <v>4</v>
      </c>
      <c r="J355">
        <v>3</v>
      </c>
      <c r="K355">
        <v>12</v>
      </c>
      <c r="L355" t="s">
        <v>40</v>
      </c>
      <c r="M355" t="s">
        <v>83</v>
      </c>
      <c r="N355" t="s">
        <v>51</v>
      </c>
      <c r="O355">
        <v>3</v>
      </c>
      <c r="P355">
        <v>3</v>
      </c>
      <c r="Q355">
        <v>9</v>
      </c>
      <c r="R355" t="s">
        <v>663</v>
      </c>
      <c r="S355" t="s">
        <v>28</v>
      </c>
      <c r="T355" t="s">
        <v>61</v>
      </c>
      <c r="U355" t="s">
        <v>62</v>
      </c>
      <c r="V355" s="13">
        <v>46464</v>
      </c>
    </row>
    <row r="356" spans="1:22" x14ac:dyDescent="0.25">
      <c r="A356" t="s">
        <v>616</v>
      </c>
      <c r="B356" s="13">
        <v>46016</v>
      </c>
      <c r="C356" t="s">
        <v>64</v>
      </c>
      <c r="D356" t="s">
        <v>98</v>
      </c>
      <c r="E356" t="s">
        <v>66</v>
      </c>
      <c r="F356" t="s">
        <v>67</v>
      </c>
      <c r="G356" t="s">
        <v>35</v>
      </c>
      <c r="H356" t="s">
        <v>122</v>
      </c>
      <c r="I356">
        <v>3</v>
      </c>
      <c r="J356">
        <v>4</v>
      </c>
      <c r="K356">
        <v>12</v>
      </c>
      <c r="L356" t="s">
        <v>40</v>
      </c>
      <c r="M356" t="s">
        <v>50</v>
      </c>
      <c r="N356" t="s">
        <v>102</v>
      </c>
      <c r="O356">
        <v>1</v>
      </c>
      <c r="P356">
        <v>4</v>
      </c>
      <c r="Q356">
        <v>4</v>
      </c>
      <c r="R356" t="s">
        <v>663</v>
      </c>
      <c r="S356" t="s">
        <v>31</v>
      </c>
      <c r="T356" t="s">
        <v>61</v>
      </c>
      <c r="U356" t="s">
        <v>96</v>
      </c>
      <c r="V356" s="13">
        <v>46381</v>
      </c>
    </row>
    <row r="357" spans="1:22" x14ac:dyDescent="0.25">
      <c r="A357" t="s">
        <v>491</v>
      </c>
      <c r="B357" s="13">
        <v>45942</v>
      </c>
      <c r="C357" t="s">
        <v>64</v>
      </c>
      <c r="D357" t="s">
        <v>98</v>
      </c>
      <c r="E357" t="s">
        <v>66</v>
      </c>
      <c r="F357" t="s">
        <v>67</v>
      </c>
      <c r="G357" t="s">
        <v>35</v>
      </c>
      <c r="H357" t="s">
        <v>122</v>
      </c>
      <c r="I357">
        <v>4</v>
      </c>
      <c r="J357">
        <v>5</v>
      </c>
      <c r="K357">
        <v>20</v>
      </c>
      <c r="L357" t="s">
        <v>94</v>
      </c>
      <c r="M357" t="s">
        <v>101</v>
      </c>
      <c r="N357" t="s">
        <v>124</v>
      </c>
      <c r="O357">
        <v>4</v>
      </c>
      <c r="P357">
        <v>5</v>
      </c>
      <c r="Q357">
        <v>20</v>
      </c>
      <c r="R357" t="s">
        <v>663</v>
      </c>
      <c r="S357" t="s">
        <v>94</v>
      </c>
      <c r="T357" t="s">
        <v>43</v>
      </c>
      <c r="U357" t="s">
        <v>96</v>
      </c>
      <c r="V357" s="13">
        <v>46307</v>
      </c>
    </row>
    <row r="358" spans="1:22" x14ac:dyDescent="0.25">
      <c r="A358" t="s">
        <v>492</v>
      </c>
      <c r="B358" s="13">
        <v>45670</v>
      </c>
      <c r="C358" t="s">
        <v>22</v>
      </c>
      <c r="D358" t="s">
        <v>55</v>
      </c>
      <c r="E358" t="s">
        <v>24</v>
      </c>
      <c r="F358" t="s">
        <v>25</v>
      </c>
      <c r="G358" t="s">
        <v>26</v>
      </c>
      <c r="H358" t="s">
        <v>223</v>
      </c>
      <c r="I358">
        <v>2</v>
      </c>
      <c r="J358">
        <v>2</v>
      </c>
      <c r="K358">
        <v>4</v>
      </c>
      <c r="L358" t="s">
        <v>31</v>
      </c>
      <c r="M358" t="s">
        <v>69</v>
      </c>
      <c r="N358" t="s">
        <v>42</v>
      </c>
      <c r="O358">
        <v>1</v>
      </c>
      <c r="P358">
        <v>1</v>
      </c>
      <c r="Q358">
        <v>1</v>
      </c>
      <c r="R358" t="s">
        <v>663</v>
      </c>
      <c r="S358" t="s">
        <v>31</v>
      </c>
      <c r="T358" t="s">
        <v>61</v>
      </c>
      <c r="U358" t="s">
        <v>62</v>
      </c>
      <c r="V358" s="13">
        <v>46400</v>
      </c>
    </row>
    <row r="359" spans="1:22" x14ac:dyDescent="0.25">
      <c r="A359" t="s">
        <v>493</v>
      </c>
      <c r="B359" s="13">
        <v>46213</v>
      </c>
      <c r="C359" t="s">
        <v>22</v>
      </c>
      <c r="D359" t="s">
        <v>74</v>
      </c>
      <c r="E359" t="s">
        <v>135</v>
      </c>
      <c r="F359" t="s">
        <v>136</v>
      </c>
      <c r="G359" t="s">
        <v>35</v>
      </c>
      <c r="H359" t="s">
        <v>137</v>
      </c>
      <c r="I359">
        <v>2</v>
      </c>
      <c r="J359">
        <v>3</v>
      </c>
      <c r="K359">
        <v>6</v>
      </c>
      <c r="L359" t="s">
        <v>28</v>
      </c>
      <c r="M359" t="s">
        <v>95</v>
      </c>
      <c r="N359" t="s">
        <v>128</v>
      </c>
      <c r="O359">
        <v>1</v>
      </c>
      <c r="P359">
        <v>2</v>
      </c>
      <c r="Q359">
        <v>2</v>
      </c>
      <c r="R359" t="s">
        <v>663</v>
      </c>
      <c r="S359" t="s">
        <v>31</v>
      </c>
      <c r="T359" t="s">
        <v>61</v>
      </c>
      <c r="U359" t="s">
        <v>96</v>
      </c>
      <c r="V359" s="13">
        <v>46943</v>
      </c>
    </row>
    <row r="360" spans="1:22" x14ac:dyDescent="0.25">
      <c r="A360" t="s">
        <v>494</v>
      </c>
      <c r="B360" s="13">
        <v>46322</v>
      </c>
      <c r="C360" t="s">
        <v>108</v>
      </c>
      <c r="D360" t="s">
        <v>80</v>
      </c>
      <c r="E360" t="s">
        <v>162</v>
      </c>
      <c r="F360" t="s">
        <v>163</v>
      </c>
      <c r="G360" t="s">
        <v>164</v>
      </c>
      <c r="H360" t="s">
        <v>219</v>
      </c>
      <c r="I360">
        <v>4</v>
      </c>
      <c r="J360">
        <v>4</v>
      </c>
      <c r="K360">
        <v>16</v>
      </c>
      <c r="L360" t="s">
        <v>40</v>
      </c>
      <c r="M360" t="s">
        <v>50</v>
      </c>
      <c r="N360" t="s">
        <v>70</v>
      </c>
      <c r="O360">
        <v>3</v>
      </c>
      <c r="P360">
        <v>4</v>
      </c>
      <c r="Q360">
        <v>12</v>
      </c>
      <c r="R360" t="s">
        <v>663</v>
      </c>
      <c r="S360" t="s">
        <v>40</v>
      </c>
      <c r="T360" t="s">
        <v>43</v>
      </c>
      <c r="U360" t="s">
        <v>33</v>
      </c>
      <c r="V360" s="13">
        <v>46502</v>
      </c>
    </row>
    <row r="361" spans="1:22" x14ac:dyDescent="0.25">
      <c r="A361" t="s">
        <v>495</v>
      </c>
      <c r="B361" s="13">
        <v>45822</v>
      </c>
      <c r="C361" t="s">
        <v>73</v>
      </c>
      <c r="D361" t="s">
        <v>55</v>
      </c>
      <c r="E361" t="s">
        <v>75</v>
      </c>
      <c r="F361" t="s">
        <v>76</v>
      </c>
      <c r="G361" t="s">
        <v>73</v>
      </c>
      <c r="H361" t="s">
        <v>77</v>
      </c>
      <c r="I361">
        <v>5</v>
      </c>
      <c r="J361">
        <v>3</v>
      </c>
      <c r="K361">
        <v>15</v>
      </c>
      <c r="L361" t="s">
        <v>40</v>
      </c>
      <c r="M361" t="s">
        <v>78</v>
      </c>
      <c r="N361" t="s">
        <v>42</v>
      </c>
      <c r="O361">
        <v>4</v>
      </c>
      <c r="P361">
        <v>3</v>
      </c>
      <c r="Q361">
        <v>12</v>
      </c>
      <c r="R361" t="s">
        <v>663</v>
      </c>
      <c r="S361" t="s">
        <v>40</v>
      </c>
      <c r="T361" t="s">
        <v>43</v>
      </c>
      <c r="U361" t="s">
        <v>96</v>
      </c>
      <c r="V361" s="13">
        <v>46552</v>
      </c>
    </row>
    <row r="362" spans="1:22" x14ac:dyDescent="0.25">
      <c r="A362" t="s">
        <v>496</v>
      </c>
      <c r="B362" s="13">
        <v>46240</v>
      </c>
      <c r="C362" t="s">
        <v>22</v>
      </c>
      <c r="D362" t="s">
        <v>74</v>
      </c>
      <c r="E362" t="s">
        <v>81</v>
      </c>
      <c r="F362" t="s">
        <v>82</v>
      </c>
      <c r="G362" t="s">
        <v>81</v>
      </c>
      <c r="H362" t="s">
        <v>143</v>
      </c>
      <c r="I362">
        <v>3</v>
      </c>
      <c r="J362">
        <v>5</v>
      </c>
      <c r="K362">
        <v>15</v>
      </c>
      <c r="L362" t="s">
        <v>40</v>
      </c>
      <c r="M362" t="s">
        <v>29</v>
      </c>
      <c r="N362" t="s">
        <v>51</v>
      </c>
      <c r="O362">
        <v>2</v>
      </c>
      <c r="P362">
        <v>4</v>
      </c>
      <c r="Q362">
        <v>8</v>
      </c>
      <c r="R362" t="s">
        <v>663</v>
      </c>
      <c r="S362" t="s">
        <v>28</v>
      </c>
      <c r="T362" t="s">
        <v>61</v>
      </c>
      <c r="U362" t="s">
        <v>62</v>
      </c>
      <c r="V362" s="13">
        <v>46605</v>
      </c>
    </row>
    <row r="363" spans="1:22" x14ac:dyDescent="0.25">
      <c r="A363" t="s">
        <v>497</v>
      </c>
      <c r="B363" s="13">
        <v>45938</v>
      </c>
      <c r="C363" t="s">
        <v>64</v>
      </c>
      <c r="D363" t="s">
        <v>55</v>
      </c>
      <c r="E363" t="s">
        <v>66</v>
      </c>
      <c r="F363" t="s">
        <v>67</v>
      </c>
      <c r="G363" t="s">
        <v>35</v>
      </c>
      <c r="H363" t="s">
        <v>93</v>
      </c>
      <c r="I363">
        <v>4</v>
      </c>
      <c r="J363">
        <v>5</v>
      </c>
      <c r="K363">
        <v>20</v>
      </c>
      <c r="L363" t="s">
        <v>94</v>
      </c>
      <c r="M363" t="s">
        <v>50</v>
      </c>
      <c r="N363" t="s">
        <v>30</v>
      </c>
      <c r="O363">
        <v>3</v>
      </c>
      <c r="P363">
        <v>5</v>
      </c>
      <c r="Q363">
        <v>15</v>
      </c>
      <c r="R363" t="s">
        <v>663</v>
      </c>
      <c r="S363" t="s">
        <v>40</v>
      </c>
      <c r="T363" t="s">
        <v>43</v>
      </c>
      <c r="U363" t="s">
        <v>62</v>
      </c>
      <c r="V363" s="13">
        <v>46303</v>
      </c>
    </row>
    <row r="364" spans="1:22" x14ac:dyDescent="0.25">
      <c r="A364" t="s">
        <v>498</v>
      </c>
      <c r="B364" s="13">
        <v>46239</v>
      </c>
      <c r="C364" t="s">
        <v>64</v>
      </c>
      <c r="D364" t="s">
        <v>80</v>
      </c>
      <c r="E364" t="s">
        <v>174</v>
      </c>
      <c r="F364" t="s">
        <v>175</v>
      </c>
      <c r="G364" t="s">
        <v>176</v>
      </c>
      <c r="H364" t="s">
        <v>201</v>
      </c>
      <c r="I364">
        <v>5</v>
      </c>
      <c r="J364">
        <v>5</v>
      </c>
      <c r="K364">
        <v>25</v>
      </c>
      <c r="L364" t="s">
        <v>94</v>
      </c>
      <c r="M364" t="s">
        <v>83</v>
      </c>
      <c r="N364" t="s">
        <v>30</v>
      </c>
      <c r="O364">
        <v>4</v>
      </c>
      <c r="P364">
        <v>5</v>
      </c>
      <c r="Q364">
        <v>20</v>
      </c>
      <c r="R364" t="s">
        <v>663</v>
      </c>
      <c r="S364" t="s">
        <v>94</v>
      </c>
      <c r="T364" t="s">
        <v>43</v>
      </c>
      <c r="U364" t="s">
        <v>33</v>
      </c>
      <c r="V364" s="13">
        <v>46604</v>
      </c>
    </row>
    <row r="365" spans="1:22" x14ac:dyDescent="0.25">
      <c r="A365" t="s">
        <v>499</v>
      </c>
      <c r="B365" s="13">
        <v>45900</v>
      </c>
      <c r="C365" t="s">
        <v>64</v>
      </c>
      <c r="D365" t="s">
        <v>74</v>
      </c>
      <c r="E365" t="s">
        <v>66</v>
      </c>
      <c r="F365" t="s">
        <v>67</v>
      </c>
      <c r="G365" t="s">
        <v>35</v>
      </c>
      <c r="H365" t="s">
        <v>122</v>
      </c>
      <c r="I365">
        <v>4</v>
      </c>
      <c r="J365">
        <v>5</v>
      </c>
      <c r="K365">
        <v>20</v>
      </c>
      <c r="L365" t="s">
        <v>94</v>
      </c>
      <c r="M365" t="s">
        <v>69</v>
      </c>
      <c r="N365" t="s">
        <v>106</v>
      </c>
      <c r="O365">
        <v>3</v>
      </c>
      <c r="P365">
        <v>4</v>
      </c>
      <c r="Q365">
        <v>12</v>
      </c>
      <c r="R365" t="s">
        <v>663</v>
      </c>
      <c r="S365" t="s">
        <v>40</v>
      </c>
      <c r="T365" t="s">
        <v>61</v>
      </c>
      <c r="U365" t="s">
        <v>52</v>
      </c>
      <c r="V365" s="13">
        <v>46630</v>
      </c>
    </row>
    <row r="366" spans="1:22" x14ac:dyDescent="0.25">
      <c r="A366" t="s">
        <v>500</v>
      </c>
      <c r="B366" s="13">
        <v>45753</v>
      </c>
      <c r="C366" t="s">
        <v>35</v>
      </c>
      <c r="D366" t="s">
        <v>65</v>
      </c>
      <c r="E366" t="s">
        <v>120</v>
      </c>
      <c r="F366" t="s">
        <v>121</v>
      </c>
      <c r="G366" t="s">
        <v>35</v>
      </c>
      <c r="H366" t="s">
        <v>68</v>
      </c>
      <c r="I366">
        <v>5</v>
      </c>
      <c r="J366">
        <v>3</v>
      </c>
      <c r="K366">
        <v>15</v>
      </c>
      <c r="L366" t="s">
        <v>40</v>
      </c>
      <c r="M366" t="s">
        <v>78</v>
      </c>
      <c r="N366" t="s">
        <v>128</v>
      </c>
      <c r="O366">
        <v>5</v>
      </c>
      <c r="P366">
        <v>3</v>
      </c>
      <c r="Q366">
        <v>15</v>
      </c>
      <c r="R366" t="s">
        <v>663</v>
      </c>
      <c r="S366" t="s">
        <v>40</v>
      </c>
      <c r="T366" t="s">
        <v>43</v>
      </c>
      <c r="U366" t="s">
        <v>62</v>
      </c>
      <c r="V366" s="13">
        <v>45933</v>
      </c>
    </row>
    <row r="367" spans="1:22" x14ac:dyDescent="0.25">
      <c r="A367" t="s">
        <v>501</v>
      </c>
      <c r="B367" s="13">
        <v>46244</v>
      </c>
      <c r="C367" t="s">
        <v>64</v>
      </c>
      <c r="D367" t="s">
        <v>23</v>
      </c>
      <c r="E367" t="s">
        <v>66</v>
      </c>
      <c r="F367" t="s">
        <v>67</v>
      </c>
      <c r="G367" t="s">
        <v>35</v>
      </c>
      <c r="H367" t="s">
        <v>93</v>
      </c>
      <c r="I367">
        <v>5</v>
      </c>
      <c r="J367">
        <v>4</v>
      </c>
      <c r="K367">
        <v>20</v>
      </c>
      <c r="L367" t="s">
        <v>94</v>
      </c>
      <c r="M367" t="s">
        <v>50</v>
      </c>
      <c r="N367" t="s">
        <v>42</v>
      </c>
      <c r="O367">
        <v>3</v>
      </c>
      <c r="P367">
        <v>3</v>
      </c>
      <c r="Q367">
        <v>9</v>
      </c>
      <c r="R367" t="s">
        <v>663</v>
      </c>
      <c r="S367" t="s">
        <v>28</v>
      </c>
      <c r="T367" t="s">
        <v>32</v>
      </c>
      <c r="U367" t="s">
        <v>52</v>
      </c>
      <c r="V367" s="13">
        <v>46424</v>
      </c>
    </row>
    <row r="368" spans="1:22" x14ac:dyDescent="0.25">
      <c r="A368" t="s">
        <v>502</v>
      </c>
      <c r="B368" s="13">
        <v>45763</v>
      </c>
      <c r="C368" t="s">
        <v>85</v>
      </c>
      <c r="D368" t="s">
        <v>23</v>
      </c>
      <c r="E368" t="s">
        <v>140</v>
      </c>
      <c r="F368" t="s">
        <v>141</v>
      </c>
      <c r="G368" t="s">
        <v>142</v>
      </c>
      <c r="H368" t="s">
        <v>143</v>
      </c>
      <c r="I368">
        <v>3</v>
      </c>
      <c r="J368">
        <v>5</v>
      </c>
      <c r="K368">
        <v>15</v>
      </c>
      <c r="L368" t="s">
        <v>40</v>
      </c>
      <c r="M368" t="s">
        <v>29</v>
      </c>
      <c r="N368" t="s">
        <v>128</v>
      </c>
      <c r="O368">
        <v>3</v>
      </c>
      <c r="P368">
        <v>5</v>
      </c>
      <c r="Q368">
        <v>15</v>
      </c>
      <c r="R368" t="s">
        <v>663</v>
      </c>
      <c r="S368" t="s">
        <v>40</v>
      </c>
      <c r="T368" t="s">
        <v>43</v>
      </c>
      <c r="U368" t="s">
        <v>96</v>
      </c>
      <c r="V368" s="13">
        <v>46128</v>
      </c>
    </row>
    <row r="369" spans="1:22" x14ac:dyDescent="0.25">
      <c r="A369" t="s">
        <v>503</v>
      </c>
      <c r="B369" s="13">
        <v>46295</v>
      </c>
      <c r="C369" t="s">
        <v>73</v>
      </c>
      <c r="D369" t="s">
        <v>55</v>
      </c>
      <c r="E369" t="s">
        <v>75</v>
      </c>
      <c r="F369" t="s">
        <v>76</v>
      </c>
      <c r="G369" t="s">
        <v>73</v>
      </c>
      <c r="H369" t="s">
        <v>116</v>
      </c>
      <c r="I369">
        <v>5</v>
      </c>
      <c r="J369">
        <v>4</v>
      </c>
      <c r="K369">
        <v>20</v>
      </c>
      <c r="L369" t="s">
        <v>94</v>
      </c>
      <c r="M369" t="s">
        <v>29</v>
      </c>
      <c r="N369" t="s">
        <v>128</v>
      </c>
      <c r="O369">
        <v>5</v>
      </c>
      <c r="P369">
        <v>3</v>
      </c>
      <c r="Q369">
        <v>15</v>
      </c>
      <c r="R369" t="s">
        <v>663</v>
      </c>
      <c r="S369" t="s">
        <v>40</v>
      </c>
      <c r="T369" t="s">
        <v>43</v>
      </c>
      <c r="U369" t="s">
        <v>71</v>
      </c>
      <c r="V369" s="13">
        <v>46660</v>
      </c>
    </row>
    <row r="370" spans="1:22" x14ac:dyDescent="0.25">
      <c r="A370" t="s">
        <v>504</v>
      </c>
      <c r="B370" s="13">
        <v>45908</v>
      </c>
      <c r="C370" t="s">
        <v>108</v>
      </c>
      <c r="D370" t="s">
        <v>55</v>
      </c>
      <c r="E370" t="s">
        <v>162</v>
      </c>
      <c r="F370" t="s">
        <v>163</v>
      </c>
      <c r="G370" t="s">
        <v>164</v>
      </c>
      <c r="H370" t="s">
        <v>219</v>
      </c>
      <c r="I370">
        <v>4</v>
      </c>
      <c r="J370">
        <v>3</v>
      </c>
      <c r="K370">
        <v>12</v>
      </c>
      <c r="L370" t="s">
        <v>40</v>
      </c>
      <c r="M370" t="s">
        <v>101</v>
      </c>
      <c r="N370" t="s">
        <v>106</v>
      </c>
      <c r="O370">
        <v>3</v>
      </c>
      <c r="P370">
        <v>2</v>
      </c>
      <c r="Q370">
        <v>6</v>
      </c>
      <c r="R370" t="s">
        <v>663</v>
      </c>
      <c r="S370" t="s">
        <v>28</v>
      </c>
      <c r="T370" t="s">
        <v>32</v>
      </c>
      <c r="U370" t="s">
        <v>33</v>
      </c>
      <c r="V370" s="13">
        <v>46088</v>
      </c>
    </row>
    <row r="371" spans="1:22" x14ac:dyDescent="0.25">
      <c r="A371" t="s">
        <v>505</v>
      </c>
      <c r="B371" s="13">
        <v>45741</v>
      </c>
      <c r="C371" t="s">
        <v>22</v>
      </c>
      <c r="D371" t="s">
        <v>23</v>
      </c>
      <c r="E371" t="s">
        <v>99</v>
      </c>
      <c r="F371" t="s">
        <v>100</v>
      </c>
      <c r="G371" t="s">
        <v>35</v>
      </c>
      <c r="H371" t="s">
        <v>137</v>
      </c>
      <c r="I371">
        <v>3</v>
      </c>
      <c r="J371">
        <v>2</v>
      </c>
      <c r="K371">
        <v>6</v>
      </c>
      <c r="L371" t="s">
        <v>28</v>
      </c>
      <c r="M371" t="s">
        <v>69</v>
      </c>
      <c r="N371" t="s">
        <v>42</v>
      </c>
      <c r="O371">
        <v>2</v>
      </c>
      <c r="P371">
        <v>1</v>
      </c>
      <c r="Q371">
        <v>2</v>
      </c>
      <c r="R371" t="s">
        <v>663</v>
      </c>
      <c r="S371" t="s">
        <v>31</v>
      </c>
      <c r="T371" t="s">
        <v>32</v>
      </c>
      <c r="U371" t="s">
        <v>96</v>
      </c>
      <c r="V371" s="13">
        <v>45921</v>
      </c>
    </row>
    <row r="372" spans="1:22" x14ac:dyDescent="0.25">
      <c r="A372" t="s">
        <v>506</v>
      </c>
      <c r="B372" s="13">
        <v>46146</v>
      </c>
      <c r="C372" t="s">
        <v>54</v>
      </c>
      <c r="D372" t="s">
        <v>98</v>
      </c>
      <c r="E372" t="s">
        <v>56</v>
      </c>
      <c r="F372" t="s">
        <v>57</v>
      </c>
      <c r="G372" t="s">
        <v>58</v>
      </c>
      <c r="H372" t="s">
        <v>59</v>
      </c>
      <c r="I372">
        <v>5</v>
      </c>
      <c r="J372">
        <v>2</v>
      </c>
      <c r="K372">
        <v>10</v>
      </c>
      <c r="L372" t="s">
        <v>40</v>
      </c>
      <c r="M372" t="s">
        <v>101</v>
      </c>
      <c r="N372" t="s">
        <v>128</v>
      </c>
      <c r="O372">
        <v>5</v>
      </c>
      <c r="P372">
        <v>1</v>
      </c>
      <c r="Q372">
        <v>5</v>
      </c>
      <c r="R372" t="s">
        <v>663</v>
      </c>
      <c r="S372" t="s">
        <v>28</v>
      </c>
      <c r="T372" t="s">
        <v>32</v>
      </c>
      <c r="U372" t="s">
        <v>96</v>
      </c>
      <c r="V372" s="13">
        <v>46511</v>
      </c>
    </row>
    <row r="373" spans="1:22" x14ac:dyDescent="0.25">
      <c r="A373" t="s">
        <v>507</v>
      </c>
      <c r="B373" s="13">
        <v>45858</v>
      </c>
      <c r="C373" t="s">
        <v>45</v>
      </c>
      <c r="D373" t="s">
        <v>74</v>
      </c>
      <c r="E373" t="s">
        <v>46</v>
      </c>
      <c r="F373" t="s">
        <v>47</v>
      </c>
      <c r="G373" t="s">
        <v>48</v>
      </c>
      <c r="H373" t="s">
        <v>49</v>
      </c>
      <c r="I373">
        <v>3</v>
      </c>
      <c r="J373">
        <v>2</v>
      </c>
      <c r="K373">
        <v>6</v>
      </c>
      <c r="L373" t="s">
        <v>28</v>
      </c>
      <c r="M373" t="s">
        <v>41</v>
      </c>
      <c r="N373" t="s">
        <v>89</v>
      </c>
      <c r="O373">
        <v>2</v>
      </c>
      <c r="P373">
        <v>2</v>
      </c>
      <c r="Q373">
        <v>4</v>
      </c>
      <c r="R373" t="s">
        <v>663</v>
      </c>
      <c r="S373" t="s">
        <v>31</v>
      </c>
      <c r="T373" t="s">
        <v>32</v>
      </c>
      <c r="U373" t="s">
        <v>62</v>
      </c>
      <c r="V373" s="13">
        <v>46223</v>
      </c>
    </row>
    <row r="374" spans="1:22" x14ac:dyDescent="0.25">
      <c r="A374" t="s">
        <v>508</v>
      </c>
      <c r="B374" s="13">
        <v>46319</v>
      </c>
      <c r="C374" t="s">
        <v>85</v>
      </c>
      <c r="D374" t="s">
        <v>80</v>
      </c>
      <c r="E374" t="s">
        <v>140</v>
      </c>
      <c r="F374" t="s">
        <v>141</v>
      </c>
      <c r="G374" t="s">
        <v>142</v>
      </c>
      <c r="H374" t="s">
        <v>143</v>
      </c>
      <c r="I374">
        <v>4</v>
      </c>
      <c r="J374">
        <v>5</v>
      </c>
      <c r="K374">
        <v>20</v>
      </c>
      <c r="L374" t="s">
        <v>94</v>
      </c>
      <c r="M374" t="s">
        <v>78</v>
      </c>
      <c r="N374" t="s">
        <v>51</v>
      </c>
      <c r="O374">
        <v>2</v>
      </c>
      <c r="P374">
        <v>5</v>
      </c>
      <c r="Q374">
        <v>10</v>
      </c>
      <c r="R374" t="s">
        <v>663</v>
      </c>
      <c r="S374" t="s">
        <v>40</v>
      </c>
      <c r="T374" t="s">
        <v>43</v>
      </c>
      <c r="U374" t="s">
        <v>71</v>
      </c>
      <c r="V374" s="13">
        <v>46684</v>
      </c>
    </row>
    <row r="375" spans="1:22" x14ac:dyDescent="0.25">
      <c r="A375" t="s">
        <v>509</v>
      </c>
      <c r="B375" s="13">
        <v>45755</v>
      </c>
      <c r="C375" t="s">
        <v>108</v>
      </c>
      <c r="D375" t="s">
        <v>23</v>
      </c>
      <c r="E375" t="s">
        <v>162</v>
      </c>
      <c r="F375" t="s">
        <v>163</v>
      </c>
      <c r="G375" t="s">
        <v>164</v>
      </c>
      <c r="H375" t="s">
        <v>68</v>
      </c>
      <c r="I375">
        <v>2</v>
      </c>
      <c r="J375">
        <v>3</v>
      </c>
      <c r="K375">
        <v>6</v>
      </c>
      <c r="L375" t="s">
        <v>28</v>
      </c>
      <c r="M375" t="s">
        <v>50</v>
      </c>
      <c r="N375" t="s">
        <v>42</v>
      </c>
      <c r="O375">
        <v>1</v>
      </c>
      <c r="P375">
        <v>3</v>
      </c>
      <c r="Q375">
        <v>3</v>
      </c>
      <c r="R375" t="s">
        <v>663</v>
      </c>
      <c r="S375" t="s">
        <v>31</v>
      </c>
      <c r="T375" t="s">
        <v>43</v>
      </c>
      <c r="U375" t="s">
        <v>52</v>
      </c>
      <c r="V375" s="13">
        <v>46120</v>
      </c>
    </row>
    <row r="376" spans="1:22" x14ac:dyDescent="0.25">
      <c r="A376" t="s">
        <v>510</v>
      </c>
      <c r="B376" s="13">
        <v>45882</v>
      </c>
      <c r="C376" t="s">
        <v>85</v>
      </c>
      <c r="D376" t="s">
        <v>98</v>
      </c>
      <c r="E376" t="s">
        <v>86</v>
      </c>
      <c r="F376" t="s">
        <v>87</v>
      </c>
      <c r="G376" t="s">
        <v>48</v>
      </c>
      <c r="H376" t="s">
        <v>39</v>
      </c>
      <c r="I376">
        <v>3</v>
      </c>
      <c r="J376">
        <v>2</v>
      </c>
      <c r="K376">
        <v>6</v>
      </c>
      <c r="L376" t="s">
        <v>28</v>
      </c>
      <c r="M376" t="s">
        <v>101</v>
      </c>
      <c r="N376" t="s">
        <v>124</v>
      </c>
      <c r="O376">
        <v>2</v>
      </c>
      <c r="P376">
        <v>2</v>
      </c>
      <c r="Q376">
        <v>4</v>
      </c>
      <c r="R376" t="s">
        <v>663</v>
      </c>
      <c r="S376" t="s">
        <v>31</v>
      </c>
      <c r="T376" t="s">
        <v>32</v>
      </c>
      <c r="U376" t="s">
        <v>96</v>
      </c>
      <c r="V376" s="13">
        <v>46247</v>
      </c>
    </row>
    <row r="377" spans="1:22" x14ac:dyDescent="0.25">
      <c r="A377" t="s">
        <v>511</v>
      </c>
      <c r="B377" s="13">
        <v>46069</v>
      </c>
      <c r="C377" t="s">
        <v>108</v>
      </c>
      <c r="D377" t="s">
        <v>23</v>
      </c>
      <c r="E377" t="s">
        <v>162</v>
      </c>
      <c r="F377" t="s">
        <v>163</v>
      </c>
      <c r="G377" t="s">
        <v>164</v>
      </c>
      <c r="H377" t="s">
        <v>219</v>
      </c>
      <c r="I377">
        <v>3</v>
      </c>
      <c r="J377">
        <v>5</v>
      </c>
      <c r="K377">
        <v>15</v>
      </c>
      <c r="L377" t="s">
        <v>40</v>
      </c>
      <c r="M377" t="s">
        <v>95</v>
      </c>
      <c r="N377" t="s">
        <v>70</v>
      </c>
      <c r="O377">
        <v>2</v>
      </c>
      <c r="P377">
        <v>4</v>
      </c>
      <c r="Q377">
        <v>8</v>
      </c>
      <c r="R377" t="s">
        <v>663</v>
      </c>
      <c r="S377" t="s">
        <v>28</v>
      </c>
      <c r="T377" t="s">
        <v>32</v>
      </c>
      <c r="U377" t="s">
        <v>52</v>
      </c>
      <c r="V377" s="13">
        <v>46799</v>
      </c>
    </row>
    <row r="378" spans="1:22" x14ac:dyDescent="0.25">
      <c r="A378" t="s">
        <v>512</v>
      </c>
      <c r="B378" s="13">
        <v>46328</v>
      </c>
      <c r="C378" t="s">
        <v>22</v>
      </c>
      <c r="D378" t="s">
        <v>55</v>
      </c>
      <c r="E378" t="s">
        <v>24</v>
      </c>
      <c r="F378" t="s">
        <v>25</v>
      </c>
      <c r="G378" t="s">
        <v>26</v>
      </c>
      <c r="H378" t="s">
        <v>27</v>
      </c>
      <c r="I378">
        <v>2</v>
      </c>
      <c r="J378">
        <v>3</v>
      </c>
      <c r="K378">
        <v>6</v>
      </c>
      <c r="L378" t="s">
        <v>28</v>
      </c>
      <c r="M378" t="s">
        <v>50</v>
      </c>
      <c r="N378" t="s">
        <v>70</v>
      </c>
      <c r="O378">
        <v>1</v>
      </c>
      <c r="P378">
        <v>3</v>
      </c>
      <c r="Q378">
        <v>3</v>
      </c>
      <c r="R378" t="s">
        <v>663</v>
      </c>
      <c r="S378" t="s">
        <v>31</v>
      </c>
      <c r="T378" t="s">
        <v>32</v>
      </c>
      <c r="U378" t="s">
        <v>96</v>
      </c>
      <c r="V378" s="13">
        <v>46508</v>
      </c>
    </row>
    <row r="379" spans="1:22" x14ac:dyDescent="0.25">
      <c r="A379" t="s">
        <v>513</v>
      </c>
      <c r="B379" s="13">
        <v>46155</v>
      </c>
      <c r="C379" t="s">
        <v>45</v>
      </c>
      <c r="D379" t="s">
        <v>55</v>
      </c>
      <c r="E379" t="s">
        <v>46</v>
      </c>
      <c r="F379" t="s">
        <v>47</v>
      </c>
      <c r="G379" t="s">
        <v>48</v>
      </c>
      <c r="H379" t="s">
        <v>88</v>
      </c>
      <c r="I379">
        <v>2</v>
      </c>
      <c r="J379">
        <v>4</v>
      </c>
      <c r="K379">
        <v>8</v>
      </c>
      <c r="L379" t="s">
        <v>28</v>
      </c>
      <c r="M379" t="s">
        <v>78</v>
      </c>
      <c r="N379" t="s">
        <v>128</v>
      </c>
      <c r="O379">
        <v>1</v>
      </c>
      <c r="P379">
        <v>4</v>
      </c>
      <c r="Q379">
        <v>4</v>
      </c>
      <c r="R379" t="s">
        <v>663</v>
      </c>
      <c r="S379" t="s">
        <v>31</v>
      </c>
      <c r="T379" t="s">
        <v>61</v>
      </c>
      <c r="U379" t="s">
        <v>52</v>
      </c>
      <c r="V379" s="13">
        <v>46335</v>
      </c>
    </row>
    <row r="380" spans="1:22" x14ac:dyDescent="0.25">
      <c r="A380" t="s">
        <v>514</v>
      </c>
      <c r="B380" s="13">
        <v>46015</v>
      </c>
      <c r="C380" t="s">
        <v>64</v>
      </c>
      <c r="D380" t="s">
        <v>65</v>
      </c>
      <c r="E380" t="s">
        <v>174</v>
      </c>
      <c r="F380" t="s">
        <v>175</v>
      </c>
      <c r="G380" t="s">
        <v>176</v>
      </c>
      <c r="H380" t="s">
        <v>177</v>
      </c>
      <c r="I380">
        <v>3</v>
      </c>
      <c r="J380">
        <v>4</v>
      </c>
      <c r="K380">
        <v>12</v>
      </c>
      <c r="L380" t="s">
        <v>40</v>
      </c>
      <c r="M380" t="s">
        <v>101</v>
      </c>
      <c r="N380" t="s">
        <v>42</v>
      </c>
      <c r="O380">
        <v>2</v>
      </c>
      <c r="P380">
        <v>4</v>
      </c>
      <c r="Q380">
        <v>8</v>
      </c>
      <c r="R380" t="s">
        <v>663</v>
      </c>
      <c r="S380" t="s">
        <v>28</v>
      </c>
      <c r="T380" t="s">
        <v>61</v>
      </c>
      <c r="U380" t="s">
        <v>33</v>
      </c>
      <c r="V380" s="13">
        <v>46380</v>
      </c>
    </row>
    <row r="381" spans="1:22" x14ac:dyDescent="0.25">
      <c r="A381" t="s">
        <v>615</v>
      </c>
      <c r="B381" s="13">
        <v>45787</v>
      </c>
      <c r="C381" t="s">
        <v>54</v>
      </c>
      <c r="D381" t="s">
        <v>80</v>
      </c>
      <c r="E381" t="s">
        <v>56</v>
      </c>
      <c r="F381" t="s">
        <v>57</v>
      </c>
      <c r="G381" t="s">
        <v>58</v>
      </c>
      <c r="H381" t="s">
        <v>209</v>
      </c>
      <c r="I381">
        <v>3</v>
      </c>
      <c r="J381">
        <v>3</v>
      </c>
      <c r="K381">
        <v>9</v>
      </c>
      <c r="L381" t="s">
        <v>28</v>
      </c>
      <c r="M381" t="s">
        <v>69</v>
      </c>
      <c r="N381" t="s">
        <v>106</v>
      </c>
      <c r="O381">
        <v>2</v>
      </c>
      <c r="P381">
        <v>2</v>
      </c>
      <c r="Q381">
        <v>4</v>
      </c>
      <c r="R381" t="s">
        <v>663</v>
      </c>
      <c r="S381" t="s">
        <v>31</v>
      </c>
      <c r="T381" t="s">
        <v>43</v>
      </c>
      <c r="U381" t="s">
        <v>62</v>
      </c>
      <c r="V381" s="13">
        <v>46517</v>
      </c>
    </row>
    <row r="382" spans="1:22" x14ac:dyDescent="0.25">
      <c r="A382" t="s">
        <v>516</v>
      </c>
      <c r="B382" s="13">
        <v>46274</v>
      </c>
      <c r="C382" t="s">
        <v>54</v>
      </c>
      <c r="D382" t="s">
        <v>80</v>
      </c>
      <c r="E382" t="s">
        <v>56</v>
      </c>
      <c r="F382" t="s">
        <v>57</v>
      </c>
      <c r="G382" t="s">
        <v>58</v>
      </c>
      <c r="H382" t="s">
        <v>209</v>
      </c>
      <c r="I382">
        <v>3</v>
      </c>
      <c r="J382">
        <v>5</v>
      </c>
      <c r="K382">
        <v>15</v>
      </c>
      <c r="L382" t="s">
        <v>40</v>
      </c>
      <c r="M382" t="s">
        <v>41</v>
      </c>
      <c r="N382" t="s">
        <v>89</v>
      </c>
      <c r="O382">
        <v>1</v>
      </c>
      <c r="P382">
        <v>4</v>
      </c>
      <c r="Q382">
        <v>4</v>
      </c>
      <c r="R382" t="s">
        <v>663</v>
      </c>
      <c r="S382" t="s">
        <v>31</v>
      </c>
      <c r="T382" t="s">
        <v>43</v>
      </c>
      <c r="U382" t="s">
        <v>71</v>
      </c>
      <c r="V382" s="13">
        <v>46639</v>
      </c>
    </row>
    <row r="383" spans="1:22" x14ac:dyDescent="0.25">
      <c r="A383" t="s">
        <v>517</v>
      </c>
      <c r="B383" s="13">
        <v>45991</v>
      </c>
      <c r="C383" t="s">
        <v>108</v>
      </c>
      <c r="D383" t="s">
        <v>65</v>
      </c>
      <c r="E383" t="s">
        <v>149</v>
      </c>
      <c r="F383" t="s">
        <v>150</v>
      </c>
      <c r="G383" t="s">
        <v>151</v>
      </c>
      <c r="H383" t="s">
        <v>68</v>
      </c>
      <c r="I383">
        <v>3</v>
      </c>
      <c r="J383">
        <v>5</v>
      </c>
      <c r="K383">
        <v>15</v>
      </c>
      <c r="L383" t="s">
        <v>40</v>
      </c>
      <c r="M383" t="s">
        <v>83</v>
      </c>
      <c r="N383" t="s">
        <v>70</v>
      </c>
      <c r="O383">
        <v>1</v>
      </c>
      <c r="P383">
        <v>5</v>
      </c>
      <c r="Q383">
        <v>5</v>
      </c>
      <c r="R383" t="s">
        <v>663</v>
      </c>
      <c r="S383" t="s">
        <v>28</v>
      </c>
      <c r="T383" t="s">
        <v>61</v>
      </c>
      <c r="U383" t="s">
        <v>33</v>
      </c>
      <c r="V383" s="13">
        <v>46721</v>
      </c>
    </row>
    <row r="384" spans="1:22" x14ac:dyDescent="0.25">
      <c r="A384" t="s">
        <v>518</v>
      </c>
      <c r="B384" s="13">
        <v>46253</v>
      </c>
      <c r="C384" t="s">
        <v>22</v>
      </c>
      <c r="D384" t="s">
        <v>23</v>
      </c>
      <c r="E384" t="s">
        <v>24</v>
      </c>
      <c r="F384" t="s">
        <v>25</v>
      </c>
      <c r="G384" t="s">
        <v>26</v>
      </c>
      <c r="H384" t="s">
        <v>27</v>
      </c>
      <c r="I384">
        <v>4</v>
      </c>
      <c r="J384">
        <v>5</v>
      </c>
      <c r="K384">
        <v>20</v>
      </c>
      <c r="L384" t="s">
        <v>94</v>
      </c>
      <c r="M384" t="s">
        <v>29</v>
      </c>
      <c r="N384" t="s">
        <v>102</v>
      </c>
      <c r="O384">
        <v>3</v>
      </c>
      <c r="P384">
        <v>4</v>
      </c>
      <c r="Q384">
        <v>12</v>
      </c>
      <c r="R384" t="s">
        <v>663</v>
      </c>
      <c r="S384" t="s">
        <v>40</v>
      </c>
      <c r="T384" t="s">
        <v>43</v>
      </c>
      <c r="U384" t="s">
        <v>96</v>
      </c>
      <c r="V384" s="13">
        <v>46618</v>
      </c>
    </row>
    <row r="385" spans="1:22" x14ac:dyDescent="0.25">
      <c r="A385" t="s">
        <v>519</v>
      </c>
      <c r="B385" s="13">
        <v>45869</v>
      </c>
      <c r="C385" t="s">
        <v>73</v>
      </c>
      <c r="D385" t="s">
        <v>80</v>
      </c>
      <c r="E385" t="s">
        <v>104</v>
      </c>
      <c r="F385" t="s">
        <v>105</v>
      </c>
      <c r="G385" t="s">
        <v>73</v>
      </c>
      <c r="H385" t="s">
        <v>77</v>
      </c>
      <c r="I385">
        <v>3</v>
      </c>
      <c r="J385">
        <v>4</v>
      </c>
      <c r="K385">
        <v>12</v>
      </c>
      <c r="L385" t="s">
        <v>40</v>
      </c>
      <c r="M385" t="s">
        <v>50</v>
      </c>
      <c r="N385" t="s">
        <v>102</v>
      </c>
      <c r="O385">
        <v>2</v>
      </c>
      <c r="P385">
        <v>4</v>
      </c>
      <c r="Q385">
        <v>8</v>
      </c>
      <c r="R385" t="s">
        <v>663</v>
      </c>
      <c r="S385" t="s">
        <v>28</v>
      </c>
      <c r="T385" t="s">
        <v>43</v>
      </c>
      <c r="U385" t="s">
        <v>71</v>
      </c>
      <c r="V385" s="13">
        <v>46234</v>
      </c>
    </row>
    <row r="386" spans="1:22" x14ac:dyDescent="0.25">
      <c r="A386" t="s">
        <v>520</v>
      </c>
      <c r="B386" s="13">
        <v>45911</v>
      </c>
      <c r="C386" t="s">
        <v>73</v>
      </c>
      <c r="D386" t="s">
        <v>98</v>
      </c>
      <c r="E386" t="s">
        <v>104</v>
      </c>
      <c r="F386" t="s">
        <v>105</v>
      </c>
      <c r="G386" t="s">
        <v>73</v>
      </c>
      <c r="H386" t="s">
        <v>68</v>
      </c>
      <c r="I386">
        <v>5</v>
      </c>
      <c r="J386">
        <v>2</v>
      </c>
      <c r="K386">
        <v>10</v>
      </c>
      <c r="L386" t="s">
        <v>40</v>
      </c>
      <c r="M386" t="s">
        <v>41</v>
      </c>
      <c r="N386" t="s">
        <v>51</v>
      </c>
      <c r="O386">
        <v>5</v>
      </c>
      <c r="P386">
        <v>1</v>
      </c>
      <c r="Q386">
        <v>5</v>
      </c>
      <c r="R386" t="s">
        <v>663</v>
      </c>
      <c r="S386" t="s">
        <v>28</v>
      </c>
      <c r="T386" t="s">
        <v>32</v>
      </c>
      <c r="U386" t="s">
        <v>62</v>
      </c>
      <c r="V386" s="13">
        <v>46276</v>
      </c>
    </row>
    <row r="387" spans="1:22" x14ac:dyDescent="0.25">
      <c r="A387" t="s">
        <v>521</v>
      </c>
      <c r="B387" s="13">
        <v>45938</v>
      </c>
      <c r="C387" t="s">
        <v>85</v>
      </c>
      <c r="D387" t="s">
        <v>98</v>
      </c>
      <c r="E387" t="s">
        <v>140</v>
      </c>
      <c r="F387" t="s">
        <v>141</v>
      </c>
      <c r="G387" t="s">
        <v>142</v>
      </c>
      <c r="H387" t="s">
        <v>143</v>
      </c>
      <c r="I387">
        <v>2</v>
      </c>
      <c r="J387">
        <v>2</v>
      </c>
      <c r="K387">
        <v>4</v>
      </c>
      <c r="L387" t="s">
        <v>31</v>
      </c>
      <c r="M387" t="s">
        <v>69</v>
      </c>
      <c r="N387" t="s">
        <v>30</v>
      </c>
      <c r="O387">
        <v>2</v>
      </c>
      <c r="P387">
        <v>2</v>
      </c>
      <c r="Q387">
        <v>4</v>
      </c>
      <c r="R387" t="s">
        <v>663</v>
      </c>
      <c r="S387" t="s">
        <v>31</v>
      </c>
      <c r="T387" t="s">
        <v>61</v>
      </c>
      <c r="U387" t="s">
        <v>71</v>
      </c>
      <c r="V387" s="13">
        <v>46303</v>
      </c>
    </row>
    <row r="388" spans="1:22" x14ac:dyDescent="0.25">
      <c r="A388" t="s">
        <v>522</v>
      </c>
      <c r="B388" s="13">
        <v>45773</v>
      </c>
      <c r="C388" t="s">
        <v>54</v>
      </c>
      <c r="D388" t="s">
        <v>98</v>
      </c>
      <c r="E388" t="s">
        <v>56</v>
      </c>
      <c r="F388" t="s">
        <v>57</v>
      </c>
      <c r="G388" t="s">
        <v>58</v>
      </c>
      <c r="H388" t="s">
        <v>59</v>
      </c>
      <c r="I388">
        <v>5</v>
      </c>
      <c r="J388">
        <v>5</v>
      </c>
      <c r="K388">
        <v>25</v>
      </c>
      <c r="L388" t="s">
        <v>94</v>
      </c>
      <c r="M388" t="s">
        <v>101</v>
      </c>
      <c r="N388" t="s">
        <v>128</v>
      </c>
      <c r="O388">
        <v>4</v>
      </c>
      <c r="P388">
        <v>5</v>
      </c>
      <c r="Q388">
        <v>20</v>
      </c>
      <c r="R388" t="s">
        <v>663</v>
      </c>
      <c r="S388" t="s">
        <v>94</v>
      </c>
      <c r="T388" t="s">
        <v>61</v>
      </c>
      <c r="U388" t="s">
        <v>33</v>
      </c>
      <c r="V388" s="13">
        <v>46138</v>
      </c>
    </row>
    <row r="389" spans="1:22" x14ac:dyDescent="0.25">
      <c r="A389" t="s">
        <v>523</v>
      </c>
      <c r="B389" s="13">
        <v>45754</v>
      </c>
      <c r="C389" t="s">
        <v>22</v>
      </c>
      <c r="D389" t="s">
        <v>23</v>
      </c>
      <c r="E389" t="s">
        <v>135</v>
      </c>
      <c r="F389" t="s">
        <v>136</v>
      </c>
      <c r="G389" t="s">
        <v>35</v>
      </c>
      <c r="H389" t="s">
        <v>68</v>
      </c>
      <c r="I389">
        <v>5</v>
      </c>
      <c r="J389">
        <v>5</v>
      </c>
      <c r="K389">
        <v>25</v>
      </c>
      <c r="L389" t="s">
        <v>94</v>
      </c>
      <c r="M389" t="s">
        <v>78</v>
      </c>
      <c r="N389" t="s">
        <v>106</v>
      </c>
      <c r="O389">
        <v>4</v>
      </c>
      <c r="P389">
        <v>4</v>
      </c>
      <c r="Q389">
        <v>16</v>
      </c>
      <c r="R389" t="s">
        <v>663</v>
      </c>
      <c r="S389" t="s">
        <v>40</v>
      </c>
      <c r="T389" t="s">
        <v>43</v>
      </c>
      <c r="U389" t="s">
        <v>52</v>
      </c>
      <c r="V389" s="13">
        <v>46484</v>
      </c>
    </row>
    <row r="390" spans="1:22" x14ac:dyDescent="0.25">
      <c r="A390" t="s">
        <v>524</v>
      </c>
      <c r="B390" s="13">
        <v>46202</v>
      </c>
      <c r="C390" t="s">
        <v>85</v>
      </c>
      <c r="D390" t="s">
        <v>108</v>
      </c>
      <c r="E390" t="s">
        <v>86</v>
      </c>
      <c r="F390" t="s">
        <v>87</v>
      </c>
      <c r="G390" t="s">
        <v>48</v>
      </c>
      <c r="H390" t="s">
        <v>49</v>
      </c>
      <c r="I390">
        <v>4</v>
      </c>
      <c r="J390">
        <v>4</v>
      </c>
      <c r="K390">
        <v>16</v>
      </c>
      <c r="L390" t="s">
        <v>40</v>
      </c>
      <c r="M390" t="s">
        <v>50</v>
      </c>
      <c r="N390" t="s">
        <v>124</v>
      </c>
      <c r="O390">
        <v>3</v>
      </c>
      <c r="P390">
        <v>3</v>
      </c>
      <c r="Q390">
        <v>9</v>
      </c>
      <c r="R390" t="s">
        <v>663</v>
      </c>
      <c r="S390" t="s">
        <v>28</v>
      </c>
      <c r="T390" t="s">
        <v>43</v>
      </c>
      <c r="U390" t="s">
        <v>52</v>
      </c>
      <c r="V390" s="13">
        <v>46932</v>
      </c>
    </row>
    <row r="391" spans="1:22" x14ac:dyDescent="0.25">
      <c r="A391" t="s">
        <v>525</v>
      </c>
      <c r="B391" s="13">
        <v>45659</v>
      </c>
      <c r="C391" t="s">
        <v>22</v>
      </c>
      <c r="D391" t="s">
        <v>23</v>
      </c>
      <c r="E391" t="s">
        <v>135</v>
      </c>
      <c r="F391" t="s">
        <v>136</v>
      </c>
      <c r="G391" t="s">
        <v>35</v>
      </c>
      <c r="H391" t="s">
        <v>68</v>
      </c>
      <c r="I391">
        <v>5</v>
      </c>
      <c r="J391">
        <v>5</v>
      </c>
      <c r="K391">
        <v>25</v>
      </c>
      <c r="L391" t="s">
        <v>94</v>
      </c>
      <c r="M391" t="s">
        <v>95</v>
      </c>
      <c r="N391" t="s">
        <v>42</v>
      </c>
      <c r="O391">
        <v>4</v>
      </c>
      <c r="P391">
        <v>5</v>
      </c>
      <c r="Q391">
        <v>20</v>
      </c>
      <c r="R391" t="s">
        <v>663</v>
      </c>
      <c r="S391" t="s">
        <v>94</v>
      </c>
      <c r="T391" t="s">
        <v>61</v>
      </c>
      <c r="U391" t="s">
        <v>52</v>
      </c>
      <c r="V391" s="13">
        <v>46389</v>
      </c>
    </row>
    <row r="392" spans="1:22" x14ac:dyDescent="0.25">
      <c r="A392" t="s">
        <v>526</v>
      </c>
      <c r="B392" s="13">
        <v>45992</v>
      </c>
      <c r="C392" t="s">
        <v>85</v>
      </c>
      <c r="D392" t="s">
        <v>108</v>
      </c>
      <c r="E392" t="s">
        <v>230</v>
      </c>
      <c r="F392" t="s">
        <v>231</v>
      </c>
      <c r="G392" t="s">
        <v>232</v>
      </c>
      <c r="H392" t="s">
        <v>116</v>
      </c>
      <c r="I392">
        <v>4</v>
      </c>
      <c r="J392">
        <v>5</v>
      </c>
      <c r="K392">
        <v>20</v>
      </c>
      <c r="L392" t="s">
        <v>94</v>
      </c>
      <c r="M392" t="s">
        <v>78</v>
      </c>
      <c r="N392" t="s">
        <v>128</v>
      </c>
      <c r="O392">
        <v>3</v>
      </c>
      <c r="P392">
        <v>5</v>
      </c>
      <c r="Q392">
        <v>15</v>
      </c>
      <c r="R392" t="s">
        <v>663</v>
      </c>
      <c r="S392" t="s">
        <v>40</v>
      </c>
      <c r="T392" t="s">
        <v>32</v>
      </c>
      <c r="U392" t="s">
        <v>62</v>
      </c>
      <c r="V392" s="13">
        <v>46357</v>
      </c>
    </row>
    <row r="393" spans="1:22" x14ac:dyDescent="0.25">
      <c r="A393" t="s">
        <v>527</v>
      </c>
      <c r="B393" s="13">
        <v>45787</v>
      </c>
      <c r="C393" t="s">
        <v>22</v>
      </c>
      <c r="D393" t="s">
        <v>65</v>
      </c>
      <c r="E393" t="s">
        <v>135</v>
      </c>
      <c r="F393" t="s">
        <v>136</v>
      </c>
      <c r="G393" t="s">
        <v>35</v>
      </c>
      <c r="H393" t="s">
        <v>93</v>
      </c>
      <c r="I393">
        <v>4</v>
      </c>
      <c r="J393">
        <v>5</v>
      </c>
      <c r="K393">
        <v>20</v>
      </c>
      <c r="L393" t="s">
        <v>94</v>
      </c>
      <c r="M393" t="s">
        <v>29</v>
      </c>
      <c r="N393" t="s">
        <v>128</v>
      </c>
      <c r="O393">
        <v>2</v>
      </c>
      <c r="P393">
        <v>5</v>
      </c>
      <c r="Q393">
        <v>10</v>
      </c>
      <c r="R393" t="s">
        <v>663</v>
      </c>
      <c r="S393" t="s">
        <v>40</v>
      </c>
      <c r="T393" t="s">
        <v>61</v>
      </c>
      <c r="U393" t="s">
        <v>33</v>
      </c>
      <c r="V393" s="13">
        <v>45967</v>
      </c>
    </row>
    <row r="394" spans="1:22" x14ac:dyDescent="0.25">
      <c r="A394" t="s">
        <v>528</v>
      </c>
      <c r="B394" s="13">
        <v>45918</v>
      </c>
      <c r="C394" t="s">
        <v>85</v>
      </c>
      <c r="D394" t="s">
        <v>80</v>
      </c>
      <c r="E394" t="s">
        <v>230</v>
      </c>
      <c r="F394" t="s">
        <v>231</v>
      </c>
      <c r="G394" t="s">
        <v>232</v>
      </c>
      <c r="H394" t="s">
        <v>233</v>
      </c>
      <c r="I394">
        <v>5</v>
      </c>
      <c r="J394">
        <v>5</v>
      </c>
      <c r="K394">
        <v>25</v>
      </c>
      <c r="L394" t="s">
        <v>94</v>
      </c>
      <c r="M394" t="s">
        <v>69</v>
      </c>
      <c r="N394" t="s">
        <v>106</v>
      </c>
      <c r="O394">
        <v>4</v>
      </c>
      <c r="P394">
        <v>5</v>
      </c>
      <c r="Q394">
        <v>20</v>
      </c>
      <c r="R394" t="s">
        <v>663</v>
      </c>
      <c r="S394" t="s">
        <v>94</v>
      </c>
      <c r="T394" t="s">
        <v>61</v>
      </c>
      <c r="U394" t="s">
        <v>71</v>
      </c>
      <c r="V394" s="13">
        <v>46648</v>
      </c>
    </row>
    <row r="395" spans="1:22" x14ac:dyDescent="0.25">
      <c r="A395" t="s">
        <v>529</v>
      </c>
      <c r="B395" s="13">
        <v>46275</v>
      </c>
      <c r="C395" t="s">
        <v>85</v>
      </c>
      <c r="D395" t="s">
        <v>98</v>
      </c>
      <c r="E395" t="s">
        <v>230</v>
      </c>
      <c r="F395" t="s">
        <v>231</v>
      </c>
      <c r="G395" t="s">
        <v>232</v>
      </c>
      <c r="H395" t="s">
        <v>68</v>
      </c>
      <c r="I395">
        <v>4</v>
      </c>
      <c r="J395">
        <v>5</v>
      </c>
      <c r="K395">
        <v>20</v>
      </c>
      <c r="L395" t="s">
        <v>94</v>
      </c>
      <c r="M395" t="s">
        <v>101</v>
      </c>
      <c r="N395" t="s">
        <v>102</v>
      </c>
      <c r="O395">
        <v>3</v>
      </c>
      <c r="P395">
        <v>5</v>
      </c>
      <c r="Q395">
        <v>15</v>
      </c>
      <c r="R395" t="s">
        <v>663</v>
      </c>
      <c r="S395" t="s">
        <v>40</v>
      </c>
      <c r="T395" t="s">
        <v>61</v>
      </c>
      <c r="U395" t="s">
        <v>71</v>
      </c>
      <c r="V395" s="13">
        <v>46640</v>
      </c>
    </row>
    <row r="396" spans="1:22" x14ac:dyDescent="0.25">
      <c r="A396" t="s">
        <v>530</v>
      </c>
      <c r="B396" s="13">
        <v>45902</v>
      </c>
      <c r="C396" t="s">
        <v>85</v>
      </c>
      <c r="D396" t="s">
        <v>55</v>
      </c>
      <c r="E396" t="s">
        <v>86</v>
      </c>
      <c r="F396" t="s">
        <v>87</v>
      </c>
      <c r="G396" t="s">
        <v>48</v>
      </c>
      <c r="H396" t="s">
        <v>39</v>
      </c>
      <c r="I396">
        <v>2</v>
      </c>
      <c r="J396">
        <v>4</v>
      </c>
      <c r="K396">
        <v>8</v>
      </c>
      <c r="L396" t="s">
        <v>28</v>
      </c>
      <c r="M396" t="s">
        <v>41</v>
      </c>
      <c r="N396" t="s">
        <v>102</v>
      </c>
      <c r="O396">
        <v>1</v>
      </c>
      <c r="P396">
        <v>3</v>
      </c>
      <c r="Q396">
        <v>3</v>
      </c>
      <c r="R396" t="s">
        <v>663</v>
      </c>
      <c r="S396" t="s">
        <v>31</v>
      </c>
      <c r="T396" t="s">
        <v>61</v>
      </c>
      <c r="U396" t="s">
        <v>62</v>
      </c>
      <c r="V396" s="13">
        <v>46082</v>
      </c>
    </row>
    <row r="397" spans="1:22" x14ac:dyDescent="0.25">
      <c r="A397" t="s">
        <v>531</v>
      </c>
      <c r="B397" s="13">
        <v>45863</v>
      </c>
      <c r="C397" t="s">
        <v>108</v>
      </c>
      <c r="D397" t="s">
        <v>23</v>
      </c>
      <c r="E397" t="s">
        <v>162</v>
      </c>
      <c r="F397" t="s">
        <v>163</v>
      </c>
      <c r="G397" t="s">
        <v>164</v>
      </c>
      <c r="H397" t="s">
        <v>68</v>
      </c>
      <c r="I397">
        <v>3</v>
      </c>
      <c r="J397">
        <v>2</v>
      </c>
      <c r="K397">
        <v>6</v>
      </c>
      <c r="L397" t="s">
        <v>28</v>
      </c>
      <c r="M397" t="s">
        <v>50</v>
      </c>
      <c r="N397" t="s">
        <v>89</v>
      </c>
      <c r="O397">
        <v>2</v>
      </c>
      <c r="P397">
        <v>1</v>
      </c>
      <c r="Q397">
        <v>2</v>
      </c>
      <c r="R397" t="s">
        <v>663</v>
      </c>
      <c r="S397" t="s">
        <v>31</v>
      </c>
      <c r="T397" t="s">
        <v>32</v>
      </c>
      <c r="U397" t="s">
        <v>62</v>
      </c>
      <c r="V397" s="13">
        <v>46228</v>
      </c>
    </row>
    <row r="398" spans="1:22" x14ac:dyDescent="0.25">
      <c r="A398" t="s">
        <v>532</v>
      </c>
      <c r="B398" s="13">
        <v>46246</v>
      </c>
      <c r="C398" t="s">
        <v>108</v>
      </c>
      <c r="D398" t="s">
        <v>23</v>
      </c>
      <c r="E398" t="s">
        <v>149</v>
      </c>
      <c r="F398" t="s">
        <v>150</v>
      </c>
      <c r="G398" t="s">
        <v>151</v>
      </c>
      <c r="H398" t="s">
        <v>68</v>
      </c>
      <c r="I398">
        <v>5</v>
      </c>
      <c r="J398">
        <v>5</v>
      </c>
      <c r="K398">
        <v>25</v>
      </c>
      <c r="L398" t="s">
        <v>94</v>
      </c>
      <c r="M398" t="s">
        <v>50</v>
      </c>
      <c r="N398" t="s">
        <v>30</v>
      </c>
      <c r="O398">
        <v>4</v>
      </c>
      <c r="P398">
        <v>5</v>
      </c>
      <c r="Q398">
        <v>20</v>
      </c>
      <c r="R398" t="s">
        <v>663</v>
      </c>
      <c r="S398" t="s">
        <v>94</v>
      </c>
      <c r="T398" t="s">
        <v>61</v>
      </c>
      <c r="U398" t="s">
        <v>62</v>
      </c>
      <c r="V398" s="13">
        <v>46611</v>
      </c>
    </row>
    <row r="399" spans="1:22" x14ac:dyDescent="0.25">
      <c r="A399" t="s">
        <v>533</v>
      </c>
      <c r="B399" s="13">
        <v>46152</v>
      </c>
      <c r="C399" t="s">
        <v>22</v>
      </c>
      <c r="D399" t="s">
        <v>74</v>
      </c>
      <c r="E399" t="s">
        <v>109</v>
      </c>
      <c r="F399" t="s">
        <v>110</v>
      </c>
      <c r="G399" t="s">
        <v>111</v>
      </c>
      <c r="H399" t="s">
        <v>197</v>
      </c>
      <c r="I399">
        <v>3</v>
      </c>
      <c r="J399">
        <v>4</v>
      </c>
      <c r="K399">
        <v>12</v>
      </c>
      <c r="L399" t="s">
        <v>40</v>
      </c>
      <c r="M399" t="s">
        <v>29</v>
      </c>
      <c r="N399" t="s">
        <v>128</v>
      </c>
      <c r="O399">
        <v>3</v>
      </c>
      <c r="P399">
        <v>3</v>
      </c>
      <c r="Q399">
        <v>9</v>
      </c>
      <c r="R399" t="s">
        <v>663</v>
      </c>
      <c r="S399" t="s">
        <v>28</v>
      </c>
      <c r="T399" t="s">
        <v>32</v>
      </c>
      <c r="U399" t="s">
        <v>33</v>
      </c>
      <c r="V399" s="13">
        <v>46517</v>
      </c>
    </row>
    <row r="400" spans="1:22" x14ac:dyDescent="0.25">
      <c r="A400" t="s">
        <v>534</v>
      </c>
      <c r="B400" s="13">
        <v>45678</v>
      </c>
      <c r="C400" t="s">
        <v>73</v>
      </c>
      <c r="D400" t="s">
        <v>65</v>
      </c>
      <c r="E400" t="s">
        <v>104</v>
      </c>
      <c r="F400" t="s">
        <v>105</v>
      </c>
      <c r="G400" t="s">
        <v>73</v>
      </c>
      <c r="H400" t="s">
        <v>116</v>
      </c>
      <c r="I400">
        <v>4</v>
      </c>
      <c r="J400">
        <v>2</v>
      </c>
      <c r="K400">
        <v>8</v>
      </c>
      <c r="L400" t="s">
        <v>28</v>
      </c>
      <c r="M400" t="s">
        <v>95</v>
      </c>
      <c r="N400" t="s">
        <v>42</v>
      </c>
      <c r="O400">
        <v>3</v>
      </c>
      <c r="P400">
        <v>1</v>
      </c>
      <c r="Q400">
        <v>3</v>
      </c>
      <c r="R400" t="s">
        <v>663</v>
      </c>
      <c r="S400" t="s">
        <v>31</v>
      </c>
      <c r="T400" t="s">
        <v>43</v>
      </c>
      <c r="U400" t="s">
        <v>33</v>
      </c>
      <c r="V400" s="13">
        <v>46408</v>
      </c>
    </row>
    <row r="401" spans="1:22" x14ac:dyDescent="0.25">
      <c r="A401" t="s">
        <v>535</v>
      </c>
      <c r="B401" s="13">
        <v>45793</v>
      </c>
      <c r="C401" t="s">
        <v>85</v>
      </c>
      <c r="D401" t="s">
        <v>65</v>
      </c>
      <c r="E401" t="s">
        <v>230</v>
      </c>
      <c r="F401" t="s">
        <v>231</v>
      </c>
      <c r="G401" t="s">
        <v>232</v>
      </c>
      <c r="H401" t="s">
        <v>68</v>
      </c>
      <c r="I401">
        <v>2</v>
      </c>
      <c r="J401">
        <v>3</v>
      </c>
      <c r="K401">
        <v>6</v>
      </c>
      <c r="L401" t="s">
        <v>28</v>
      </c>
      <c r="M401" t="s">
        <v>83</v>
      </c>
      <c r="N401" t="s">
        <v>128</v>
      </c>
      <c r="O401">
        <v>2</v>
      </c>
      <c r="P401">
        <v>2</v>
      </c>
      <c r="Q401">
        <v>4</v>
      </c>
      <c r="R401" t="s">
        <v>663</v>
      </c>
      <c r="S401" t="s">
        <v>31</v>
      </c>
      <c r="T401" t="s">
        <v>32</v>
      </c>
      <c r="U401" t="s">
        <v>62</v>
      </c>
      <c r="V401" s="13">
        <v>46158</v>
      </c>
    </row>
    <row r="402" spans="1:22" x14ac:dyDescent="0.25">
      <c r="A402" t="s">
        <v>536</v>
      </c>
      <c r="B402" s="13">
        <v>46045</v>
      </c>
      <c r="C402" t="s">
        <v>35</v>
      </c>
      <c r="D402" t="s">
        <v>80</v>
      </c>
      <c r="E402" t="s">
        <v>120</v>
      </c>
      <c r="F402" t="s">
        <v>121</v>
      </c>
      <c r="G402" t="s">
        <v>35</v>
      </c>
      <c r="H402" t="s">
        <v>68</v>
      </c>
      <c r="I402">
        <v>4</v>
      </c>
      <c r="J402">
        <v>2</v>
      </c>
      <c r="K402">
        <v>8</v>
      </c>
      <c r="L402" t="s">
        <v>28</v>
      </c>
      <c r="M402" t="s">
        <v>29</v>
      </c>
      <c r="N402" t="s">
        <v>124</v>
      </c>
      <c r="O402">
        <v>3</v>
      </c>
      <c r="P402">
        <v>2</v>
      </c>
      <c r="Q402">
        <v>6</v>
      </c>
      <c r="R402" t="s">
        <v>663</v>
      </c>
      <c r="S402" t="s">
        <v>28</v>
      </c>
      <c r="T402" t="s">
        <v>61</v>
      </c>
      <c r="U402" t="s">
        <v>52</v>
      </c>
      <c r="V402" s="13">
        <v>46410</v>
      </c>
    </row>
    <row r="403" spans="1:22" x14ac:dyDescent="0.25">
      <c r="A403" t="s">
        <v>537</v>
      </c>
      <c r="B403" s="13">
        <v>46042</v>
      </c>
      <c r="C403" t="s">
        <v>22</v>
      </c>
      <c r="D403" t="s">
        <v>108</v>
      </c>
      <c r="E403" t="s">
        <v>109</v>
      </c>
      <c r="F403" t="s">
        <v>110</v>
      </c>
      <c r="G403" t="s">
        <v>111</v>
      </c>
      <c r="H403" t="s">
        <v>68</v>
      </c>
      <c r="I403">
        <v>3</v>
      </c>
      <c r="J403">
        <v>5</v>
      </c>
      <c r="K403">
        <v>15</v>
      </c>
      <c r="L403" t="s">
        <v>40</v>
      </c>
      <c r="M403" t="s">
        <v>95</v>
      </c>
      <c r="N403" t="s">
        <v>128</v>
      </c>
      <c r="O403">
        <v>2</v>
      </c>
      <c r="P403">
        <v>4</v>
      </c>
      <c r="Q403">
        <v>8</v>
      </c>
      <c r="R403" t="s">
        <v>663</v>
      </c>
      <c r="S403" t="s">
        <v>28</v>
      </c>
      <c r="T403" t="s">
        <v>43</v>
      </c>
      <c r="U403" t="s">
        <v>71</v>
      </c>
      <c r="V403" s="13">
        <v>46407</v>
      </c>
    </row>
    <row r="404" spans="1:22" x14ac:dyDescent="0.25">
      <c r="A404" t="s">
        <v>538</v>
      </c>
      <c r="B404" s="13">
        <v>45706</v>
      </c>
      <c r="C404" t="s">
        <v>22</v>
      </c>
      <c r="D404" t="s">
        <v>23</v>
      </c>
      <c r="E404" t="s">
        <v>109</v>
      </c>
      <c r="F404" t="s">
        <v>110</v>
      </c>
      <c r="G404" t="s">
        <v>111</v>
      </c>
      <c r="H404" t="s">
        <v>143</v>
      </c>
      <c r="I404">
        <v>4</v>
      </c>
      <c r="J404">
        <v>2</v>
      </c>
      <c r="K404">
        <v>8</v>
      </c>
      <c r="L404" t="s">
        <v>28</v>
      </c>
      <c r="M404" t="s">
        <v>83</v>
      </c>
      <c r="N404" t="s">
        <v>42</v>
      </c>
      <c r="O404">
        <v>2</v>
      </c>
      <c r="P404">
        <v>2</v>
      </c>
      <c r="Q404">
        <v>4</v>
      </c>
      <c r="R404" t="s">
        <v>663</v>
      </c>
      <c r="S404" t="s">
        <v>31</v>
      </c>
      <c r="T404" t="s">
        <v>43</v>
      </c>
      <c r="U404" t="s">
        <v>52</v>
      </c>
      <c r="V404" s="13">
        <v>45886</v>
      </c>
    </row>
    <row r="405" spans="1:22" x14ac:dyDescent="0.25">
      <c r="A405" t="s">
        <v>539</v>
      </c>
      <c r="B405" s="13">
        <v>45692</v>
      </c>
      <c r="C405" t="s">
        <v>73</v>
      </c>
      <c r="D405" t="s">
        <v>23</v>
      </c>
      <c r="E405" t="s">
        <v>75</v>
      </c>
      <c r="F405" t="s">
        <v>76</v>
      </c>
      <c r="G405" t="s">
        <v>73</v>
      </c>
      <c r="H405" t="s">
        <v>77</v>
      </c>
      <c r="I405">
        <v>4</v>
      </c>
      <c r="J405">
        <v>4</v>
      </c>
      <c r="K405">
        <v>16</v>
      </c>
      <c r="L405" t="s">
        <v>40</v>
      </c>
      <c r="M405" t="s">
        <v>50</v>
      </c>
      <c r="N405" t="s">
        <v>106</v>
      </c>
      <c r="O405">
        <v>3</v>
      </c>
      <c r="P405">
        <v>4</v>
      </c>
      <c r="Q405">
        <v>12</v>
      </c>
      <c r="R405" t="s">
        <v>663</v>
      </c>
      <c r="S405" t="s">
        <v>40</v>
      </c>
      <c r="T405" t="s">
        <v>32</v>
      </c>
      <c r="U405" t="s">
        <v>33</v>
      </c>
      <c r="V405" s="13">
        <v>46057</v>
      </c>
    </row>
    <row r="406" spans="1:22" x14ac:dyDescent="0.25">
      <c r="A406" t="s">
        <v>540</v>
      </c>
      <c r="B406" s="13">
        <v>45890</v>
      </c>
      <c r="C406" t="s">
        <v>108</v>
      </c>
      <c r="D406" t="s">
        <v>80</v>
      </c>
      <c r="E406" t="s">
        <v>149</v>
      </c>
      <c r="F406" t="s">
        <v>150</v>
      </c>
      <c r="G406" t="s">
        <v>151</v>
      </c>
      <c r="H406" t="s">
        <v>143</v>
      </c>
      <c r="I406">
        <v>4</v>
      </c>
      <c r="J406">
        <v>4</v>
      </c>
      <c r="K406">
        <v>16</v>
      </c>
      <c r="L406" t="s">
        <v>40</v>
      </c>
      <c r="M406" t="s">
        <v>95</v>
      </c>
      <c r="N406" t="s">
        <v>60</v>
      </c>
      <c r="O406">
        <v>4</v>
      </c>
      <c r="P406">
        <v>3</v>
      </c>
      <c r="Q406">
        <v>12</v>
      </c>
      <c r="R406" t="s">
        <v>663</v>
      </c>
      <c r="S406" t="s">
        <v>40</v>
      </c>
      <c r="T406" t="s">
        <v>32</v>
      </c>
      <c r="U406" t="s">
        <v>96</v>
      </c>
      <c r="V406" s="13">
        <v>46255</v>
      </c>
    </row>
    <row r="407" spans="1:22" x14ac:dyDescent="0.25">
      <c r="A407" t="s">
        <v>541</v>
      </c>
      <c r="B407" s="13">
        <v>45931</v>
      </c>
      <c r="C407" t="s">
        <v>108</v>
      </c>
      <c r="D407" t="s">
        <v>65</v>
      </c>
      <c r="E407" t="s">
        <v>149</v>
      </c>
      <c r="F407" t="s">
        <v>150</v>
      </c>
      <c r="G407" t="s">
        <v>151</v>
      </c>
      <c r="H407" t="s">
        <v>68</v>
      </c>
      <c r="I407">
        <v>2</v>
      </c>
      <c r="J407">
        <v>3</v>
      </c>
      <c r="K407">
        <v>6</v>
      </c>
      <c r="L407" t="s">
        <v>28</v>
      </c>
      <c r="M407" t="s">
        <v>69</v>
      </c>
      <c r="N407" t="s">
        <v>30</v>
      </c>
      <c r="O407">
        <v>1</v>
      </c>
      <c r="P407">
        <v>2</v>
      </c>
      <c r="Q407">
        <v>2</v>
      </c>
      <c r="R407" t="s">
        <v>663</v>
      </c>
      <c r="S407" t="s">
        <v>31</v>
      </c>
      <c r="T407" t="s">
        <v>61</v>
      </c>
      <c r="U407" t="s">
        <v>71</v>
      </c>
      <c r="V407" s="13">
        <v>46661</v>
      </c>
    </row>
    <row r="408" spans="1:22" x14ac:dyDescent="0.25">
      <c r="A408" t="s">
        <v>542</v>
      </c>
      <c r="B408" s="13">
        <v>45661</v>
      </c>
      <c r="C408" t="s">
        <v>35</v>
      </c>
      <c r="D408" t="s">
        <v>80</v>
      </c>
      <c r="E408" t="s">
        <v>36</v>
      </c>
      <c r="F408" t="s">
        <v>37</v>
      </c>
      <c r="G408" t="s">
        <v>38</v>
      </c>
      <c r="H408" t="s">
        <v>39</v>
      </c>
      <c r="I408">
        <v>2</v>
      </c>
      <c r="J408">
        <v>2</v>
      </c>
      <c r="K408">
        <v>4</v>
      </c>
      <c r="L408" t="s">
        <v>31</v>
      </c>
      <c r="M408" t="s">
        <v>69</v>
      </c>
      <c r="N408" t="s">
        <v>51</v>
      </c>
      <c r="O408">
        <v>1</v>
      </c>
      <c r="P408">
        <v>2</v>
      </c>
      <c r="Q408">
        <v>2</v>
      </c>
      <c r="R408" t="s">
        <v>663</v>
      </c>
      <c r="S408" t="s">
        <v>31</v>
      </c>
      <c r="T408" t="s">
        <v>32</v>
      </c>
      <c r="U408" t="s">
        <v>62</v>
      </c>
      <c r="V408" s="13">
        <v>46026</v>
      </c>
    </row>
    <row r="409" spans="1:22" x14ac:dyDescent="0.25">
      <c r="A409" t="s">
        <v>543</v>
      </c>
      <c r="B409" s="13">
        <v>46001</v>
      </c>
      <c r="C409" t="s">
        <v>108</v>
      </c>
      <c r="D409" t="s">
        <v>108</v>
      </c>
      <c r="E409" t="s">
        <v>162</v>
      </c>
      <c r="F409" t="s">
        <v>163</v>
      </c>
      <c r="G409" t="s">
        <v>164</v>
      </c>
      <c r="H409" t="s">
        <v>219</v>
      </c>
      <c r="I409">
        <v>5</v>
      </c>
      <c r="J409">
        <v>3</v>
      </c>
      <c r="K409">
        <v>15</v>
      </c>
      <c r="L409" t="s">
        <v>40</v>
      </c>
      <c r="M409" t="s">
        <v>29</v>
      </c>
      <c r="N409" t="s">
        <v>51</v>
      </c>
      <c r="O409">
        <v>4</v>
      </c>
      <c r="P409">
        <v>3</v>
      </c>
      <c r="Q409">
        <v>12</v>
      </c>
      <c r="R409" t="s">
        <v>663</v>
      </c>
      <c r="S409" t="s">
        <v>40</v>
      </c>
      <c r="T409" t="s">
        <v>32</v>
      </c>
      <c r="U409" t="s">
        <v>96</v>
      </c>
      <c r="V409" s="13">
        <v>46731</v>
      </c>
    </row>
    <row r="410" spans="1:22" x14ac:dyDescent="0.25">
      <c r="A410" t="s">
        <v>544</v>
      </c>
      <c r="B410" s="13">
        <v>45686</v>
      </c>
      <c r="C410" t="s">
        <v>22</v>
      </c>
      <c r="D410" t="s">
        <v>108</v>
      </c>
      <c r="E410" t="s">
        <v>99</v>
      </c>
      <c r="F410" t="s">
        <v>100</v>
      </c>
      <c r="G410" t="s">
        <v>35</v>
      </c>
      <c r="H410" t="s">
        <v>68</v>
      </c>
      <c r="I410">
        <v>5</v>
      </c>
      <c r="J410">
        <v>5</v>
      </c>
      <c r="K410">
        <v>25</v>
      </c>
      <c r="L410" t="s">
        <v>94</v>
      </c>
      <c r="M410" t="s">
        <v>78</v>
      </c>
      <c r="N410" t="s">
        <v>128</v>
      </c>
      <c r="O410">
        <v>3</v>
      </c>
      <c r="P410">
        <v>4</v>
      </c>
      <c r="Q410">
        <v>12</v>
      </c>
      <c r="R410" t="s">
        <v>663</v>
      </c>
      <c r="S410" t="s">
        <v>40</v>
      </c>
      <c r="T410" t="s">
        <v>32</v>
      </c>
      <c r="U410" t="s">
        <v>96</v>
      </c>
      <c r="V410" s="13">
        <v>46051</v>
      </c>
    </row>
    <row r="411" spans="1:22" x14ac:dyDescent="0.25">
      <c r="A411" t="s">
        <v>545</v>
      </c>
      <c r="B411" s="13">
        <v>45864</v>
      </c>
      <c r="C411" t="s">
        <v>35</v>
      </c>
      <c r="D411" t="s">
        <v>108</v>
      </c>
      <c r="E411" t="s">
        <v>36</v>
      </c>
      <c r="F411" t="s">
        <v>37</v>
      </c>
      <c r="G411" t="s">
        <v>38</v>
      </c>
      <c r="H411" t="s">
        <v>116</v>
      </c>
      <c r="I411">
        <v>3</v>
      </c>
      <c r="J411">
        <v>5</v>
      </c>
      <c r="K411">
        <v>15</v>
      </c>
      <c r="L411" t="s">
        <v>40</v>
      </c>
      <c r="M411" t="s">
        <v>29</v>
      </c>
      <c r="N411" t="s">
        <v>42</v>
      </c>
      <c r="O411">
        <v>3</v>
      </c>
      <c r="P411">
        <v>4</v>
      </c>
      <c r="Q411">
        <v>12</v>
      </c>
      <c r="R411" t="s">
        <v>663</v>
      </c>
      <c r="S411" t="s">
        <v>40</v>
      </c>
      <c r="T411" t="s">
        <v>32</v>
      </c>
      <c r="U411" t="s">
        <v>62</v>
      </c>
      <c r="V411" s="13">
        <v>46229</v>
      </c>
    </row>
    <row r="412" spans="1:22" x14ac:dyDescent="0.25">
      <c r="A412" t="s">
        <v>546</v>
      </c>
      <c r="B412" s="13">
        <v>46310</v>
      </c>
      <c r="C412" t="s">
        <v>22</v>
      </c>
      <c r="D412" t="s">
        <v>80</v>
      </c>
      <c r="E412" t="s">
        <v>99</v>
      </c>
      <c r="F412" t="s">
        <v>100</v>
      </c>
      <c r="G412" t="s">
        <v>35</v>
      </c>
      <c r="H412" t="s">
        <v>122</v>
      </c>
      <c r="I412">
        <v>3</v>
      </c>
      <c r="J412">
        <v>2</v>
      </c>
      <c r="K412">
        <v>6</v>
      </c>
      <c r="L412" t="s">
        <v>28</v>
      </c>
      <c r="M412" t="s">
        <v>29</v>
      </c>
      <c r="N412" t="s">
        <v>124</v>
      </c>
      <c r="O412">
        <v>2</v>
      </c>
      <c r="P412">
        <v>2</v>
      </c>
      <c r="Q412">
        <v>4</v>
      </c>
      <c r="R412" t="s">
        <v>663</v>
      </c>
      <c r="S412" t="s">
        <v>31</v>
      </c>
      <c r="T412" t="s">
        <v>43</v>
      </c>
      <c r="U412" t="s">
        <v>62</v>
      </c>
      <c r="V412" s="13">
        <v>46490</v>
      </c>
    </row>
    <row r="413" spans="1:22" x14ac:dyDescent="0.25">
      <c r="A413" t="s">
        <v>547</v>
      </c>
      <c r="B413" s="13">
        <v>46303</v>
      </c>
      <c r="C413" t="s">
        <v>73</v>
      </c>
      <c r="D413" t="s">
        <v>80</v>
      </c>
      <c r="E413" t="s">
        <v>75</v>
      </c>
      <c r="F413" t="s">
        <v>76</v>
      </c>
      <c r="G413" t="s">
        <v>73</v>
      </c>
      <c r="H413" t="s">
        <v>77</v>
      </c>
      <c r="I413">
        <v>4</v>
      </c>
      <c r="J413">
        <v>3</v>
      </c>
      <c r="K413">
        <v>12</v>
      </c>
      <c r="L413" t="s">
        <v>40</v>
      </c>
      <c r="M413" t="s">
        <v>101</v>
      </c>
      <c r="N413" t="s">
        <v>30</v>
      </c>
      <c r="O413">
        <v>3</v>
      </c>
      <c r="P413">
        <v>3</v>
      </c>
      <c r="Q413">
        <v>9</v>
      </c>
      <c r="R413" t="s">
        <v>663</v>
      </c>
      <c r="S413" t="s">
        <v>28</v>
      </c>
      <c r="T413" t="s">
        <v>32</v>
      </c>
      <c r="U413" t="s">
        <v>71</v>
      </c>
      <c r="V413" s="13">
        <v>46668</v>
      </c>
    </row>
    <row r="414" spans="1:22" x14ac:dyDescent="0.25">
      <c r="A414" t="s">
        <v>614</v>
      </c>
      <c r="B414" s="13">
        <v>46288</v>
      </c>
      <c r="C414" t="s">
        <v>85</v>
      </c>
      <c r="D414" t="s">
        <v>80</v>
      </c>
      <c r="E414" t="s">
        <v>230</v>
      </c>
      <c r="F414" t="s">
        <v>231</v>
      </c>
      <c r="G414" t="s">
        <v>232</v>
      </c>
      <c r="H414" t="s">
        <v>116</v>
      </c>
      <c r="I414">
        <v>4</v>
      </c>
      <c r="J414">
        <v>5</v>
      </c>
      <c r="K414">
        <v>20</v>
      </c>
      <c r="L414" t="s">
        <v>94</v>
      </c>
      <c r="M414" t="s">
        <v>78</v>
      </c>
      <c r="N414" t="s">
        <v>106</v>
      </c>
      <c r="O414">
        <v>3</v>
      </c>
      <c r="P414">
        <v>5</v>
      </c>
      <c r="Q414">
        <v>15</v>
      </c>
      <c r="R414" t="s">
        <v>663</v>
      </c>
      <c r="S414" t="s">
        <v>40</v>
      </c>
      <c r="T414" t="s">
        <v>32</v>
      </c>
      <c r="U414" t="s">
        <v>62</v>
      </c>
      <c r="V414" s="13">
        <v>46653</v>
      </c>
    </row>
    <row r="415" spans="1:22" x14ac:dyDescent="0.25">
      <c r="A415" t="s">
        <v>549</v>
      </c>
      <c r="B415" s="13">
        <v>46169</v>
      </c>
      <c r="C415" t="s">
        <v>22</v>
      </c>
      <c r="D415" t="s">
        <v>74</v>
      </c>
      <c r="E415" t="s">
        <v>109</v>
      </c>
      <c r="F415" t="s">
        <v>110</v>
      </c>
      <c r="G415" t="s">
        <v>111</v>
      </c>
      <c r="H415" t="s">
        <v>143</v>
      </c>
      <c r="I415">
        <v>3</v>
      </c>
      <c r="J415">
        <v>4</v>
      </c>
      <c r="K415">
        <v>12</v>
      </c>
      <c r="L415" t="s">
        <v>40</v>
      </c>
      <c r="M415" t="s">
        <v>69</v>
      </c>
      <c r="N415" t="s">
        <v>70</v>
      </c>
      <c r="O415">
        <v>2</v>
      </c>
      <c r="P415">
        <v>3</v>
      </c>
      <c r="Q415">
        <v>6</v>
      </c>
      <c r="R415" t="s">
        <v>663</v>
      </c>
      <c r="S415" t="s">
        <v>28</v>
      </c>
      <c r="T415" t="s">
        <v>61</v>
      </c>
      <c r="U415" t="s">
        <v>33</v>
      </c>
      <c r="V415" s="13">
        <v>46899</v>
      </c>
    </row>
    <row r="416" spans="1:22" x14ac:dyDescent="0.25">
      <c r="A416" t="s">
        <v>550</v>
      </c>
      <c r="B416" s="13">
        <v>45716</v>
      </c>
      <c r="C416" t="s">
        <v>64</v>
      </c>
      <c r="D416" t="s">
        <v>108</v>
      </c>
      <c r="E416" t="s">
        <v>91</v>
      </c>
      <c r="F416" t="s">
        <v>92</v>
      </c>
      <c r="G416" t="s">
        <v>35</v>
      </c>
      <c r="H416" t="s">
        <v>93</v>
      </c>
      <c r="I416">
        <v>3</v>
      </c>
      <c r="J416">
        <v>5</v>
      </c>
      <c r="K416">
        <v>15</v>
      </c>
      <c r="L416" t="s">
        <v>40</v>
      </c>
      <c r="M416" t="s">
        <v>69</v>
      </c>
      <c r="N416" t="s">
        <v>42</v>
      </c>
      <c r="O416">
        <v>2</v>
      </c>
      <c r="P416">
        <v>5</v>
      </c>
      <c r="Q416">
        <v>10</v>
      </c>
      <c r="R416" t="s">
        <v>663</v>
      </c>
      <c r="S416" t="s">
        <v>40</v>
      </c>
      <c r="T416" t="s">
        <v>32</v>
      </c>
      <c r="U416" t="s">
        <v>52</v>
      </c>
      <c r="V416" s="13">
        <v>46081</v>
      </c>
    </row>
    <row r="417" spans="1:22" x14ac:dyDescent="0.25">
      <c r="A417" t="s">
        <v>551</v>
      </c>
      <c r="B417" s="13">
        <v>46199</v>
      </c>
      <c r="C417" t="s">
        <v>108</v>
      </c>
      <c r="D417" t="s">
        <v>108</v>
      </c>
      <c r="E417" t="s">
        <v>149</v>
      </c>
      <c r="F417" t="s">
        <v>150</v>
      </c>
      <c r="G417" t="s">
        <v>151</v>
      </c>
      <c r="H417" t="s">
        <v>225</v>
      </c>
      <c r="I417">
        <v>4</v>
      </c>
      <c r="J417">
        <v>3</v>
      </c>
      <c r="K417">
        <v>12</v>
      </c>
      <c r="L417" t="s">
        <v>40</v>
      </c>
      <c r="M417" t="s">
        <v>69</v>
      </c>
      <c r="N417" t="s">
        <v>106</v>
      </c>
      <c r="O417">
        <v>3</v>
      </c>
      <c r="P417">
        <v>2</v>
      </c>
      <c r="Q417">
        <v>6</v>
      </c>
      <c r="R417" t="s">
        <v>663</v>
      </c>
      <c r="S417" t="s">
        <v>28</v>
      </c>
      <c r="T417" t="s">
        <v>61</v>
      </c>
      <c r="U417" t="s">
        <v>71</v>
      </c>
      <c r="V417" s="13">
        <v>46379</v>
      </c>
    </row>
    <row r="418" spans="1:22" x14ac:dyDescent="0.25">
      <c r="A418" t="s">
        <v>552</v>
      </c>
      <c r="B418" s="13">
        <v>45906</v>
      </c>
      <c r="C418" t="s">
        <v>35</v>
      </c>
      <c r="D418" t="s">
        <v>80</v>
      </c>
      <c r="E418" t="s">
        <v>36</v>
      </c>
      <c r="F418" t="s">
        <v>37</v>
      </c>
      <c r="G418" t="s">
        <v>38</v>
      </c>
      <c r="H418" t="s">
        <v>113</v>
      </c>
      <c r="I418">
        <v>3</v>
      </c>
      <c r="J418">
        <v>5</v>
      </c>
      <c r="K418">
        <v>15</v>
      </c>
      <c r="L418" t="s">
        <v>40</v>
      </c>
      <c r="M418" t="s">
        <v>83</v>
      </c>
      <c r="N418" t="s">
        <v>102</v>
      </c>
      <c r="O418">
        <v>1</v>
      </c>
      <c r="P418">
        <v>5</v>
      </c>
      <c r="Q418">
        <v>5</v>
      </c>
      <c r="R418" t="s">
        <v>663</v>
      </c>
      <c r="S418" t="s">
        <v>28</v>
      </c>
      <c r="T418" t="s">
        <v>61</v>
      </c>
      <c r="U418" t="s">
        <v>62</v>
      </c>
      <c r="V418" s="13">
        <v>46271</v>
      </c>
    </row>
    <row r="419" spans="1:22" x14ac:dyDescent="0.25">
      <c r="A419" t="s">
        <v>553</v>
      </c>
      <c r="B419" s="13">
        <v>45993</v>
      </c>
      <c r="C419" t="s">
        <v>45</v>
      </c>
      <c r="D419" t="s">
        <v>108</v>
      </c>
      <c r="E419" t="s">
        <v>46</v>
      </c>
      <c r="F419" t="s">
        <v>47</v>
      </c>
      <c r="G419" t="s">
        <v>48</v>
      </c>
      <c r="H419" t="s">
        <v>49</v>
      </c>
      <c r="I419">
        <v>3</v>
      </c>
      <c r="J419">
        <v>2</v>
      </c>
      <c r="K419">
        <v>6</v>
      </c>
      <c r="L419" t="s">
        <v>28</v>
      </c>
      <c r="M419" t="s">
        <v>41</v>
      </c>
      <c r="N419" t="s">
        <v>30</v>
      </c>
      <c r="O419">
        <v>2</v>
      </c>
      <c r="P419">
        <v>1</v>
      </c>
      <c r="Q419">
        <v>2</v>
      </c>
      <c r="R419" t="s">
        <v>663</v>
      </c>
      <c r="S419" t="s">
        <v>31</v>
      </c>
      <c r="T419" t="s">
        <v>32</v>
      </c>
      <c r="U419" t="s">
        <v>96</v>
      </c>
      <c r="V419" s="13">
        <v>46358</v>
      </c>
    </row>
    <row r="420" spans="1:22" x14ac:dyDescent="0.25">
      <c r="A420" t="s">
        <v>554</v>
      </c>
      <c r="B420" s="13">
        <v>45877</v>
      </c>
      <c r="C420" t="s">
        <v>73</v>
      </c>
      <c r="D420" t="s">
        <v>23</v>
      </c>
      <c r="E420" t="s">
        <v>75</v>
      </c>
      <c r="F420" t="s">
        <v>76</v>
      </c>
      <c r="G420" t="s">
        <v>73</v>
      </c>
      <c r="H420" t="s">
        <v>68</v>
      </c>
      <c r="I420">
        <v>4</v>
      </c>
      <c r="J420">
        <v>2</v>
      </c>
      <c r="K420">
        <v>8</v>
      </c>
      <c r="L420" t="s">
        <v>28</v>
      </c>
      <c r="M420" t="s">
        <v>29</v>
      </c>
      <c r="N420" t="s">
        <v>70</v>
      </c>
      <c r="O420">
        <v>4</v>
      </c>
      <c r="P420">
        <v>2</v>
      </c>
      <c r="Q420">
        <v>8</v>
      </c>
      <c r="R420" t="s">
        <v>663</v>
      </c>
      <c r="S420" t="s">
        <v>28</v>
      </c>
      <c r="T420" t="s">
        <v>61</v>
      </c>
      <c r="U420" t="s">
        <v>71</v>
      </c>
      <c r="V420" s="13">
        <v>46057</v>
      </c>
    </row>
    <row r="421" spans="1:22" x14ac:dyDescent="0.25">
      <c r="A421" t="s">
        <v>555</v>
      </c>
      <c r="B421" s="13">
        <v>45678</v>
      </c>
      <c r="C421" t="s">
        <v>85</v>
      </c>
      <c r="D421" t="s">
        <v>74</v>
      </c>
      <c r="E421" t="s">
        <v>140</v>
      </c>
      <c r="F421" t="s">
        <v>141</v>
      </c>
      <c r="G421" t="s">
        <v>142</v>
      </c>
      <c r="H421" t="s">
        <v>68</v>
      </c>
      <c r="I421">
        <v>5</v>
      </c>
      <c r="J421">
        <v>4</v>
      </c>
      <c r="K421">
        <v>20</v>
      </c>
      <c r="L421" t="s">
        <v>94</v>
      </c>
      <c r="M421" t="s">
        <v>29</v>
      </c>
      <c r="N421" t="s">
        <v>70</v>
      </c>
      <c r="O421">
        <v>5</v>
      </c>
      <c r="P421">
        <v>3</v>
      </c>
      <c r="Q421">
        <v>15</v>
      </c>
      <c r="R421" t="s">
        <v>663</v>
      </c>
      <c r="S421" t="s">
        <v>40</v>
      </c>
      <c r="T421" t="s">
        <v>43</v>
      </c>
      <c r="U421" t="s">
        <v>62</v>
      </c>
      <c r="V421" s="13">
        <v>45858</v>
      </c>
    </row>
    <row r="422" spans="1:22" x14ac:dyDescent="0.25">
      <c r="A422" t="s">
        <v>556</v>
      </c>
      <c r="B422" s="13">
        <v>45824</v>
      </c>
      <c r="C422" t="s">
        <v>85</v>
      </c>
      <c r="D422" t="s">
        <v>108</v>
      </c>
      <c r="E422" t="s">
        <v>140</v>
      </c>
      <c r="F422" t="s">
        <v>141</v>
      </c>
      <c r="G422" t="s">
        <v>142</v>
      </c>
      <c r="H422" t="s">
        <v>143</v>
      </c>
      <c r="I422">
        <v>2</v>
      </c>
      <c r="J422">
        <v>3</v>
      </c>
      <c r="K422">
        <v>6</v>
      </c>
      <c r="L422" t="s">
        <v>28</v>
      </c>
      <c r="M422" t="s">
        <v>41</v>
      </c>
      <c r="N422" t="s">
        <v>106</v>
      </c>
      <c r="O422">
        <v>1</v>
      </c>
      <c r="P422">
        <v>2</v>
      </c>
      <c r="Q422">
        <v>2</v>
      </c>
      <c r="R422" t="s">
        <v>663</v>
      </c>
      <c r="S422" t="s">
        <v>31</v>
      </c>
      <c r="T422" t="s">
        <v>61</v>
      </c>
      <c r="U422" t="s">
        <v>71</v>
      </c>
      <c r="V422" s="13">
        <v>46004</v>
      </c>
    </row>
    <row r="423" spans="1:22" x14ac:dyDescent="0.25">
      <c r="A423" t="s">
        <v>557</v>
      </c>
      <c r="B423" s="13">
        <v>45941</v>
      </c>
      <c r="C423" t="s">
        <v>73</v>
      </c>
      <c r="D423" t="s">
        <v>65</v>
      </c>
      <c r="E423" t="s">
        <v>75</v>
      </c>
      <c r="F423" t="s">
        <v>76</v>
      </c>
      <c r="G423" t="s">
        <v>73</v>
      </c>
      <c r="H423" t="s">
        <v>77</v>
      </c>
      <c r="I423">
        <v>5</v>
      </c>
      <c r="J423">
        <v>4</v>
      </c>
      <c r="K423">
        <v>20</v>
      </c>
      <c r="L423" t="s">
        <v>94</v>
      </c>
      <c r="M423" t="s">
        <v>69</v>
      </c>
      <c r="N423" t="s">
        <v>42</v>
      </c>
      <c r="O423">
        <v>4</v>
      </c>
      <c r="P423">
        <v>4</v>
      </c>
      <c r="Q423">
        <v>16</v>
      </c>
      <c r="R423" t="s">
        <v>663</v>
      </c>
      <c r="S423" t="s">
        <v>40</v>
      </c>
      <c r="T423" t="s">
        <v>32</v>
      </c>
      <c r="U423" t="s">
        <v>62</v>
      </c>
      <c r="V423" s="13">
        <v>46306</v>
      </c>
    </row>
    <row r="424" spans="1:22" x14ac:dyDescent="0.25">
      <c r="A424" t="s">
        <v>558</v>
      </c>
      <c r="B424" s="13">
        <v>45849</v>
      </c>
      <c r="C424" t="s">
        <v>85</v>
      </c>
      <c r="D424" t="s">
        <v>23</v>
      </c>
      <c r="E424" t="s">
        <v>86</v>
      </c>
      <c r="F424" t="s">
        <v>87</v>
      </c>
      <c r="G424" t="s">
        <v>48</v>
      </c>
      <c r="H424" t="s">
        <v>39</v>
      </c>
      <c r="I424">
        <v>2</v>
      </c>
      <c r="J424">
        <v>3</v>
      </c>
      <c r="K424">
        <v>6</v>
      </c>
      <c r="L424" t="s">
        <v>28</v>
      </c>
      <c r="M424" t="s">
        <v>41</v>
      </c>
      <c r="N424" t="s">
        <v>124</v>
      </c>
      <c r="O424">
        <v>1</v>
      </c>
      <c r="P424">
        <v>3</v>
      </c>
      <c r="Q424">
        <v>3</v>
      </c>
      <c r="R424" t="s">
        <v>663</v>
      </c>
      <c r="S424" t="s">
        <v>31</v>
      </c>
      <c r="T424" t="s">
        <v>32</v>
      </c>
      <c r="U424" t="s">
        <v>62</v>
      </c>
      <c r="V424" s="13">
        <v>46214</v>
      </c>
    </row>
    <row r="425" spans="1:22" x14ac:dyDescent="0.25">
      <c r="A425" t="s">
        <v>559</v>
      </c>
      <c r="B425" s="13">
        <v>45986</v>
      </c>
      <c r="C425" t="s">
        <v>45</v>
      </c>
      <c r="D425" t="s">
        <v>55</v>
      </c>
      <c r="E425" t="s">
        <v>46</v>
      </c>
      <c r="F425" t="s">
        <v>47</v>
      </c>
      <c r="G425" t="s">
        <v>48</v>
      </c>
      <c r="H425" t="s">
        <v>88</v>
      </c>
      <c r="I425">
        <v>2</v>
      </c>
      <c r="J425">
        <v>2</v>
      </c>
      <c r="K425">
        <v>4</v>
      </c>
      <c r="L425" t="s">
        <v>31</v>
      </c>
      <c r="M425" t="s">
        <v>50</v>
      </c>
      <c r="N425" t="s">
        <v>124</v>
      </c>
      <c r="O425">
        <v>1</v>
      </c>
      <c r="P425">
        <v>2</v>
      </c>
      <c r="Q425">
        <v>2</v>
      </c>
      <c r="R425" t="s">
        <v>663</v>
      </c>
      <c r="S425" t="s">
        <v>31</v>
      </c>
      <c r="T425" t="s">
        <v>43</v>
      </c>
      <c r="U425" t="s">
        <v>96</v>
      </c>
      <c r="V425" s="13">
        <v>46716</v>
      </c>
    </row>
    <row r="426" spans="1:22" x14ac:dyDescent="0.25">
      <c r="A426" t="s">
        <v>560</v>
      </c>
      <c r="B426" s="13">
        <v>46353</v>
      </c>
      <c r="C426" t="s">
        <v>64</v>
      </c>
      <c r="D426" t="s">
        <v>98</v>
      </c>
      <c r="E426" t="s">
        <v>91</v>
      </c>
      <c r="F426" t="s">
        <v>92</v>
      </c>
      <c r="G426" t="s">
        <v>35</v>
      </c>
      <c r="H426" t="s">
        <v>122</v>
      </c>
      <c r="I426">
        <v>3</v>
      </c>
      <c r="J426">
        <v>4</v>
      </c>
      <c r="K426">
        <v>12</v>
      </c>
      <c r="L426" t="s">
        <v>40</v>
      </c>
      <c r="M426" t="s">
        <v>78</v>
      </c>
      <c r="N426" t="s">
        <v>124</v>
      </c>
      <c r="O426">
        <v>2</v>
      </c>
      <c r="P426">
        <v>3</v>
      </c>
      <c r="Q426">
        <v>6</v>
      </c>
      <c r="R426" t="s">
        <v>663</v>
      </c>
      <c r="S426" t="s">
        <v>28</v>
      </c>
      <c r="T426" t="s">
        <v>61</v>
      </c>
      <c r="U426" t="s">
        <v>96</v>
      </c>
      <c r="V426" s="13">
        <v>46718</v>
      </c>
    </row>
    <row r="427" spans="1:22" x14ac:dyDescent="0.25">
      <c r="A427" t="s">
        <v>561</v>
      </c>
      <c r="B427" s="13">
        <v>45944</v>
      </c>
      <c r="C427" t="s">
        <v>35</v>
      </c>
      <c r="D427" t="s">
        <v>55</v>
      </c>
      <c r="E427" t="s">
        <v>36</v>
      </c>
      <c r="F427" t="s">
        <v>37</v>
      </c>
      <c r="G427" t="s">
        <v>38</v>
      </c>
      <c r="H427" t="s">
        <v>116</v>
      </c>
      <c r="I427">
        <v>5</v>
      </c>
      <c r="J427">
        <v>4</v>
      </c>
      <c r="K427">
        <v>20</v>
      </c>
      <c r="L427" t="s">
        <v>94</v>
      </c>
      <c r="M427" t="s">
        <v>83</v>
      </c>
      <c r="N427" t="s">
        <v>60</v>
      </c>
      <c r="O427">
        <v>3</v>
      </c>
      <c r="P427">
        <v>4</v>
      </c>
      <c r="Q427">
        <v>12</v>
      </c>
      <c r="R427" t="s">
        <v>663</v>
      </c>
      <c r="S427" t="s">
        <v>40</v>
      </c>
      <c r="T427" t="s">
        <v>43</v>
      </c>
      <c r="U427" t="s">
        <v>52</v>
      </c>
      <c r="V427" s="13">
        <v>46674</v>
      </c>
    </row>
    <row r="428" spans="1:22" x14ac:dyDescent="0.25">
      <c r="A428" t="s">
        <v>562</v>
      </c>
      <c r="B428" s="13">
        <v>46282</v>
      </c>
      <c r="C428" t="s">
        <v>35</v>
      </c>
      <c r="D428" t="s">
        <v>65</v>
      </c>
      <c r="E428" t="s">
        <v>36</v>
      </c>
      <c r="F428" t="s">
        <v>37</v>
      </c>
      <c r="G428" t="s">
        <v>38</v>
      </c>
      <c r="H428" t="s">
        <v>116</v>
      </c>
      <c r="I428">
        <v>3</v>
      </c>
      <c r="J428">
        <v>5</v>
      </c>
      <c r="K428">
        <v>15</v>
      </c>
      <c r="L428" t="s">
        <v>40</v>
      </c>
      <c r="M428" t="s">
        <v>101</v>
      </c>
      <c r="N428" t="s">
        <v>89</v>
      </c>
      <c r="O428">
        <v>2</v>
      </c>
      <c r="P428">
        <v>4</v>
      </c>
      <c r="Q428">
        <v>8</v>
      </c>
      <c r="R428" t="s">
        <v>663</v>
      </c>
      <c r="S428" t="s">
        <v>28</v>
      </c>
      <c r="T428" t="s">
        <v>43</v>
      </c>
      <c r="U428" t="s">
        <v>33</v>
      </c>
      <c r="V428" s="13">
        <v>46647</v>
      </c>
    </row>
    <row r="429" spans="1:22" x14ac:dyDescent="0.25">
      <c r="A429" t="s">
        <v>563</v>
      </c>
      <c r="B429" s="13">
        <v>45790</v>
      </c>
      <c r="C429" t="s">
        <v>85</v>
      </c>
      <c r="D429" t="s">
        <v>55</v>
      </c>
      <c r="E429" t="s">
        <v>230</v>
      </c>
      <c r="F429" t="s">
        <v>231</v>
      </c>
      <c r="G429" t="s">
        <v>232</v>
      </c>
      <c r="H429" t="s">
        <v>233</v>
      </c>
      <c r="I429">
        <v>2</v>
      </c>
      <c r="J429">
        <v>3</v>
      </c>
      <c r="K429">
        <v>6</v>
      </c>
      <c r="L429" t="s">
        <v>28</v>
      </c>
      <c r="M429" t="s">
        <v>41</v>
      </c>
      <c r="N429" t="s">
        <v>51</v>
      </c>
      <c r="O429">
        <v>1</v>
      </c>
      <c r="P429">
        <v>3</v>
      </c>
      <c r="Q429">
        <v>3</v>
      </c>
      <c r="R429" t="s">
        <v>663</v>
      </c>
      <c r="S429" t="s">
        <v>31</v>
      </c>
      <c r="T429" t="s">
        <v>61</v>
      </c>
      <c r="U429" t="s">
        <v>52</v>
      </c>
      <c r="V429" s="13">
        <v>46155</v>
      </c>
    </row>
    <row r="430" spans="1:22" x14ac:dyDescent="0.25">
      <c r="A430" t="s">
        <v>564</v>
      </c>
      <c r="B430" s="13">
        <v>45672</v>
      </c>
      <c r="C430" t="s">
        <v>45</v>
      </c>
      <c r="D430" t="s">
        <v>23</v>
      </c>
      <c r="E430" t="s">
        <v>46</v>
      </c>
      <c r="F430" t="s">
        <v>47</v>
      </c>
      <c r="G430" t="s">
        <v>48</v>
      </c>
      <c r="H430" t="s">
        <v>88</v>
      </c>
      <c r="I430">
        <v>5</v>
      </c>
      <c r="J430">
        <v>3</v>
      </c>
      <c r="K430">
        <v>15</v>
      </c>
      <c r="L430" t="s">
        <v>40</v>
      </c>
      <c r="M430" t="s">
        <v>83</v>
      </c>
      <c r="N430" t="s">
        <v>51</v>
      </c>
      <c r="O430">
        <v>4</v>
      </c>
      <c r="P430">
        <v>3</v>
      </c>
      <c r="Q430">
        <v>12</v>
      </c>
      <c r="R430" t="s">
        <v>663</v>
      </c>
      <c r="S430" t="s">
        <v>40</v>
      </c>
      <c r="T430" t="s">
        <v>61</v>
      </c>
      <c r="U430" t="s">
        <v>71</v>
      </c>
      <c r="V430" s="13">
        <v>46037</v>
      </c>
    </row>
    <row r="431" spans="1:22" x14ac:dyDescent="0.25">
      <c r="A431" t="s">
        <v>613</v>
      </c>
      <c r="B431" s="13">
        <v>45680</v>
      </c>
      <c r="C431" t="s">
        <v>85</v>
      </c>
      <c r="D431" t="s">
        <v>23</v>
      </c>
      <c r="E431" t="s">
        <v>230</v>
      </c>
      <c r="F431" t="s">
        <v>231</v>
      </c>
      <c r="G431" t="s">
        <v>232</v>
      </c>
      <c r="H431" t="s">
        <v>233</v>
      </c>
      <c r="I431">
        <v>5</v>
      </c>
      <c r="J431">
        <v>4</v>
      </c>
      <c r="K431">
        <v>20</v>
      </c>
      <c r="L431" t="s">
        <v>94</v>
      </c>
      <c r="M431" t="s">
        <v>41</v>
      </c>
      <c r="N431" t="s">
        <v>124</v>
      </c>
      <c r="O431">
        <v>3</v>
      </c>
      <c r="P431">
        <v>3</v>
      </c>
      <c r="Q431">
        <v>9</v>
      </c>
      <c r="R431" t="s">
        <v>663</v>
      </c>
      <c r="S431" t="s">
        <v>28</v>
      </c>
      <c r="T431" t="s">
        <v>43</v>
      </c>
      <c r="U431" t="s">
        <v>62</v>
      </c>
      <c r="V431" s="13">
        <v>45860</v>
      </c>
    </row>
    <row r="432" spans="1:22" x14ac:dyDescent="0.25">
      <c r="A432" t="s">
        <v>566</v>
      </c>
      <c r="B432" s="13">
        <v>46279</v>
      </c>
      <c r="C432" t="s">
        <v>85</v>
      </c>
      <c r="D432" t="s">
        <v>74</v>
      </c>
      <c r="E432" t="s">
        <v>140</v>
      </c>
      <c r="F432" t="s">
        <v>141</v>
      </c>
      <c r="G432" t="s">
        <v>142</v>
      </c>
      <c r="H432" t="s">
        <v>153</v>
      </c>
      <c r="I432">
        <v>5</v>
      </c>
      <c r="J432">
        <v>2</v>
      </c>
      <c r="K432">
        <v>10</v>
      </c>
      <c r="L432" t="s">
        <v>40</v>
      </c>
      <c r="M432" t="s">
        <v>95</v>
      </c>
      <c r="N432" t="s">
        <v>70</v>
      </c>
      <c r="O432">
        <v>4</v>
      </c>
      <c r="P432">
        <v>1</v>
      </c>
      <c r="Q432">
        <v>4</v>
      </c>
      <c r="R432" t="s">
        <v>663</v>
      </c>
      <c r="S432" t="s">
        <v>31</v>
      </c>
      <c r="T432" t="s">
        <v>43</v>
      </c>
      <c r="U432" t="s">
        <v>71</v>
      </c>
      <c r="V432" s="13">
        <v>47009</v>
      </c>
    </row>
    <row r="433" spans="1:22" x14ac:dyDescent="0.25">
      <c r="A433" t="s">
        <v>567</v>
      </c>
      <c r="B433" s="13">
        <v>45730</v>
      </c>
      <c r="C433" t="s">
        <v>35</v>
      </c>
      <c r="D433" t="s">
        <v>80</v>
      </c>
      <c r="E433" t="s">
        <v>120</v>
      </c>
      <c r="F433" t="s">
        <v>121</v>
      </c>
      <c r="G433" t="s">
        <v>35</v>
      </c>
      <c r="H433" t="s">
        <v>68</v>
      </c>
      <c r="I433">
        <v>2</v>
      </c>
      <c r="J433">
        <v>5</v>
      </c>
      <c r="K433">
        <v>10</v>
      </c>
      <c r="L433" t="s">
        <v>40</v>
      </c>
      <c r="M433" t="s">
        <v>78</v>
      </c>
      <c r="N433" t="s">
        <v>42</v>
      </c>
      <c r="O433">
        <v>2</v>
      </c>
      <c r="P433">
        <v>4</v>
      </c>
      <c r="Q433">
        <v>8</v>
      </c>
      <c r="R433" t="s">
        <v>663</v>
      </c>
      <c r="S433" t="s">
        <v>28</v>
      </c>
      <c r="T433" t="s">
        <v>32</v>
      </c>
      <c r="U433" t="s">
        <v>96</v>
      </c>
      <c r="V433" s="13">
        <v>46095</v>
      </c>
    </row>
    <row r="434" spans="1:22" x14ac:dyDescent="0.25">
      <c r="A434" t="s">
        <v>568</v>
      </c>
      <c r="B434" s="13">
        <v>46369</v>
      </c>
      <c r="C434" t="s">
        <v>108</v>
      </c>
      <c r="D434" t="s">
        <v>65</v>
      </c>
      <c r="E434" t="s">
        <v>149</v>
      </c>
      <c r="F434" t="s">
        <v>150</v>
      </c>
      <c r="G434" t="s">
        <v>151</v>
      </c>
      <c r="H434" t="s">
        <v>225</v>
      </c>
      <c r="I434">
        <v>5</v>
      </c>
      <c r="J434">
        <v>5</v>
      </c>
      <c r="K434">
        <v>25</v>
      </c>
      <c r="L434" t="s">
        <v>94</v>
      </c>
      <c r="M434" t="s">
        <v>101</v>
      </c>
      <c r="N434" t="s">
        <v>30</v>
      </c>
      <c r="O434">
        <v>5</v>
      </c>
      <c r="P434">
        <v>4</v>
      </c>
      <c r="Q434">
        <v>20</v>
      </c>
      <c r="R434" t="s">
        <v>663</v>
      </c>
      <c r="S434" t="s">
        <v>94</v>
      </c>
      <c r="T434" t="s">
        <v>43</v>
      </c>
      <c r="U434" t="s">
        <v>33</v>
      </c>
      <c r="V434" s="13">
        <v>47099</v>
      </c>
    </row>
    <row r="435" spans="1:22" x14ac:dyDescent="0.25">
      <c r="A435" t="s">
        <v>569</v>
      </c>
      <c r="B435" s="13">
        <v>45975</v>
      </c>
      <c r="C435" t="s">
        <v>22</v>
      </c>
      <c r="D435" t="s">
        <v>23</v>
      </c>
      <c r="E435" t="s">
        <v>24</v>
      </c>
      <c r="F435" t="s">
        <v>25</v>
      </c>
      <c r="G435" t="s">
        <v>26</v>
      </c>
      <c r="H435" t="s">
        <v>223</v>
      </c>
      <c r="I435">
        <v>4</v>
      </c>
      <c r="J435">
        <v>3</v>
      </c>
      <c r="K435">
        <v>12</v>
      </c>
      <c r="L435" t="s">
        <v>40</v>
      </c>
      <c r="M435" t="s">
        <v>69</v>
      </c>
      <c r="N435" t="s">
        <v>30</v>
      </c>
      <c r="O435">
        <v>3</v>
      </c>
      <c r="P435">
        <v>3</v>
      </c>
      <c r="Q435">
        <v>9</v>
      </c>
      <c r="R435" t="s">
        <v>663</v>
      </c>
      <c r="S435" t="s">
        <v>28</v>
      </c>
      <c r="T435" t="s">
        <v>32</v>
      </c>
      <c r="U435" t="s">
        <v>33</v>
      </c>
      <c r="V435" s="13">
        <v>46340</v>
      </c>
    </row>
    <row r="436" spans="1:22" x14ac:dyDescent="0.25">
      <c r="A436" t="s">
        <v>570</v>
      </c>
      <c r="B436" s="13">
        <v>45982</v>
      </c>
      <c r="C436" t="s">
        <v>85</v>
      </c>
      <c r="D436" t="s">
        <v>80</v>
      </c>
      <c r="E436" t="s">
        <v>230</v>
      </c>
      <c r="F436" t="s">
        <v>231</v>
      </c>
      <c r="G436" t="s">
        <v>232</v>
      </c>
      <c r="H436" t="s">
        <v>116</v>
      </c>
      <c r="I436">
        <v>4</v>
      </c>
      <c r="J436">
        <v>4</v>
      </c>
      <c r="K436">
        <v>16</v>
      </c>
      <c r="L436" t="s">
        <v>40</v>
      </c>
      <c r="M436" t="s">
        <v>50</v>
      </c>
      <c r="N436" t="s">
        <v>70</v>
      </c>
      <c r="O436">
        <v>4</v>
      </c>
      <c r="P436">
        <v>3</v>
      </c>
      <c r="Q436">
        <v>12</v>
      </c>
      <c r="R436" t="s">
        <v>663</v>
      </c>
      <c r="S436" t="s">
        <v>40</v>
      </c>
      <c r="T436" t="s">
        <v>61</v>
      </c>
      <c r="U436" t="s">
        <v>33</v>
      </c>
      <c r="V436" s="13">
        <v>46347</v>
      </c>
    </row>
    <row r="437" spans="1:22" x14ac:dyDescent="0.25">
      <c r="A437" t="s">
        <v>571</v>
      </c>
      <c r="B437" s="13">
        <v>46080</v>
      </c>
      <c r="C437" t="s">
        <v>22</v>
      </c>
      <c r="D437" t="s">
        <v>65</v>
      </c>
      <c r="E437" t="s">
        <v>109</v>
      </c>
      <c r="F437" t="s">
        <v>110</v>
      </c>
      <c r="G437" t="s">
        <v>111</v>
      </c>
      <c r="H437" t="s">
        <v>197</v>
      </c>
      <c r="I437">
        <v>4</v>
      </c>
      <c r="J437">
        <v>3</v>
      </c>
      <c r="K437">
        <v>12</v>
      </c>
      <c r="L437" t="s">
        <v>40</v>
      </c>
      <c r="M437" t="s">
        <v>101</v>
      </c>
      <c r="N437" t="s">
        <v>102</v>
      </c>
      <c r="O437">
        <v>4</v>
      </c>
      <c r="P437">
        <v>2</v>
      </c>
      <c r="Q437">
        <v>8</v>
      </c>
      <c r="R437" t="s">
        <v>663</v>
      </c>
      <c r="S437" t="s">
        <v>28</v>
      </c>
      <c r="T437" t="s">
        <v>32</v>
      </c>
      <c r="U437" t="s">
        <v>52</v>
      </c>
      <c r="V437" s="13">
        <v>46260</v>
      </c>
    </row>
    <row r="438" spans="1:22" x14ac:dyDescent="0.25">
      <c r="A438" t="s">
        <v>572</v>
      </c>
      <c r="B438" s="13">
        <v>46387</v>
      </c>
      <c r="C438" t="s">
        <v>85</v>
      </c>
      <c r="D438" t="s">
        <v>80</v>
      </c>
      <c r="E438" t="s">
        <v>230</v>
      </c>
      <c r="F438" t="s">
        <v>231</v>
      </c>
      <c r="G438" t="s">
        <v>232</v>
      </c>
      <c r="H438" t="s">
        <v>116</v>
      </c>
      <c r="I438">
        <v>3</v>
      </c>
      <c r="J438">
        <v>2</v>
      </c>
      <c r="K438">
        <v>6</v>
      </c>
      <c r="L438" t="s">
        <v>28</v>
      </c>
      <c r="M438" t="s">
        <v>41</v>
      </c>
      <c r="N438" t="s">
        <v>30</v>
      </c>
      <c r="O438">
        <v>1</v>
      </c>
      <c r="P438">
        <v>2</v>
      </c>
      <c r="Q438">
        <v>2</v>
      </c>
      <c r="R438" t="s">
        <v>663</v>
      </c>
      <c r="S438" t="s">
        <v>31</v>
      </c>
      <c r="T438" t="s">
        <v>43</v>
      </c>
      <c r="U438" t="s">
        <v>62</v>
      </c>
      <c r="V438" s="13">
        <v>46752</v>
      </c>
    </row>
    <row r="439" spans="1:22" x14ac:dyDescent="0.25">
      <c r="A439" t="s">
        <v>573</v>
      </c>
      <c r="B439" s="13">
        <v>45789</v>
      </c>
      <c r="C439" t="s">
        <v>64</v>
      </c>
      <c r="D439" t="s">
        <v>23</v>
      </c>
      <c r="E439" t="s">
        <v>66</v>
      </c>
      <c r="F439" t="s">
        <v>67</v>
      </c>
      <c r="G439" t="s">
        <v>35</v>
      </c>
      <c r="H439" t="s">
        <v>93</v>
      </c>
      <c r="I439">
        <v>5</v>
      </c>
      <c r="J439">
        <v>3</v>
      </c>
      <c r="K439">
        <v>15</v>
      </c>
      <c r="L439" t="s">
        <v>40</v>
      </c>
      <c r="M439" t="s">
        <v>41</v>
      </c>
      <c r="N439" t="s">
        <v>60</v>
      </c>
      <c r="O439">
        <v>3</v>
      </c>
      <c r="P439">
        <v>2</v>
      </c>
      <c r="Q439">
        <v>6</v>
      </c>
      <c r="R439" t="s">
        <v>663</v>
      </c>
      <c r="S439" t="s">
        <v>28</v>
      </c>
      <c r="T439" t="s">
        <v>61</v>
      </c>
      <c r="U439" t="s">
        <v>71</v>
      </c>
      <c r="V439" s="13">
        <v>45969</v>
      </c>
    </row>
    <row r="440" spans="1:22" x14ac:dyDescent="0.25">
      <c r="A440" t="s">
        <v>574</v>
      </c>
      <c r="B440" s="13">
        <v>45684</v>
      </c>
      <c r="C440" t="s">
        <v>85</v>
      </c>
      <c r="D440" t="s">
        <v>80</v>
      </c>
      <c r="E440" t="s">
        <v>86</v>
      </c>
      <c r="F440" t="s">
        <v>87</v>
      </c>
      <c r="G440" t="s">
        <v>48</v>
      </c>
      <c r="H440" t="s">
        <v>39</v>
      </c>
      <c r="I440">
        <v>4</v>
      </c>
      <c r="J440">
        <v>3</v>
      </c>
      <c r="K440">
        <v>12</v>
      </c>
      <c r="L440" t="s">
        <v>40</v>
      </c>
      <c r="M440" t="s">
        <v>41</v>
      </c>
      <c r="N440" t="s">
        <v>124</v>
      </c>
      <c r="O440">
        <v>3</v>
      </c>
      <c r="P440">
        <v>2</v>
      </c>
      <c r="Q440">
        <v>6</v>
      </c>
      <c r="R440" t="s">
        <v>663</v>
      </c>
      <c r="S440" t="s">
        <v>28</v>
      </c>
      <c r="T440" t="s">
        <v>61</v>
      </c>
      <c r="U440" t="s">
        <v>96</v>
      </c>
      <c r="V440" s="13">
        <v>46414</v>
      </c>
    </row>
    <row r="441" spans="1:22" x14ac:dyDescent="0.25">
      <c r="A441" t="s">
        <v>575</v>
      </c>
      <c r="B441" s="13">
        <v>46150</v>
      </c>
      <c r="C441" t="s">
        <v>73</v>
      </c>
      <c r="D441" t="s">
        <v>55</v>
      </c>
      <c r="E441" t="s">
        <v>104</v>
      </c>
      <c r="F441" t="s">
        <v>105</v>
      </c>
      <c r="G441" t="s">
        <v>73</v>
      </c>
      <c r="H441" t="s">
        <v>77</v>
      </c>
      <c r="I441">
        <v>5</v>
      </c>
      <c r="J441">
        <v>3</v>
      </c>
      <c r="K441">
        <v>15</v>
      </c>
      <c r="L441" t="s">
        <v>40</v>
      </c>
      <c r="M441" t="s">
        <v>50</v>
      </c>
      <c r="N441" t="s">
        <v>60</v>
      </c>
      <c r="O441">
        <v>4</v>
      </c>
      <c r="P441">
        <v>2</v>
      </c>
      <c r="Q441">
        <v>8</v>
      </c>
      <c r="R441" t="s">
        <v>663</v>
      </c>
      <c r="S441" t="s">
        <v>28</v>
      </c>
      <c r="T441" t="s">
        <v>32</v>
      </c>
      <c r="U441" t="s">
        <v>96</v>
      </c>
      <c r="V441" s="13">
        <v>46515</v>
      </c>
    </row>
    <row r="442" spans="1:22" x14ac:dyDescent="0.25">
      <c r="A442" t="s">
        <v>576</v>
      </c>
      <c r="B442" s="13">
        <v>46098</v>
      </c>
      <c r="C442" t="s">
        <v>22</v>
      </c>
      <c r="D442" t="s">
        <v>65</v>
      </c>
      <c r="E442" t="s">
        <v>24</v>
      </c>
      <c r="F442" t="s">
        <v>25</v>
      </c>
      <c r="G442" t="s">
        <v>26</v>
      </c>
      <c r="H442" t="s">
        <v>223</v>
      </c>
      <c r="I442">
        <v>3</v>
      </c>
      <c r="J442">
        <v>4</v>
      </c>
      <c r="K442">
        <v>12</v>
      </c>
      <c r="L442" t="s">
        <v>40</v>
      </c>
      <c r="M442" t="s">
        <v>95</v>
      </c>
      <c r="N442" t="s">
        <v>30</v>
      </c>
      <c r="O442">
        <v>2</v>
      </c>
      <c r="P442">
        <v>4</v>
      </c>
      <c r="Q442">
        <v>8</v>
      </c>
      <c r="R442" t="s">
        <v>663</v>
      </c>
      <c r="S442" t="s">
        <v>28</v>
      </c>
      <c r="T442" t="s">
        <v>32</v>
      </c>
      <c r="U442" t="s">
        <v>96</v>
      </c>
      <c r="V442" s="13">
        <v>46463</v>
      </c>
    </row>
    <row r="443" spans="1:22" x14ac:dyDescent="0.25">
      <c r="A443" t="s">
        <v>612</v>
      </c>
      <c r="B443" s="13">
        <v>45945</v>
      </c>
      <c r="C443" t="s">
        <v>64</v>
      </c>
      <c r="D443" t="s">
        <v>80</v>
      </c>
      <c r="E443" t="s">
        <v>66</v>
      </c>
      <c r="F443" t="s">
        <v>67</v>
      </c>
      <c r="G443" t="s">
        <v>35</v>
      </c>
      <c r="H443" t="s">
        <v>137</v>
      </c>
      <c r="I443">
        <v>2</v>
      </c>
      <c r="J443">
        <v>4</v>
      </c>
      <c r="K443">
        <v>8</v>
      </c>
      <c r="L443" t="s">
        <v>28</v>
      </c>
      <c r="M443" t="s">
        <v>50</v>
      </c>
      <c r="N443" t="s">
        <v>70</v>
      </c>
      <c r="O443">
        <v>1</v>
      </c>
      <c r="P443">
        <v>4</v>
      </c>
      <c r="Q443">
        <v>4</v>
      </c>
      <c r="R443" t="s">
        <v>663</v>
      </c>
      <c r="S443" t="s">
        <v>31</v>
      </c>
      <c r="T443" t="s">
        <v>32</v>
      </c>
      <c r="U443" t="s">
        <v>62</v>
      </c>
      <c r="V443" s="13">
        <v>46310</v>
      </c>
    </row>
    <row r="444" spans="1:22" x14ac:dyDescent="0.25">
      <c r="A444" t="s">
        <v>578</v>
      </c>
      <c r="B444" s="13">
        <v>46026</v>
      </c>
      <c r="C444" t="s">
        <v>73</v>
      </c>
      <c r="D444" t="s">
        <v>80</v>
      </c>
      <c r="E444" t="s">
        <v>75</v>
      </c>
      <c r="F444" t="s">
        <v>76</v>
      </c>
      <c r="G444" t="s">
        <v>73</v>
      </c>
      <c r="H444" t="s">
        <v>116</v>
      </c>
      <c r="I444">
        <v>5</v>
      </c>
      <c r="J444">
        <v>5</v>
      </c>
      <c r="K444">
        <v>25</v>
      </c>
      <c r="L444" t="s">
        <v>94</v>
      </c>
      <c r="M444" t="s">
        <v>95</v>
      </c>
      <c r="N444" t="s">
        <v>51</v>
      </c>
      <c r="O444">
        <v>4</v>
      </c>
      <c r="P444">
        <v>5</v>
      </c>
      <c r="Q444">
        <v>20</v>
      </c>
      <c r="R444" t="s">
        <v>663</v>
      </c>
      <c r="S444" t="s">
        <v>94</v>
      </c>
      <c r="T444" t="s">
        <v>43</v>
      </c>
      <c r="U444" t="s">
        <v>96</v>
      </c>
      <c r="V444" s="13">
        <v>46756</v>
      </c>
    </row>
    <row r="445" spans="1:22" x14ac:dyDescent="0.25">
      <c r="A445" t="s">
        <v>579</v>
      </c>
      <c r="B445" s="13">
        <v>45695</v>
      </c>
      <c r="C445" t="s">
        <v>64</v>
      </c>
      <c r="D445" t="s">
        <v>74</v>
      </c>
      <c r="E445" t="s">
        <v>174</v>
      </c>
      <c r="F445" t="s">
        <v>175</v>
      </c>
      <c r="G445" t="s">
        <v>176</v>
      </c>
      <c r="H445" t="s">
        <v>68</v>
      </c>
      <c r="I445">
        <v>3</v>
      </c>
      <c r="J445">
        <v>2</v>
      </c>
      <c r="K445">
        <v>6</v>
      </c>
      <c r="L445" t="s">
        <v>28</v>
      </c>
      <c r="M445" t="s">
        <v>78</v>
      </c>
      <c r="N445" t="s">
        <v>42</v>
      </c>
      <c r="O445">
        <v>1</v>
      </c>
      <c r="P445">
        <v>1</v>
      </c>
      <c r="Q445">
        <v>1</v>
      </c>
      <c r="R445" t="s">
        <v>663</v>
      </c>
      <c r="S445" t="s">
        <v>31</v>
      </c>
      <c r="T445" t="s">
        <v>43</v>
      </c>
      <c r="U445" t="s">
        <v>52</v>
      </c>
      <c r="V445" s="13">
        <v>46060</v>
      </c>
    </row>
    <row r="446" spans="1:22" x14ac:dyDescent="0.25">
      <c r="A446" t="s">
        <v>580</v>
      </c>
      <c r="B446" s="13">
        <v>45836</v>
      </c>
      <c r="C446" t="s">
        <v>54</v>
      </c>
      <c r="D446" t="s">
        <v>108</v>
      </c>
      <c r="E446" t="s">
        <v>56</v>
      </c>
      <c r="F446" t="s">
        <v>57</v>
      </c>
      <c r="G446" t="s">
        <v>58</v>
      </c>
      <c r="H446" t="s">
        <v>59</v>
      </c>
      <c r="I446">
        <v>5</v>
      </c>
      <c r="J446">
        <v>2</v>
      </c>
      <c r="K446">
        <v>10</v>
      </c>
      <c r="L446" t="s">
        <v>40</v>
      </c>
      <c r="M446" t="s">
        <v>83</v>
      </c>
      <c r="N446" t="s">
        <v>70</v>
      </c>
      <c r="O446">
        <v>4</v>
      </c>
      <c r="P446">
        <v>2</v>
      </c>
      <c r="Q446">
        <v>8</v>
      </c>
      <c r="R446" t="s">
        <v>663</v>
      </c>
      <c r="S446" t="s">
        <v>28</v>
      </c>
      <c r="T446" t="s">
        <v>43</v>
      </c>
      <c r="U446" t="s">
        <v>96</v>
      </c>
      <c r="V446" s="13">
        <v>46016</v>
      </c>
    </row>
    <row r="447" spans="1:22" x14ac:dyDescent="0.25">
      <c r="A447" t="s">
        <v>581</v>
      </c>
      <c r="B447" s="13">
        <v>46219</v>
      </c>
      <c r="C447" t="s">
        <v>35</v>
      </c>
      <c r="D447" t="s">
        <v>108</v>
      </c>
      <c r="E447" t="s">
        <v>36</v>
      </c>
      <c r="F447" t="s">
        <v>37</v>
      </c>
      <c r="G447" t="s">
        <v>38</v>
      </c>
      <c r="H447" t="s">
        <v>113</v>
      </c>
      <c r="I447">
        <v>3</v>
      </c>
      <c r="J447">
        <v>4</v>
      </c>
      <c r="K447">
        <v>12</v>
      </c>
      <c r="L447" t="s">
        <v>40</v>
      </c>
      <c r="M447" t="s">
        <v>95</v>
      </c>
      <c r="N447" t="s">
        <v>42</v>
      </c>
      <c r="O447">
        <v>3</v>
      </c>
      <c r="P447">
        <v>3</v>
      </c>
      <c r="Q447">
        <v>9</v>
      </c>
      <c r="R447" t="s">
        <v>663</v>
      </c>
      <c r="S447" t="s">
        <v>28</v>
      </c>
      <c r="T447" t="s">
        <v>61</v>
      </c>
      <c r="U447" t="s">
        <v>96</v>
      </c>
      <c r="V447" s="13">
        <v>46584</v>
      </c>
    </row>
    <row r="448" spans="1:22" x14ac:dyDescent="0.25">
      <c r="A448" t="s">
        <v>582</v>
      </c>
      <c r="B448" s="13">
        <v>46130</v>
      </c>
      <c r="C448" t="s">
        <v>108</v>
      </c>
      <c r="D448" t="s">
        <v>74</v>
      </c>
      <c r="E448" t="s">
        <v>162</v>
      </c>
      <c r="F448" t="s">
        <v>163</v>
      </c>
      <c r="G448" t="s">
        <v>164</v>
      </c>
      <c r="H448" t="s">
        <v>219</v>
      </c>
      <c r="I448">
        <v>4</v>
      </c>
      <c r="J448">
        <v>3</v>
      </c>
      <c r="K448">
        <v>12</v>
      </c>
      <c r="L448" t="s">
        <v>40</v>
      </c>
      <c r="M448" t="s">
        <v>50</v>
      </c>
      <c r="N448" t="s">
        <v>51</v>
      </c>
      <c r="O448">
        <v>3</v>
      </c>
      <c r="P448">
        <v>3</v>
      </c>
      <c r="Q448">
        <v>9</v>
      </c>
      <c r="R448" t="s">
        <v>663</v>
      </c>
      <c r="S448" t="s">
        <v>28</v>
      </c>
      <c r="T448" t="s">
        <v>32</v>
      </c>
      <c r="U448" t="s">
        <v>33</v>
      </c>
      <c r="V448" s="13">
        <v>46495</v>
      </c>
    </row>
    <row r="449" spans="1:22" x14ac:dyDescent="0.25">
      <c r="A449" t="s">
        <v>583</v>
      </c>
      <c r="B449" s="13">
        <v>45724</v>
      </c>
      <c r="C449" t="s">
        <v>35</v>
      </c>
      <c r="D449" t="s">
        <v>98</v>
      </c>
      <c r="E449" t="s">
        <v>36</v>
      </c>
      <c r="F449" t="s">
        <v>37</v>
      </c>
      <c r="G449" t="s">
        <v>38</v>
      </c>
      <c r="H449" t="s">
        <v>39</v>
      </c>
      <c r="I449">
        <v>2</v>
      </c>
      <c r="J449">
        <v>3</v>
      </c>
      <c r="K449">
        <v>6</v>
      </c>
      <c r="L449" t="s">
        <v>28</v>
      </c>
      <c r="M449" t="s">
        <v>83</v>
      </c>
      <c r="N449" t="s">
        <v>106</v>
      </c>
      <c r="O449">
        <v>1</v>
      </c>
      <c r="P449">
        <v>2</v>
      </c>
      <c r="Q449">
        <v>2</v>
      </c>
      <c r="R449" t="s">
        <v>663</v>
      </c>
      <c r="S449" t="s">
        <v>31</v>
      </c>
      <c r="T449" t="s">
        <v>61</v>
      </c>
      <c r="U449" t="s">
        <v>96</v>
      </c>
      <c r="V449" s="13">
        <v>46454</v>
      </c>
    </row>
    <row r="450" spans="1:22" x14ac:dyDescent="0.25">
      <c r="A450" t="s">
        <v>584</v>
      </c>
      <c r="B450" s="13">
        <v>45747</v>
      </c>
      <c r="C450" t="s">
        <v>108</v>
      </c>
      <c r="D450" t="s">
        <v>55</v>
      </c>
      <c r="E450" t="s">
        <v>162</v>
      </c>
      <c r="F450" t="s">
        <v>163</v>
      </c>
      <c r="G450" t="s">
        <v>164</v>
      </c>
      <c r="H450" t="s">
        <v>219</v>
      </c>
      <c r="I450">
        <v>5</v>
      </c>
      <c r="J450">
        <v>5</v>
      </c>
      <c r="K450">
        <v>25</v>
      </c>
      <c r="L450" t="s">
        <v>94</v>
      </c>
      <c r="M450" t="s">
        <v>29</v>
      </c>
      <c r="N450" t="s">
        <v>30</v>
      </c>
      <c r="O450">
        <v>4</v>
      </c>
      <c r="P450">
        <v>5</v>
      </c>
      <c r="Q450">
        <v>20</v>
      </c>
      <c r="R450" t="s">
        <v>663</v>
      </c>
      <c r="S450" t="s">
        <v>94</v>
      </c>
      <c r="T450" t="s">
        <v>61</v>
      </c>
      <c r="U450" t="s">
        <v>96</v>
      </c>
      <c r="V450" s="13">
        <v>45927</v>
      </c>
    </row>
    <row r="451" spans="1:22" x14ac:dyDescent="0.25">
      <c r="A451" t="s">
        <v>585</v>
      </c>
      <c r="B451" s="13">
        <v>45846</v>
      </c>
      <c r="C451" t="s">
        <v>45</v>
      </c>
      <c r="D451" t="s">
        <v>108</v>
      </c>
      <c r="E451" t="s">
        <v>46</v>
      </c>
      <c r="F451" t="s">
        <v>47</v>
      </c>
      <c r="G451" t="s">
        <v>48</v>
      </c>
      <c r="H451" t="s">
        <v>39</v>
      </c>
      <c r="I451">
        <v>3</v>
      </c>
      <c r="J451">
        <v>4</v>
      </c>
      <c r="K451">
        <v>12</v>
      </c>
      <c r="L451" t="s">
        <v>40</v>
      </c>
      <c r="M451" t="s">
        <v>50</v>
      </c>
      <c r="N451" t="s">
        <v>70</v>
      </c>
      <c r="O451">
        <v>1</v>
      </c>
      <c r="P451">
        <v>4</v>
      </c>
      <c r="Q451">
        <v>4</v>
      </c>
      <c r="R451" t="s">
        <v>663</v>
      </c>
      <c r="S451" t="s">
        <v>31</v>
      </c>
      <c r="T451" t="s">
        <v>32</v>
      </c>
      <c r="U451" t="s">
        <v>96</v>
      </c>
      <c r="V451" s="13">
        <v>46211</v>
      </c>
    </row>
    <row r="452" spans="1:22" x14ac:dyDescent="0.25">
      <c r="A452" t="s">
        <v>586</v>
      </c>
      <c r="B452" s="13">
        <v>46221</v>
      </c>
      <c r="C452" t="s">
        <v>22</v>
      </c>
      <c r="D452" t="s">
        <v>98</v>
      </c>
      <c r="E452" t="s">
        <v>99</v>
      </c>
      <c r="F452" t="s">
        <v>100</v>
      </c>
      <c r="G452" t="s">
        <v>35</v>
      </c>
      <c r="H452" t="s">
        <v>93</v>
      </c>
      <c r="I452">
        <v>2</v>
      </c>
      <c r="J452">
        <v>4</v>
      </c>
      <c r="K452">
        <v>8</v>
      </c>
      <c r="L452" t="s">
        <v>28</v>
      </c>
      <c r="M452" t="s">
        <v>41</v>
      </c>
      <c r="N452" t="s">
        <v>51</v>
      </c>
      <c r="O452">
        <v>1</v>
      </c>
      <c r="P452">
        <v>3</v>
      </c>
      <c r="Q452">
        <v>3</v>
      </c>
      <c r="R452" t="s">
        <v>663</v>
      </c>
      <c r="S452" t="s">
        <v>31</v>
      </c>
      <c r="T452" t="s">
        <v>32</v>
      </c>
      <c r="U452" t="s">
        <v>62</v>
      </c>
      <c r="V452" s="13">
        <v>46586</v>
      </c>
    </row>
    <row r="453" spans="1:22" x14ac:dyDescent="0.25">
      <c r="A453" t="s">
        <v>587</v>
      </c>
      <c r="B453" s="13">
        <v>45659</v>
      </c>
      <c r="C453" t="s">
        <v>108</v>
      </c>
      <c r="D453" t="s">
        <v>65</v>
      </c>
      <c r="E453" t="s">
        <v>162</v>
      </c>
      <c r="F453" t="s">
        <v>163</v>
      </c>
      <c r="G453" t="s">
        <v>164</v>
      </c>
      <c r="H453" t="s">
        <v>68</v>
      </c>
      <c r="I453">
        <v>4</v>
      </c>
      <c r="J453">
        <v>2</v>
      </c>
      <c r="K453">
        <v>8</v>
      </c>
      <c r="L453" t="s">
        <v>28</v>
      </c>
      <c r="M453" t="s">
        <v>69</v>
      </c>
      <c r="N453" t="s">
        <v>89</v>
      </c>
      <c r="O453">
        <v>2</v>
      </c>
      <c r="P453">
        <v>2</v>
      </c>
      <c r="Q453">
        <v>4</v>
      </c>
      <c r="R453" t="s">
        <v>663</v>
      </c>
      <c r="S453" t="s">
        <v>31</v>
      </c>
      <c r="T453" t="s">
        <v>32</v>
      </c>
      <c r="U453" t="s">
        <v>71</v>
      </c>
      <c r="V453" s="13">
        <v>45839</v>
      </c>
    </row>
    <row r="454" spans="1:22" x14ac:dyDescent="0.25">
      <c r="A454" t="s">
        <v>588</v>
      </c>
      <c r="B454" s="13">
        <v>46211</v>
      </c>
      <c r="C454" t="s">
        <v>22</v>
      </c>
      <c r="D454" t="s">
        <v>108</v>
      </c>
      <c r="E454" t="s">
        <v>109</v>
      </c>
      <c r="F454" t="s">
        <v>110</v>
      </c>
      <c r="G454" t="s">
        <v>111</v>
      </c>
      <c r="H454" t="s">
        <v>68</v>
      </c>
      <c r="I454">
        <v>5</v>
      </c>
      <c r="J454">
        <v>5</v>
      </c>
      <c r="K454">
        <v>25</v>
      </c>
      <c r="L454" t="s">
        <v>94</v>
      </c>
      <c r="M454" t="s">
        <v>50</v>
      </c>
      <c r="N454" t="s">
        <v>102</v>
      </c>
      <c r="O454">
        <v>5</v>
      </c>
      <c r="P454">
        <v>4</v>
      </c>
      <c r="Q454">
        <v>20</v>
      </c>
      <c r="R454" t="s">
        <v>663</v>
      </c>
      <c r="S454" t="s">
        <v>94</v>
      </c>
      <c r="T454" t="s">
        <v>32</v>
      </c>
      <c r="U454" t="s">
        <v>52</v>
      </c>
      <c r="V454" s="13">
        <v>46391</v>
      </c>
    </row>
    <row r="455" spans="1:22" x14ac:dyDescent="0.25">
      <c r="A455" t="s">
        <v>589</v>
      </c>
      <c r="B455" s="13">
        <v>46261</v>
      </c>
      <c r="C455" t="s">
        <v>85</v>
      </c>
      <c r="D455" t="s">
        <v>23</v>
      </c>
      <c r="E455" t="s">
        <v>140</v>
      </c>
      <c r="F455" t="s">
        <v>141</v>
      </c>
      <c r="G455" t="s">
        <v>142</v>
      </c>
      <c r="H455" t="s">
        <v>68</v>
      </c>
      <c r="I455">
        <v>5</v>
      </c>
      <c r="J455">
        <v>4</v>
      </c>
      <c r="K455">
        <v>20</v>
      </c>
      <c r="L455" t="s">
        <v>94</v>
      </c>
      <c r="M455" t="s">
        <v>69</v>
      </c>
      <c r="N455" t="s">
        <v>30</v>
      </c>
      <c r="O455">
        <v>4</v>
      </c>
      <c r="P455">
        <v>4</v>
      </c>
      <c r="Q455">
        <v>16</v>
      </c>
      <c r="R455" t="s">
        <v>663</v>
      </c>
      <c r="S455" t="s">
        <v>40</v>
      </c>
      <c r="T455" t="s">
        <v>32</v>
      </c>
      <c r="U455" t="s">
        <v>96</v>
      </c>
      <c r="V455" s="13">
        <v>46441</v>
      </c>
    </row>
    <row r="456" spans="1:22" x14ac:dyDescent="0.25">
      <c r="A456" t="s">
        <v>590</v>
      </c>
      <c r="B456" s="13">
        <v>45992</v>
      </c>
      <c r="C456" t="s">
        <v>85</v>
      </c>
      <c r="D456" t="s">
        <v>65</v>
      </c>
      <c r="E456" t="s">
        <v>86</v>
      </c>
      <c r="F456" t="s">
        <v>87</v>
      </c>
      <c r="G456" t="s">
        <v>48</v>
      </c>
      <c r="H456" t="s">
        <v>88</v>
      </c>
      <c r="I456">
        <v>2</v>
      </c>
      <c r="J456">
        <v>3</v>
      </c>
      <c r="K456">
        <v>6</v>
      </c>
      <c r="L456" t="s">
        <v>28</v>
      </c>
      <c r="M456" t="s">
        <v>78</v>
      </c>
      <c r="N456" t="s">
        <v>124</v>
      </c>
      <c r="O456">
        <v>1</v>
      </c>
      <c r="P456">
        <v>2</v>
      </c>
      <c r="Q456">
        <v>2</v>
      </c>
      <c r="R456" t="s">
        <v>663</v>
      </c>
      <c r="S456" t="s">
        <v>31</v>
      </c>
      <c r="T456" t="s">
        <v>61</v>
      </c>
      <c r="U456" t="s">
        <v>52</v>
      </c>
      <c r="V456" s="13">
        <v>46722</v>
      </c>
    </row>
    <row r="457" spans="1:22" x14ac:dyDescent="0.25">
      <c r="A457" t="s">
        <v>591</v>
      </c>
      <c r="B457" s="13">
        <v>45726</v>
      </c>
      <c r="C457" t="s">
        <v>73</v>
      </c>
      <c r="D457" t="s">
        <v>108</v>
      </c>
      <c r="E457" t="s">
        <v>75</v>
      </c>
      <c r="F457" t="s">
        <v>76</v>
      </c>
      <c r="G457" t="s">
        <v>73</v>
      </c>
      <c r="H457" t="s">
        <v>116</v>
      </c>
      <c r="I457">
        <v>4</v>
      </c>
      <c r="J457">
        <v>5</v>
      </c>
      <c r="K457">
        <v>20</v>
      </c>
      <c r="L457" t="s">
        <v>94</v>
      </c>
      <c r="M457" t="s">
        <v>69</v>
      </c>
      <c r="N457" t="s">
        <v>102</v>
      </c>
      <c r="O457">
        <v>3</v>
      </c>
      <c r="P457">
        <v>5</v>
      </c>
      <c r="Q457">
        <v>15</v>
      </c>
      <c r="R457" t="s">
        <v>663</v>
      </c>
      <c r="S457" t="s">
        <v>40</v>
      </c>
      <c r="T457" t="s">
        <v>32</v>
      </c>
      <c r="U457" t="s">
        <v>96</v>
      </c>
      <c r="V457" s="13">
        <v>46091</v>
      </c>
    </row>
    <row r="458" spans="1:22" x14ac:dyDescent="0.25">
      <c r="A458" t="s">
        <v>592</v>
      </c>
      <c r="B458" s="13">
        <v>46333</v>
      </c>
      <c r="C458" t="s">
        <v>22</v>
      </c>
      <c r="D458" t="s">
        <v>55</v>
      </c>
      <c r="E458" t="s">
        <v>99</v>
      </c>
      <c r="F458" t="s">
        <v>100</v>
      </c>
      <c r="G458" t="s">
        <v>35</v>
      </c>
      <c r="H458" t="s">
        <v>93</v>
      </c>
      <c r="I458">
        <v>4</v>
      </c>
      <c r="J458">
        <v>5</v>
      </c>
      <c r="K458">
        <v>20</v>
      </c>
      <c r="L458" t="s">
        <v>94</v>
      </c>
      <c r="M458" t="s">
        <v>101</v>
      </c>
      <c r="N458" t="s">
        <v>102</v>
      </c>
      <c r="O458">
        <v>3</v>
      </c>
      <c r="P458">
        <v>4</v>
      </c>
      <c r="Q458">
        <v>12</v>
      </c>
      <c r="R458" t="s">
        <v>663</v>
      </c>
      <c r="S458" t="s">
        <v>40</v>
      </c>
      <c r="T458" t="s">
        <v>61</v>
      </c>
      <c r="U458" t="s">
        <v>96</v>
      </c>
      <c r="V458" s="13">
        <v>46513</v>
      </c>
    </row>
    <row r="459" spans="1:22" x14ac:dyDescent="0.25">
      <c r="A459" t="s">
        <v>593</v>
      </c>
      <c r="B459" s="13">
        <v>45813</v>
      </c>
      <c r="C459" t="s">
        <v>108</v>
      </c>
      <c r="D459" t="s">
        <v>55</v>
      </c>
      <c r="E459" t="s">
        <v>149</v>
      </c>
      <c r="F459" t="s">
        <v>150</v>
      </c>
      <c r="G459" t="s">
        <v>151</v>
      </c>
      <c r="H459" t="s">
        <v>225</v>
      </c>
      <c r="I459">
        <v>3</v>
      </c>
      <c r="J459">
        <v>4</v>
      </c>
      <c r="K459">
        <v>12</v>
      </c>
      <c r="L459" t="s">
        <v>40</v>
      </c>
      <c r="M459" t="s">
        <v>41</v>
      </c>
      <c r="N459" t="s">
        <v>51</v>
      </c>
      <c r="O459">
        <v>2</v>
      </c>
      <c r="P459">
        <v>4</v>
      </c>
      <c r="Q459">
        <v>8</v>
      </c>
      <c r="R459" t="s">
        <v>663</v>
      </c>
      <c r="S459" t="s">
        <v>28</v>
      </c>
      <c r="T459" t="s">
        <v>43</v>
      </c>
      <c r="U459" t="s">
        <v>52</v>
      </c>
      <c r="V459" s="13">
        <v>46178</v>
      </c>
    </row>
    <row r="460" spans="1:22" x14ac:dyDescent="0.25">
      <c r="A460" t="s">
        <v>594</v>
      </c>
      <c r="B460" s="13">
        <v>46207</v>
      </c>
      <c r="C460" t="s">
        <v>22</v>
      </c>
      <c r="D460" t="s">
        <v>80</v>
      </c>
      <c r="E460" t="s">
        <v>99</v>
      </c>
      <c r="F460" t="s">
        <v>100</v>
      </c>
      <c r="G460" t="s">
        <v>35</v>
      </c>
      <c r="H460" t="s">
        <v>68</v>
      </c>
      <c r="I460">
        <v>2</v>
      </c>
      <c r="J460">
        <v>3</v>
      </c>
      <c r="K460">
        <v>6</v>
      </c>
      <c r="L460" t="s">
        <v>28</v>
      </c>
      <c r="M460" t="s">
        <v>50</v>
      </c>
      <c r="N460" t="s">
        <v>89</v>
      </c>
      <c r="O460">
        <v>1</v>
      </c>
      <c r="P460">
        <v>3</v>
      </c>
      <c r="Q460">
        <v>3</v>
      </c>
      <c r="R460" t="s">
        <v>663</v>
      </c>
      <c r="S460" t="s">
        <v>31</v>
      </c>
      <c r="T460" t="s">
        <v>61</v>
      </c>
      <c r="U460" t="s">
        <v>33</v>
      </c>
      <c r="V460" s="13">
        <v>46572</v>
      </c>
    </row>
    <row r="461" spans="1:22" x14ac:dyDescent="0.25">
      <c r="A461" t="s">
        <v>595</v>
      </c>
      <c r="B461" s="13">
        <v>45860</v>
      </c>
      <c r="C461" t="s">
        <v>22</v>
      </c>
      <c r="D461" t="s">
        <v>23</v>
      </c>
      <c r="E461" t="s">
        <v>81</v>
      </c>
      <c r="F461" t="s">
        <v>82</v>
      </c>
      <c r="G461" t="s">
        <v>81</v>
      </c>
      <c r="H461" t="s">
        <v>127</v>
      </c>
      <c r="I461">
        <v>2</v>
      </c>
      <c r="J461">
        <v>2</v>
      </c>
      <c r="K461">
        <v>4</v>
      </c>
      <c r="L461" t="s">
        <v>31</v>
      </c>
      <c r="M461" t="s">
        <v>69</v>
      </c>
      <c r="N461" t="s">
        <v>60</v>
      </c>
      <c r="O461">
        <v>1</v>
      </c>
      <c r="P461">
        <v>1</v>
      </c>
      <c r="Q461">
        <v>1</v>
      </c>
      <c r="R461" t="s">
        <v>663</v>
      </c>
      <c r="S461" t="s">
        <v>31</v>
      </c>
      <c r="T461" t="s">
        <v>61</v>
      </c>
      <c r="U461" t="s">
        <v>96</v>
      </c>
      <c r="V461" s="13">
        <v>46040</v>
      </c>
    </row>
    <row r="462" spans="1:22" x14ac:dyDescent="0.25">
      <c r="A462" t="s">
        <v>596</v>
      </c>
      <c r="B462" s="13">
        <v>46134</v>
      </c>
      <c r="C462" t="s">
        <v>108</v>
      </c>
      <c r="D462" t="s">
        <v>65</v>
      </c>
      <c r="E462" t="s">
        <v>162</v>
      </c>
      <c r="F462" t="s">
        <v>163</v>
      </c>
      <c r="G462" t="s">
        <v>164</v>
      </c>
      <c r="H462" t="s">
        <v>68</v>
      </c>
      <c r="I462">
        <v>5</v>
      </c>
      <c r="J462">
        <v>2</v>
      </c>
      <c r="K462">
        <v>10</v>
      </c>
      <c r="L462" t="s">
        <v>40</v>
      </c>
      <c r="M462" t="s">
        <v>95</v>
      </c>
      <c r="N462" t="s">
        <v>89</v>
      </c>
      <c r="O462">
        <v>4</v>
      </c>
      <c r="P462">
        <v>2</v>
      </c>
      <c r="Q462">
        <v>8</v>
      </c>
      <c r="R462" t="s">
        <v>663</v>
      </c>
      <c r="S462" t="s">
        <v>28</v>
      </c>
      <c r="T462" t="s">
        <v>43</v>
      </c>
      <c r="U462" t="s">
        <v>96</v>
      </c>
      <c r="V462" s="13">
        <v>46499</v>
      </c>
    </row>
    <row r="463" spans="1:22" x14ac:dyDescent="0.25">
      <c r="A463" t="s">
        <v>597</v>
      </c>
      <c r="B463" s="13">
        <v>46386</v>
      </c>
      <c r="C463" t="s">
        <v>22</v>
      </c>
      <c r="D463" t="s">
        <v>23</v>
      </c>
      <c r="E463" t="s">
        <v>99</v>
      </c>
      <c r="F463" t="s">
        <v>100</v>
      </c>
      <c r="G463" t="s">
        <v>35</v>
      </c>
      <c r="H463" t="s">
        <v>137</v>
      </c>
      <c r="I463">
        <v>2</v>
      </c>
      <c r="J463">
        <v>5</v>
      </c>
      <c r="K463">
        <v>10</v>
      </c>
      <c r="L463" t="s">
        <v>40</v>
      </c>
      <c r="M463" t="s">
        <v>78</v>
      </c>
      <c r="N463" t="s">
        <v>128</v>
      </c>
      <c r="O463">
        <v>1</v>
      </c>
      <c r="P463">
        <v>5</v>
      </c>
      <c r="Q463">
        <v>5</v>
      </c>
      <c r="R463" t="s">
        <v>663</v>
      </c>
      <c r="S463" t="s">
        <v>28</v>
      </c>
      <c r="T463" t="s">
        <v>61</v>
      </c>
      <c r="U463" t="s">
        <v>96</v>
      </c>
      <c r="V463" s="13">
        <v>46751</v>
      </c>
    </row>
    <row r="464" spans="1:22" x14ac:dyDescent="0.25">
      <c r="A464" t="s">
        <v>598</v>
      </c>
      <c r="B464" s="13">
        <v>45888</v>
      </c>
      <c r="C464" t="s">
        <v>54</v>
      </c>
      <c r="D464" t="s">
        <v>74</v>
      </c>
      <c r="E464" t="s">
        <v>56</v>
      </c>
      <c r="F464" t="s">
        <v>57</v>
      </c>
      <c r="G464" t="s">
        <v>58</v>
      </c>
      <c r="H464" t="s">
        <v>209</v>
      </c>
      <c r="I464">
        <v>5</v>
      </c>
      <c r="J464">
        <v>3</v>
      </c>
      <c r="K464">
        <v>15</v>
      </c>
      <c r="L464" t="s">
        <v>40</v>
      </c>
      <c r="M464" t="s">
        <v>69</v>
      </c>
      <c r="N464" t="s">
        <v>106</v>
      </c>
      <c r="O464">
        <v>3</v>
      </c>
      <c r="P464">
        <v>2</v>
      </c>
      <c r="Q464">
        <v>6</v>
      </c>
      <c r="R464" t="s">
        <v>663</v>
      </c>
      <c r="S464" t="s">
        <v>28</v>
      </c>
      <c r="T464" t="s">
        <v>61</v>
      </c>
      <c r="U464" t="s">
        <v>71</v>
      </c>
      <c r="V464" s="13">
        <v>46253</v>
      </c>
    </row>
    <row r="465" spans="1:22" x14ac:dyDescent="0.25">
      <c r="A465" t="s">
        <v>599</v>
      </c>
      <c r="B465" s="13">
        <v>45914</v>
      </c>
      <c r="C465" t="s">
        <v>22</v>
      </c>
      <c r="D465" t="s">
        <v>65</v>
      </c>
      <c r="E465" t="s">
        <v>135</v>
      </c>
      <c r="F465" t="s">
        <v>136</v>
      </c>
      <c r="G465" t="s">
        <v>35</v>
      </c>
      <c r="H465" t="s">
        <v>93</v>
      </c>
      <c r="I465">
        <v>3</v>
      </c>
      <c r="J465">
        <v>3</v>
      </c>
      <c r="K465">
        <v>9</v>
      </c>
      <c r="L465" t="s">
        <v>28</v>
      </c>
      <c r="M465" t="s">
        <v>29</v>
      </c>
      <c r="N465" t="s">
        <v>51</v>
      </c>
      <c r="O465">
        <v>1</v>
      </c>
      <c r="P465">
        <v>2</v>
      </c>
      <c r="Q465">
        <v>2</v>
      </c>
      <c r="R465" t="s">
        <v>663</v>
      </c>
      <c r="S465" t="s">
        <v>31</v>
      </c>
      <c r="T465" t="s">
        <v>32</v>
      </c>
      <c r="U465" t="s">
        <v>71</v>
      </c>
      <c r="V465" s="13">
        <v>46644</v>
      </c>
    </row>
    <row r="466" spans="1:22" x14ac:dyDescent="0.25">
      <c r="A466" t="s">
        <v>600</v>
      </c>
      <c r="B466" s="13">
        <v>45950</v>
      </c>
      <c r="C466" t="s">
        <v>108</v>
      </c>
      <c r="D466" t="s">
        <v>98</v>
      </c>
      <c r="E466" t="s">
        <v>162</v>
      </c>
      <c r="F466" t="s">
        <v>163</v>
      </c>
      <c r="G466" t="s">
        <v>164</v>
      </c>
      <c r="H466" t="s">
        <v>68</v>
      </c>
      <c r="I466">
        <v>5</v>
      </c>
      <c r="J466">
        <v>2</v>
      </c>
      <c r="K466">
        <v>10</v>
      </c>
      <c r="L466" t="s">
        <v>40</v>
      </c>
      <c r="M466" t="s">
        <v>41</v>
      </c>
      <c r="N466" t="s">
        <v>30</v>
      </c>
      <c r="O466">
        <v>3</v>
      </c>
      <c r="P466">
        <v>2</v>
      </c>
      <c r="Q466">
        <v>6</v>
      </c>
      <c r="R466" t="s">
        <v>663</v>
      </c>
      <c r="S466" t="s">
        <v>28</v>
      </c>
      <c r="T466" t="s">
        <v>32</v>
      </c>
      <c r="U466" t="s">
        <v>33</v>
      </c>
      <c r="V466" s="13">
        <v>46130</v>
      </c>
    </row>
    <row r="467" spans="1:22" x14ac:dyDescent="0.25">
      <c r="A467" t="s">
        <v>611</v>
      </c>
      <c r="B467" s="13">
        <v>46367</v>
      </c>
      <c r="C467" t="s">
        <v>64</v>
      </c>
      <c r="D467" t="s">
        <v>65</v>
      </c>
      <c r="E467" t="s">
        <v>91</v>
      </c>
      <c r="F467" t="s">
        <v>92</v>
      </c>
      <c r="G467" t="s">
        <v>35</v>
      </c>
      <c r="H467" t="s">
        <v>122</v>
      </c>
      <c r="I467">
        <v>4</v>
      </c>
      <c r="J467">
        <v>5</v>
      </c>
      <c r="K467">
        <v>20</v>
      </c>
      <c r="L467" t="s">
        <v>94</v>
      </c>
      <c r="M467" t="s">
        <v>50</v>
      </c>
      <c r="N467" t="s">
        <v>89</v>
      </c>
      <c r="O467">
        <v>3</v>
      </c>
      <c r="P467">
        <v>5</v>
      </c>
      <c r="Q467">
        <v>15</v>
      </c>
      <c r="R467" t="s">
        <v>663</v>
      </c>
      <c r="S467" t="s">
        <v>40</v>
      </c>
      <c r="T467" t="s">
        <v>32</v>
      </c>
      <c r="U467" t="s">
        <v>96</v>
      </c>
      <c r="V467" s="13">
        <v>46547</v>
      </c>
    </row>
    <row r="468" spans="1:22" x14ac:dyDescent="0.25">
      <c r="A468" t="s">
        <v>602</v>
      </c>
      <c r="B468" s="13">
        <v>46324</v>
      </c>
      <c r="C468" t="s">
        <v>64</v>
      </c>
      <c r="D468" t="s">
        <v>23</v>
      </c>
      <c r="E468" t="s">
        <v>174</v>
      </c>
      <c r="F468" t="s">
        <v>175</v>
      </c>
      <c r="G468" t="s">
        <v>176</v>
      </c>
      <c r="H468" t="s">
        <v>68</v>
      </c>
      <c r="I468">
        <v>5</v>
      </c>
      <c r="J468">
        <v>4</v>
      </c>
      <c r="K468">
        <v>20</v>
      </c>
      <c r="L468" t="s">
        <v>94</v>
      </c>
      <c r="M468" t="s">
        <v>83</v>
      </c>
      <c r="N468" t="s">
        <v>70</v>
      </c>
      <c r="O468">
        <v>4</v>
      </c>
      <c r="P468">
        <v>3</v>
      </c>
      <c r="Q468">
        <v>12</v>
      </c>
      <c r="R468" t="s">
        <v>663</v>
      </c>
      <c r="S468" t="s">
        <v>40</v>
      </c>
      <c r="T468" t="s">
        <v>32</v>
      </c>
      <c r="U468" t="s">
        <v>96</v>
      </c>
      <c r="V468" s="13">
        <v>47054</v>
      </c>
    </row>
    <row r="469" spans="1:22" x14ac:dyDescent="0.25">
      <c r="A469" t="s">
        <v>603</v>
      </c>
      <c r="B469" s="13">
        <v>45817</v>
      </c>
      <c r="C469" t="s">
        <v>64</v>
      </c>
      <c r="D469" t="s">
        <v>23</v>
      </c>
      <c r="E469" t="s">
        <v>174</v>
      </c>
      <c r="F469" t="s">
        <v>175</v>
      </c>
      <c r="G469" t="s">
        <v>176</v>
      </c>
      <c r="H469" t="s">
        <v>201</v>
      </c>
      <c r="I469">
        <v>5</v>
      </c>
      <c r="J469">
        <v>5</v>
      </c>
      <c r="K469">
        <v>25</v>
      </c>
      <c r="L469" t="s">
        <v>94</v>
      </c>
      <c r="M469" t="s">
        <v>69</v>
      </c>
      <c r="N469" t="s">
        <v>89</v>
      </c>
      <c r="O469">
        <v>3</v>
      </c>
      <c r="P469">
        <v>5</v>
      </c>
      <c r="Q469">
        <v>15</v>
      </c>
      <c r="R469" t="s">
        <v>663</v>
      </c>
      <c r="S469" t="s">
        <v>40</v>
      </c>
      <c r="T469" t="s">
        <v>43</v>
      </c>
      <c r="U469" t="s">
        <v>52</v>
      </c>
      <c r="V469" s="13">
        <v>46182</v>
      </c>
    </row>
    <row r="470" spans="1:22" x14ac:dyDescent="0.25">
      <c r="A470" t="s">
        <v>604</v>
      </c>
      <c r="B470" s="13">
        <v>45726</v>
      </c>
      <c r="C470" t="s">
        <v>108</v>
      </c>
      <c r="D470" t="s">
        <v>74</v>
      </c>
      <c r="E470" t="s">
        <v>149</v>
      </c>
      <c r="F470" t="s">
        <v>150</v>
      </c>
      <c r="G470" t="s">
        <v>151</v>
      </c>
      <c r="H470" t="s">
        <v>68</v>
      </c>
      <c r="I470">
        <v>4</v>
      </c>
      <c r="J470">
        <v>2</v>
      </c>
      <c r="K470">
        <v>8</v>
      </c>
      <c r="L470" t="s">
        <v>28</v>
      </c>
      <c r="M470" t="s">
        <v>95</v>
      </c>
      <c r="N470" t="s">
        <v>124</v>
      </c>
      <c r="O470">
        <v>3</v>
      </c>
      <c r="P470">
        <v>1</v>
      </c>
      <c r="Q470">
        <v>3</v>
      </c>
      <c r="R470" t="s">
        <v>663</v>
      </c>
      <c r="S470" t="s">
        <v>31</v>
      </c>
      <c r="T470" t="s">
        <v>61</v>
      </c>
      <c r="U470" t="s">
        <v>52</v>
      </c>
      <c r="V470" s="13">
        <v>46091</v>
      </c>
    </row>
    <row r="471" spans="1:22" x14ac:dyDescent="0.25">
      <c r="A471" t="s">
        <v>605</v>
      </c>
      <c r="B471" s="13">
        <v>45913</v>
      </c>
      <c r="C471" t="s">
        <v>22</v>
      </c>
      <c r="D471" t="s">
        <v>74</v>
      </c>
      <c r="E471" t="s">
        <v>24</v>
      </c>
      <c r="F471" t="s">
        <v>25</v>
      </c>
      <c r="G471" t="s">
        <v>26</v>
      </c>
      <c r="H471" t="s">
        <v>27</v>
      </c>
      <c r="I471">
        <v>4</v>
      </c>
      <c r="J471">
        <v>5</v>
      </c>
      <c r="K471">
        <v>20</v>
      </c>
      <c r="L471" t="s">
        <v>94</v>
      </c>
      <c r="M471" t="s">
        <v>41</v>
      </c>
      <c r="N471" t="s">
        <v>102</v>
      </c>
      <c r="O471">
        <v>3</v>
      </c>
      <c r="P471">
        <v>5</v>
      </c>
      <c r="Q471">
        <v>15</v>
      </c>
      <c r="R471" t="s">
        <v>663</v>
      </c>
      <c r="S471" t="s">
        <v>40</v>
      </c>
      <c r="T471" t="s">
        <v>43</v>
      </c>
      <c r="U471" t="s">
        <v>52</v>
      </c>
      <c r="V471" s="13">
        <v>46278</v>
      </c>
    </row>
    <row r="472" spans="1:22" x14ac:dyDescent="0.25">
      <c r="A472" t="s">
        <v>606</v>
      </c>
      <c r="B472" s="13">
        <v>45681</v>
      </c>
      <c r="C472" t="s">
        <v>45</v>
      </c>
      <c r="D472" t="s">
        <v>55</v>
      </c>
      <c r="E472" t="s">
        <v>46</v>
      </c>
      <c r="F472" t="s">
        <v>47</v>
      </c>
      <c r="G472" t="s">
        <v>48</v>
      </c>
      <c r="H472" t="s">
        <v>49</v>
      </c>
      <c r="I472">
        <v>3</v>
      </c>
      <c r="J472">
        <v>2</v>
      </c>
      <c r="K472">
        <v>6</v>
      </c>
      <c r="L472" t="s">
        <v>28</v>
      </c>
      <c r="M472" t="s">
        <v>41</v>
      </c>
      <c r="N472" t="s">
        <v>102</v>
      </c>
      <c r="O472">
        <v>2</v>
      </c>
      <c r="P472">
        <v>2</v>
      </c>
      <c r="Q472">
        <v>4</v>
      </c>
      <c r="R472" t="s">
        <v>663</v>
      </c>
      <c r="S472" t="s">
        <v>31</v>
      </c>
      <c r="T472" t="s">
        <v>32</v>
      </c>
      <c r="U472" t="s">
        <v>62</v>
      </c>
      <c r="V472" s="13">
        <v>46046</v>
      </c>
    </row>
    <row r="473" spans="1:22" x14ac:dyDescent="0.25">
      <c r="A473" t="s">
        <v>607</v>
      </c>
      <c r="B473" s="13">
        <v>46259</v>
      </c>
      <c r="C473" t="s">
        <v>108</v>
      </c>
      <c r="D473" t="s">
        <v>23</v>
      </c>
      <c r="E473" t="s">
        <v>149</v>
      </c>
      <c r="F473" t="s">
        <v>150</v>
      </c>
      <c r="G473" t="s">
        <v>151</v>
      </c>
      <c r="H473" t="s">
        <v>225</v>
      </c>
      <c r="I473">
        <v>4</v>
      </c>
      <c r="J473">
        <v>4</v>
      </c>
      <c r="K473">
        <v>16</v>
      </c>
      <c r="L473" t="s">
        <v>40</v>
      </c>
      <c r="M473" t="s">
        <v>78</v>
      </c>
      <c r="N473" t="s">
        <v>70</v>
      </c>
      <c r="O473">
        <v>3</v>
      </c>
      <c r="P473">
        <v>3</v>
      </c>
      <c r="Q473">
        <v>9</v>
      </c>
      <c r="R473" t="s">
        <v>663</v>
      </c>
      <c r="S473" t="s">
        <v>28</v>
      </c>
      <c r="T473" t="s">
        <v>32</v>
      </c>
      <c r="U473" t="s">
        <v>96</v>
      </c>
      <c r="V473" s="13">
        <v>46989</v>
      </c>
    </row>
    <row r="474" spans="1:22" x14ac:dyDescent="0.25">
      <c r="A474" t="s">
        <v>608</v>
      </c>
      <c r="B474" s="13">
        <v>45810</v>
      </c>
      <c r="C474" t="s">
        <v>35</v>
      </c>
      <c r="D474" t="s">
        <v>65</v>
      </c>
      <c r="E474" t="s">
        <v>36</v>
      </c>
      <c r="F474" t="s">
        <v>37</v>
      </c>
      <c r="G474" t="s">
        <v>38</v>
      </c>
      <c r="H474" t="s">
        <v>116</v>
      </c>
      <c r="I474">
        <v>3</v>
      </c>
      <c r="J474">
        <v>2</v>
      </c>
      <c r="K474">
        <v>6</v>
      </c>
      <c r="L474" t="s">
        <v>28</v>
      </c>
      <c r="M474" t="s">
        <v>95</v>
      </c>
      <c r="N474" t="s">
        <v>128</v>
      </c>
      <c r="O474">
        <v>1</v>
      </c>
      <c r="P474">
        <v>1</v>
      </c>
      <c r="Q474">
        <v>1</v>
      </c>
      <c r="R474" t="s">
        <v>663</v>
      </c>
      <c r="S474" t="s">
        <v>31</v>
      </c>
      <c r="T474" t="s">
        <v>43</v>
      </c>
      <c r="U474" t="s">
        <v>62</v>
      </c>
      <c r="V474" s="13">
        <v>46540</v>
      </c>
    </row>
    <row r="475" spans="1:22" x14ac:dyDescent="0.25">
      <c r="A475" t="s">
        <v>609</v>
      </c>
      <c r="B475" s="13">
        <v>46276</v>
      </c>
      <c r="C475" t="s">
        <v>64</v>
      </c>
      <c r="D475" t="s">
        <v>74</v>
      </c>
      <c r="E475" t="s">
        <v>174</v>
      </c>
      <c r="F475" t="s">
        <v>175</v>
      </c>
      <c r="G475" t="s">
        <v>176</v>
      </c>
      <c r="H475" t="s">
        <v>68</v>
      </c>
      <c r="I475">
        <v>3</v>
      </c>
      <c r="J475">
        <v>2</v>
      </c>
      <c r="K475">
        <v>6</v>
      </c>
      <c r="L475" t="s">
        <v>28</v>
      </c>
      <c r="M475" t="s">
        <v>95</v>
      </c>
      <c r="N475" t="s">
        <v>60</v>
      </c>
      <c r="O475">
        <v>2</v>
      </c>
      <c r="P475">
        <v>1</v>
      </c>
      <c r="Q475">
        <v>2</v>
      </c>
      <c r="R475" t="s">
        <v>663</v>
      </c>
      <c r="S475" t="s">
        <v>31</v>
      </c>
      <c r="T475" t="s">
        <v>43</v>
      </c>
      <c r="U475" t="s">
        <v>62</v>
      </c>
      <c r="V475" s="13">
        <v>47006</v>
      </c>
    </row>
    <row r="476" spans="1:22" x14ac:dyDescent="0.25">
      <c r="A476" t="s">
        <v>610</v>
      </c>
      <c r="B476" s="13">
        <v>46055</v>
      </c>
      <c r="C476" t="s">
        <v>64</v>
      </c>
      <c r="D476" t="s">
        <v>23</v>
      </c>
      <c r="E476" t="s">
        <v>66</v>
      </c>
      <c r="F476" t="s">
        <v>67</v>
      </c>
      <c r="G476" t="s">
        <v>35</v>
      </c>
      <c r="H476" t="s">
        <v>122</v>
      </c>
      <c r="I476">
        <v>5</v>
      </c>
      <c r="J476">
        <v>4</v>
      </c>
      <c r="K476">
        <v>20</v>
      </c>
      <c r="L476" t="s">
        <v>94</v>
      </c>
      <c r="M476" t="s">
        <v>95</v>
      </c>
      <c r="N476" t="s">
        <v>102</v>
      </c>
      <c r="O476">
        <v>4</v>
      </c>
      <c r="P476">
        <v>4</v>
      </c>
      <c r="Q476">
        <v>16</v>
      </c>
      <c r="R476" t="s">
        <v>663</v>
      </c>
      <c r="S476" t="s">
        <v>40</v>
      </c>
      <c r="T476" t="s">
        <v>32</v>
      </c>
      <c r="U476" t="s">
        <v>33</v>
      </c>
      <c r="V476" s="13">
        <v>46420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C000"/>
  </sheetPr>
  <dimension ref="A1:V26"/>
  <sheetViews>
    <sheetView topLeftCell="A2" workbookViewId="0">
      <selection activeCell="C11" sqref="A2:V26"/>
    </sheetView>
  </sheetViews>
  <sheetFormatPr defaultRowHeight="15" x14ac:dyDescent="0.25"/>
  <cols>
    <col min="2" max="2" width="18.28515625" customWidth="1"/>
    <col min="3" max="3" width="13.85546875" customWidth="1"/>
    <col min="4" max="4" width="10.5703125" customWidth="1"/>
    <col min="5" max="5" width="9.85546875" customWidth="1"/>
    <col min="7" max="7" width="17.42578125" customWidth="1"/>
    <col min="8" max="8" width="23.7109375" customWidth="1"/>
    <col min="9" max="9" width="18" customWidth="1"/>
    <col min="10" max="10" width="20.7109375" customWidth="1"/>
    <col min="11" max="11" width="17.5703125" customWidth="1"/>
    <col min="12" max="12" width="17.42578125" customWidth="1"/>
    <col min="13" max="13" width="17.85546875" customWidth="1"/>
    <col min="14" max="14" width="20.28515625" customWidth="1"/>
    <col min="15" max="15" width="20.42578125" customWidth="1"/>
    <col min="16" max="16" width="23.140625" customWidth="1"/>
    <col min="17" max="17" width="20" customWidth="1"/>
    <col min="18" max="18" width="16.140625" customWidth="1"/>
    <col min="19" max="19" width="19.85546875" customWidth="1"/>
    <col min="20" max="20" width="30.42578125" customWidth="1"/>
    <col min="21" max="21" width="20.5703125" customWidth="1"/>
    <col min="22" max="22" width="14.2851562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661</v>
      </c>
      <c r="S1" t="s">
        <v>17</v>
      </c>
      <c r="T1" t="s">
        <v>18</v>
      </c>
      <c r="U1" t="s">
        <v>19</v>
      </c>
      <c r="V1" t="s">
        <v>20</v>
      </c>
    </row>
    <row r="2" spans="1:22" x14ac:dyDescent="0.25">
      <c r="A2" t="s">
        <v>601</v>
      </c>
      <c r="B2" s="13">
        <v>46373</v>
      </c>
      <c r="C2" t="s">
        <v>45</v>
      </c>
      <c r="D2" t="s">
        <v>23</v>
      </c>
      <c r="E2" t="s">
        <v>46</v>
      </c>
      <c r="F2" t="s">
        <v>47</v>
      </c>
      <c r="G2" t="s">
        <v>48</v>
      </c>
      <c r="H2" t="s">
        <v>88</v>
      </c>
      <c r="I2">
        <v>2</v>
      </c>
      <c r="J2">
        <v>5</v>
      </c>
      <c r="K2">
        <v>10</v>
      </c>
      <c r="L2" t="s">
        <v>40</v>
      </c>
      <c r="M2" t="s">
        <v>78</v>
      </c>
      <c r="N2" t="s">
        <v>70</v>
      </c>
      <c r="O2">
        <v>2</v>
      </c>
      <c r="P2">
        <v>5</v>
      </c>
      <c r="Q2">
        <v>10</v>
      </c>
      <c r="R2" t="s">
        <v>662</v>
      </c>
      <c r="S2" t="s">
        <v>40</v>
      </c>
      <c r="T2" t="s">
        <v>61</v>
      </c>
      <c r="U2" t="s">
        <v>71</v>
      </c>
      <c r="V2" s="13">
        <v>47103</v>
      </c>
    </row>
    <row r="3" spans="1:22" x14ac:dyDescent="0.25">
      <c r="A3" t="s">
        <v>577</v>
      </c>
      <c r="B3" s="13">
        <v>46125</v>
      </c>
      <c r="C3" t="s">
        <v>22</v>
      </c>
      <c r="D3" t="s">
        <v>55</v>
      </c>
      <c r="E3" t="s">
        <v>109</v>
      </c>
      <c r="F3" t="s">
        <v>110</v>
      </c>
      <c r="G3" t="s">
        <v>111</v>
      </c>
      <c r="H3" t="s">
        <v>143</v>
      </c>
      <c r="I3">
        <v>4</v>
      </c>
      <c r="J3">
        <v>5</v>
      </c>
      <c r="K3">
        <v>20</v>
      </c>
      <c r="L3" t="s">
        <v>94</v>
      </c>
      <c r="M3" t="s">
        <v>29</v>
      </c>
      <c r="N3" t="s">
        <v>51</v>
      </c>
      <c r="O3">
        <v>4</v>
      </c>
      <c r="P3">
        <v>5</v>
      </c>
      <c r="Q3">
        <v>20</v>
      </c>
      <c r="R3" t="s">
        <v>662</v>
      </c>
      <c r="S3" t="s">
        <v>94</v>
      </c>
      <c r="T3" t="s">
        <v>61</v>
      </c>
      <c r="U3" t="s">
        <v>33</v>
      </c>
      <c r="V3" s="13">
        <v>46490</v>
      </c>
    </row>
    <row r="4" spans="1:22" x14ac:dyDescent="0.25">
      <c r="A4" t="s">
        <v>565</v>
      </c>
      <c r="B4" s="13">
        <v>46160</v>
      </c>
      <c r="C4" t="s">
        <v>108</v>
      </c>
      <c r="D4" t="s">
        <v>65</v>
      </c>
      <c r="E4" t="s">
        <v>162</v>
      </c>
      <c r="F4" t="s">
        <v>163</v>
      </c>
      <c r="G4" t="s">
        <v>164</v>
      </c>
      <c r="H4" t="s">
        <v>219</v>
      </c>
      <c r="I4">
        <v>4</v>
      </c>
      <c r="J4">
        <v>5</v>
      </c>
      <c r="K4">
        <v>20</v>
      </c>
      <c r="L4" t="s">
        <v>94</v>
      </c>
      <c r="M4" t="s">
        <v>50</v>
      </c>
      <c r="N4" t="s">
        <v>42</v>
      </c>
      <c r="O4">
        <v>4</v>
      </c>
      <c r="P4">
        <v>5</v>
      </c>
      <c r="Q4">
        <v>20</v>
      </c>
      <c r="R4" t="s">
        <v>662</v>
      </c>
      <c r="S4" t="s">
        <v>94</v>
      </c>
      <c r="T4" t="s">
        <v>43</v>
      </c>
      <c r="U4" t="s">
        <v>52</v>
      </c>
      <c r="V4" s="13">
        <v>46890</v>
      </c>
    </row>
    <row r="5" spans="1:22" x14ac:dyDescent="0.25">
      <c r="A5" t="s">
        <v>548</v>
      </c>
      <c r="B5" s="13">
        <v>46068</v>
      </c>
      <c r="C5" t="s">
        <v>22</v>
      </c>
      <c r="D5" t="s">
        <v>98</v>
      </c>
      <c r="E5" t="s">
        <v>109</v>
      </c>
      <c r="F5" t="s">
        <v>110</v>
      </c>
      <c r="G5" t="s">
        <v>111</v>
      </c>
      <c r="H5" t="s">
        <v>197</v>
      </c>
      <c r="I5">
        <v>4</v>
      </c>
      <c r="J5">
        <v>2</v>
      </c>
      <c r="K5">
        <v>8</v>
      </c>
      <c r="L5" t="s">
        <v>28</v>
      </c>
      <c r="M5" t="s">
        <v>101</v>
      </c>
      <c r="N5" t="s">
        <v>102</v>
      </c>
      <c r="O5">
        <v>4</v>
      </c>
      <c r="P5">
        <v>2</v>
      </c>
      <c r="Q5">
        <v>8</v>
      </c>
      <c r="R5" t="s">
        <v>662</v>
      </c>
      <c r="S5" t="s">
        <v>28</v>
      </c>
      <c r="T5" t="s">
        <v>43</v>
      </c>
      <c r="U5" t="s">
        <v>71</v>
      </c>
      <c r="V5" s="13">
        <v>46798</v>
      </c>
    </row>
    <row r="6" spans="1:22" x14ac:dyDescent="0.25">
      <c r="A6" t="s">
        <v>515</v>
      </c>
      <c r="B6" s="13">
        <v>45854</v>
      </c>
      <c r="C6" t="s">
        <v>108</v>
      </c>
      <c r="D6" t="s">
        <v>98</v>
      </c>
      <c r="E6" t="s">
        <v>162</v>
      </c>
      <c r="F6" t="s">
        <v>163</v>
      </c>
      <c r="G6" t="s">
        <v>164</v>
      </c>
      <c r="H6" t="s">
        <v>219</v>
      </c>
      <c r="I6">
        <v>4</v>
      </c>
      <c r="J6">
        <v>2</v>
      </c>
      <c r="K6">
        <v>8</v>
      </c>
      <c r="L6" t="s">
        <v>28</v>
      </c>
      <c r="M6" t="s">
        <v>78</v>
      </c>
      <c r="N6" t="s">
        <v>128</v>
      </c>
      <c r="O6">
        <v>4</v>
      </c>
      <c r="P6">
        <v>2</v>
      </c>
      <c r="Q6">
        <v>8</v>
      </c>
      <c r="R6" t="s">
        <v>662</v>
      </c>
      <c r="S6" t="s">
        <v>28</v>
      </c>
      <c r="T6" t="s">
        <v>32</v>
      </c>
      <c r="U6" t="s">
        <v>96</v>
      </c>
      <c r="V6" s="13">
        <v>46584</v>
      </c>
    </row>
    <row r="7" spans="1:22" x14ac:dyDescent="0.25">
      <c r="A7" t="s">
        <v>490</v>
      </c>
      <c r="B7" s="13">
        <v>46254</v>
      </c>
      <c r="C7" t="s">
        <v>54</v>
      </c>
      <c r="D7" t="s">
        <v>23</v>
      </c>
      <c r="E7" t="s">
        <v>56</v>
      </c>
      <c r="F7" t="s">
        <v>57</v>
      </c>
      <c r="G7" t="s">
        <v>58</v>
      </c>
      <c r="H7" t="s">
        <v>59</v>
      </c>
      <c r="I7">
        <v>3</v>
      </c>
      <c r="J7">
        <v>4</v>
      </c>
      <c r="K7">
        <v>12</v>
      </c>
      <c r="L7" t="s">
        <v>40</v>
      </c>
      <c r="M7" t="s">
        <v>78</v>
      </c>
      <c r="N7" t="s">
        <v>102</v>
      </c>
      <c r="O7">
        <v>3</v>
      </c>
      <c r="P7">
        <v>4</v>
      </c>
      <c r="Q7">
        <v>12</v>
      </c>
      <c r="R7" t="s">
        <v>662</v>
      </c>
      <c r="S7" t="s">
        <v>40</v>
      </c>
      <c r="T7" t="s">
        <v>43</v>
      </c>
      <c r="U7" t="s">
        <v>71</v>
      </c>
      <c r="V7" s="13">
        <v>46434</v>
      </c>
    </row>
    <row r="8" spans="1:22" x14ac:dyDescent="0.25">
      <c r="A8" t="s">
        <v>488</v>
      </c>
      <c r="B8" s="13">
        <v>46263</v>
      </c>
      <c r="C8" t="s">
        <v>64</v>
      </c>
      <c r="D8" t="s">
        <v>74</v>
      </c>
      <c r="E8" t="s">
        <v>66</v>
      </c>
      <c r="F8" t="s">
        <v>67</v>
      </c>
      <c r="G8" t="s">
        <v>35</v>
      </c>
      <c r="H8" t="s">
        <v>68</v>
      </c>
      <c r="I8">
        <v>4</v>
      </c>
      <c r="J8">
        <v>3</v>
      </c>
      <c r="K8">
        <v>12</v>
      </c>
      <c r="L8" t="s">
        <v>40</v>
      </c>
      <c r="M8" t="s">
        <v>83</v>
      </c>
      <c r="N8" t="s">
        <v>30</v>
      </c>
      <c r="O8">
        <v>4</v>
      </c>
      <c r="P8">
        <v>3</v>
      </c>
      <c r="Q8">
        <v>12</v>
      </c>
      <c r="R8" t="s">
        <v>662</v>
      </c>
      <c r="S8" t="s">
        <v>40</v>
      </c>
      <c r="T8" t="s">
        <v>61</v>
      </c>
      <c r="U8" t="s">
        <v>52</v>
      </c>
      <c r="V8" s="13">
        <v>46443</v>
      </c>
    </row>
    <row r="9" spans="1:22" x14ac:dyDescent="0.25">
      <c r="A9" t="s">
        <v>439</v>
      </c>
      <c r="B9" s="13">
        <v>46149</v>
      </c>
      <c r="C9" t="s">
        <v>35</v>
      </c>
      <c r="D9" t="s">
        <v>98</v>
      </c>
      <c r="E9" t="s">
        <v>120</v>
      </c>
      <c r="F9" t="s">
        <v>121</v>
      </c>
      <c r="G9" t="s">
        <v>35</v>
      </c>
      <c r="H9" t="s">
        <v>68</v>
      </c>
      <c r="I9">
        <v>4</v>
      </c>
      <c r="J9">
        <v>3</v>
      </c>
      <c r="K9">
        <v>12</v>
      </c>
      <c r="L9" t="s">
        <v>40</v>
      </c>
      <c r="M9" t="s">
        <v>29</v>
      </c>
      <c r="N9" t="s">
        <v>102</v>
      </c>
      <c r="O9">
        <v>4</v>
      </c>
      <c r="P9">
        <v>3</v>
      </c>
      <c r="Q9">
        <v>12</v>
      </c>
      <c r="R9" t="s">
        <v>662</v>
      </c>
      <c r="S9" t="s">
        <v>40</v>
      </c>
      <c r="T9" t="s">
        <v>32</v>
      </c>
      <c r="U9" t="s">
        <v>33</v>
      </c>
      <c r="V9" s="13">
        <v>46879</v>
      </c>
    </row>
    <row r="10" spans="1:22" x14ac:dyDescent="0.25">
      <c r="A10" t="s">
        <v>434</v>
      </c>
      <c r="B10" s="13">
        <v>46294</v>
      </c>
      <c r="C10" t="s">
        <v>35</v>
      </c>
      <c r="D10" t="s">
        <v>55</v>
      </c>
      <c r="E10" t="s">
        <v>120</v>
      </c>
      <c r="F10" t="s">
        <v>121</v>
      </c>
      <c r="G10" t="s">
        <v>35</v>
      </c>
      <c r="H10" t="s">
        <v>122</v>
      </c>
      <c r="I10">
        <v>3</v>
      </c>
      <c r="J10">
        <v>2</v>
      </c>
      <c r="K10">
        <v>6</v>
      </c>
      <c r="L10" t="s">
        <v>28</v>
      </c>
      <c r="M10" t="s">
        <v>95</v>
      </c>
      <c r="N10" t="s">
        <v>42</v>
      </c>
      <c r="O10">
        <v>3</v>
      </c>
      <c r="P10">
        <v>2</v>
      </c>
      <c r="Q10">
        <v>6</v>
      </c>
      <c r="R10" t="s">
        <v>662</v>
      </c>
      <c r="S10" t="s">
        <v>28</v>
      </c>
      <c r="T10" t="s">
        <v>32</v>
      </c>
      <c r="U10" t="s">
        <v>96</v>
      </c>
      <c r="V10" s="13">
        <v>47024</v>
      </c>
    </row>
    <row r="11" spans="1:22" x14ac:dyDescent="0.25">
      <c r="A11" t="s">
        <v>432</v>
      </c>
      <c r="B11" s="13">
        <v>46322</v>
      </c>
      <c r="C11" t="s">
        <v>64</v>
      </c>
      <c r="D11" t="s">
        <v>55</v>
      </c>
      <c r="E11" t="s">
        <v>66</v>
      </c>
      <c r="F11" t="s">
        <v>67</v>
      </c>
      <c r="G11" t="s">
        <v>35</v>
      </c>
      <c r="H11" t="s">
        <v>68</v>
      </c>
      <c r="I11">
        <v>4</v>
      </c>
      <c r="J11">
        <v>3</v>
      </c>
      <c r="K11">
        <v>12</v>
      </c>
      <c r="L11" t="s">
        <v>40</v>
      </c>
      <c r="M11" t="s">
        <v>50</v>
      </c>
      <c r="N11" t="s">
        <v>89</v>
      </c>
      <c r="O11">
        <v>4</v>
      </c>
      <c r="P11">
        <v>3</v>
      </c>
      <c r="Q11">
        <v>12</v>
      </c>
      <c r="R11" t="s">
        <v>662</v>
      </c>
      <c r="S11" t="s">
        <v>40</v>
      </c>
      <c r="T11" t="s">
        <v>61</v>
      </c>
      <c r="U11" t="s">
        <v>33</v>
      </c>
      <c r="V11" s="13">
        <v>47052</v>
      </c>
    </row>
    <row r="12" spans="1:22" x14ac:dyDescent="0.25">
      <c r="A12" t="s">
        <v>427</v>
      </c>
      <c r="B12" s="13">
        <v>46054</v>
      </c>
      <c r="C12" t="s">
        <v>45</v>
      </c>
      <c r="D12" t="s">
        <v>80</v>
      </c>
      <c r="E12" t="s">
        <v>46</v>
      </c>
      <c r="F12" t="s">
        <v>47</v>
      </c>
      <c r="G12" t="s">
        <v>48</v>
      </c>
      <c r="H12" t="s">
        <v>49</v>
      </c>
      <c r="I12">
        <v>3</v>
      </c>
      <c r="J12">
        <v>2</v>
      </c>
      <c r="K12">
        <v>6</v>
      </c>
      <c r="L12" t="s">
        <v>28</v>
      </c>
      <c r="M12" t="s">
        <v>95</v>
      </c>
      <c r="N12" t="s">
        <v>128</v>
      </c>
      <c r="O12">
        <v>3</v>
      </c>
      <c r="P12">
        <v>2</v>
      </c>
      <c r="Q12">
        <v>6</v>
      </c>
      <c r="R12" t="s">
        <v>662</v>
      </c>
      <c r="S12" t="s">
        <v>28</v>
      </c>
      <c r="T12" t="s">
        <v>32</v>
      </c>
      <c r="U12" t="s">
        <v>96</v>
      </c>
      <c r="V12" s="13">
        <v>46784</v>
      </c>
    </row>
    <row r="13" spans="1:22" x14ac:dyDescent="0.25">
      <c r="A13" t="s">
        <v>419</v>
      </c>
      <c r="B13" s="13">
        <v>46183</v>
      </c>
      <c r="C13" t="s">
        <v>35</v>
      </c>
      <c r="D13" t="s">
        <v>98</v>
      </c>
      <c r="E13" t="s">
        <v>36</v>
      </c>
      <c r="F13" t="s">
        <v>37</v>
      </c>
      <c r="G13" t="s">
        <v>38</v>
      </c>
      <c r="H13" t="s">
        <v>116</v>
      </c>
      <c r="I13">
        <v>2</v>
      </c>
      <c r="J13">
        <v>2</v>
      </c>
      <c r="K13">
        <v>4</v>
      </c>
      <c r="L13" t="s">
        <v>31</v>
      </c>
      <c r="M13" t="s">
        <v>41</v>
      </c>
      <c r="N13" t="s">
        <v>51</v>
      </c>
      <c r="O13">
        <v>2</v>
      </c>
      <c r="P13">
        <v>2</v>
      </c>
      <c r="Q13">
        <v>4</v>
      </c>
      <c r="R13" t="s">
        <v>662</v>
      </c>
      <c r="S13" t="s">
        <v>31</v>
      </c>
      <c r="T13" t="s">
        <v>43</v>
      </c>
      <c r="U13" t="s">
        <v>96</v>
      </c>
      <c r="V13" s="13">
        <v>46548</v>
      </c>
    </row>
    <row r="14" spans="1:22" x14ac:dyDescent="0.25">
      <c r="A14" t="s">
        <v>417</v>
      </c>
      <c r="B14" s="13">
        <v>46129</v>
      </c>
      <c r="C14" t="s">
        <v>73</v>
      </c>
      <c r="D14" t="s">
        <v>108</v>
      </c>
      <c r="E14" t="s">
        <v>75</v>
      </c>
      <c r="F14" t="s">
        <v>76</v>
      </c>
      <c r="G14" t="s">
        <v>73</v>
      </c>
      <c r="H14" t="s">
        <v>77</v>
      </c>
      <c r="I14">
        <v>3</v>
      </c>
      <c r="J14">
        <v>5</v>
      </c>
      <c r="K14">
        <v>15</v>
      </c>
      <c r="L14" t="s">
        <v>40</v>
      </c>
      <c r="M14" t="s">
        <v>101</v>
      </c>
      <c r="N14" t="s">
        <v>124</v>
      </c>
      <c r="O14">
        <v>3</v>
      </c>
      <c r="P14">
        <v>5</v>
      </c>
      <c r="Q14">
        <v>15</v>
      </c>
      <c r="R14" t="s">
        <v>662</v>
      </c>
      <c r="S14" t="s">
        <v>40</v>
      </c>
      <c r="T14" t="s">
        <v>61</v>
      </c>
      <c r="U14" t="s">
        <v>71</v>
      </c>
      <c r="V14" s="13">
        <v>46494</v>
      </c>
    </row>
    <row r="15" spans="1:22" x14ac:dyDescent="0.25">
      <c r="A15" t="s">
        <v>411</v>
      </c>
      <c r="B15" s="13">
        <v>46059</v>
      </c>
      <c r="C15" t="s">
        <v>64</v>
      </c>
      <c r="D15" t="s">
        <v>55</v>
      </c>
      <c r="E15" t="s">
        <v>66</v>
      </c>
      <c r="F15" t="s">
        <v>67</v>
      </c>
      <c r="G15" t="s">
        <v>35</v>
      </c>
      <c r="H15" t="s">
        <v>122</v>
      </c>
      <c r="I15">
        <v>3</v>
      </c>
      <c r="J15">
        <v>4</v>
      </c>
      <c r="K15">
        <v>12</v>
      </c>
      <c r="L15" t="s">
        <v>40</v>
      </c>
      <c r="M15" t="s">
        <v>41</v>
      </c>
      <c r="N15" t="s">
        <v>128</v>
      </c>
      <c r="O15">
        <v>3</v>
      </c>
      <c r="P15">
        <v>4</v>
      </c>
      <c r="Q15">
        <v>12</v>
      </c>
      <c r="R15" t="s">
        <v>662</v>
      </c>
      <c r="S15" t="s">
        <v>40</v>
      </c>
      <c r="T15" t="s">
        <v>32</v>
      </c>
      <c r="U15" t="s">
        <v>71</v>
      </c>
      <c r="V15" s="13">
        <v>46424</v>
      </c>
    </row>
    <row r="16" spans="1:22" x14ac:dyDescent="0.25">
      <c r="A16" t="s">
        <v>115</v>
      </c>
      <c r="B16" s="13">
        <v>45827</v>
      </c>
      <c r="C16" t="s">
        <v>35</v>
      </c>
      <c r="D16" t="s">
        <v>80</v>
      </c>
      <c r="E16" t="s">
        <v>36</v>
      </c>
      <c r="F16" t="s">
        <v>37</v>
      </c>
      <c r="G16" t="s">
        <v>38</v>
      </c>
      <c r="H16" t="s">
        <v>116</v>
      </c>
      <c r="I16">
        <v>3</v>
      </c>
      <c r="J16">
        <v>5</v>
      </c>
      <c r="K16">
        <v>15</v>
      </c>
      <c r="L16" t="s">
        <v>40</v>
      </c>
      <c r="M16" t="s">
        <v>95</v>
      </c>
      <c r="N16" t="s">
        <v>30</v>
      </c>
      <c r="O16">
        <v>3</v>
      </c>
      <c r="P16">
        <v>5</v>
      </c>
      <c r="Q16">
        <v>15</v>
      </c>
      <c r="R16" t="s">
        <v>662</v>
      </c>
      <c r="S16" t="s">
        <v>40</v>
      </c>
      <c r="T16" t="s">
        <v>61</v>
      </c>
      <c r="U16" t="s">
        <v>33</v>
      </c>
      <c r="V16" s="13">
        <v>46557</v>
      </c>
    </row>
    <row r="17" spans="1:22" x14ac:dyDescent="0.25">
      <c r="A17" t="s">
        <v>373</v>
      </c>
      <c r="B17" s="13">
        <v>46052</v>
      </c>
      <c r="C17" t="s">
        <v>64</v>
      </c>
      <c r="D17" t="s">
        <v>74</v>
      </c>
      <c r="E17" t="s">
        <v>91</v>
      </c>
      <c r="F17" t="s">
        <v>92</v>
      </c>
      <c r="G17" t="s">
        <v>35</v>
      </c>
      <c r="H17" t="s">
        <v>122</v>
      </c>
      <c r="I17">
        <v>2</v>
      </c>
      <c r="J17">
        <v>5</v>
      </c>
      <c r="K17">
        <v>10</v>
      </c>
      <c r="L17" t="s">
        <v>40</v>
      </c>
      <c r="M17" t="s">
        <v>95</v>
      </c>
      <c r="N17" t="s">
        <v>106</v>
      </c>
      <c r="O17">
        <v>2</v>
      </c>
      <c r="P17">
        <v>5</v>
      </c>
      <c r="Q17">
        <v>10</v>
      </c>
      <c r="R17" t="s">
        <v>662</v>
      </c>
      <c r="S17" t="s">
        <v>40</v>
      </c>
      <c r="T17" t="s">
        <v>32</v>
      </c>
      <c r="U17" t="s">
        <v>62</v>
      </c>
      <c r="V17" s="13">
        <v>46417</v>
      </c>
    </row>
    <row r="18" spans="1:22" x14ac:dyDescent="0.25">
      <c r="A18" t="s">
        <v>327</v>
      </c>
      <c r="B18" s="13">
        <v>46132</v>
      </c>
      <c r="C18" t="s">
        <v>85</v>
      </c>
      <c r="D18" t="s">
        <v>23</v>
      </c>
      <c r="E18" t="s">
        <v>86</v>
      </c>
      <c r="F18" t="s">
        <v>87</v>
      </c>
      <c r="G18" t="s">
        <v>48</v>
      </c>
      <c r="H18" t="s">
        <v>88</v>
      </c>
      <c r="I18">
        <v>5</v>
      </c>
      <c r="J18">
        <v>4</v>
      </c>
      <c r="K18">
        <v>20</v>
      </c>
      <c r="L18" t="s">
        <v>94</v>
      </c>
      <c r="M18" t="s">
        <v>83</v>
      </c>
      <c r="N18" t="s">
        <v>102</v>
      </c>
      <c r="O18">
        <v>5</v>
      </c>
      <c r="P18">
        <v>4</v>
      </c>
      <c r="Q18">
        <v>20</v>
      </c>
      <c r="R18" t="s">
        <v>662</v>
      </c>
      <c r="S18" t="s">
        <v>94</v>
      </c>
      <c r="T18" t="s">
        <v>43</v>
      </c>
      <c r="U18" t="s">
        <v>96</v>
      </c>
      <c r="V18" s="13">
        <v>46497</v>
      </c>
    </row>
    <row r="19" spans="1:22" x14ac:dyDescent="0.25">
      <c r="A19" t="s">
        <v>326</v>
      </c>
      <c r="B19" s="13">
        <v>46372</v>
      </c>
      <c r="C19" t="s">
        <v>64</v>
      </c>
      <c r="D19" t="s">
        <v>98</v>
      </c>
      <c r="E19" t="s">
        <v>91</v>
      </c>
      <c r="F19" t="s">
        <v>92</v>
      </c>
      <c r="G19" t="s">
        <v>35</v>
      </c>
      <c r="H19" t="s">
        <v>122</v>
      </c>
      <c r="I19">
        <v>4</v>
      </c>
      <c r="J19">
        <v>4</v>
      </c>
      <c r="K19">
        <v>16</v>
      </c>
      <c r="L19" t="s">
        <v>40</v>
      </c>
      <c r="M19" t="s">
        <v>69</v>
      </c>
      <c r="N19" t="s">
        <v>124</v>
      </c>
      <c r="O19">
        <v>4</v>
      </c>
      <c r="P19">
        <v>4</v>
      </c>
      <c r="Q19">
        <v>16</v>
      </c>
      <c r="R19" t="s">
        <v>662</v>
      </c>
      <c r="S19" t="s">
        <v>40</v>
      </c>
      <c r="T19" t="s">
        <v>32</v>
      </c>
      <c r="U19" t="s">
        <v>96</v>
      </c>
      <c r="V19" s="13">
        <v>47102</v>
      </c>
    </row>
    <row r="20" spans="1:22" x14ac:dyDescent="0.25">
      <c r="A20" t="s">
        <v>323</v>
      </c>
      <c r="B20" s="13">
        <v>46101</v>
      </c>
      <c r="C20" t="s">
        <v>22</v>
      </c>
      <c r="D20" t="s">
        <v>80</v>
      </c>
      <c r="E20" t="s">
        <v>99</v>
      </c>
      <c r="F20" t="s">
        <v>100</v>
      </c>
      <c r="G20" t="s">
        <v>35</v>
      </c>
      <c r="H20" t="s">
        <v>137</v>
      </c>
      <c r="I20">
        <v>3</v>
      </c>
      <c r="J20">
        <v>3</v>
      </c>
      <c r="K20">
        <v>9</v>
      </c>
      <c r="L20" t="s">
        <v>28</v>
      </c>
      <c r="M20" t="s">
        <v>78</v>
      </c>
      <c r="N20" t="s">
        <v>70</v>
      </c>
      <c r="O20">
        <v>3</v>
      </c>
      <c r="P20">
        <v>3</v>
      </c>
      <c r="Q20">
        <v>9</v>
      </c>
      <c r="R20" t="s">
        <v>662</v>
      </c>
      <c r="S20" t="s">
        <v>28</v>
      </c>
      <c r="T20" t="s">
        <v>43</v>
      </c>
      <c r="U20" t="s">
        <v>96</v>
      </c>
      <c r="V20" s="13">
        <v>46466</v>
      </c>
    </row>
    <row r="21" spans="1:22" x14ac:dyDescent="0.25">
      <c r="A21" t="s">
        <v>322</v>
      </c>
      <c r="B21" s="13">
        <v>46195</v>
      </c>
      <c r="C21" t="s">
        <v>22</v>
      </c>
      <c r="D21" t="s">
        <v>74</v>
      </c>
      <c r="E21" t="s">
        <v>135</v>
      </c>
      <c r="F21" t="s">
        <v>136</v>
      </c>
      <c r="G21" t="s">
        <v>35</v>
      </c>
      <c r="H21" t="s">
        <v>68</v>
      </c>
      <c r="I21">
        <v>2</v>
      </c>
      <c r="J21">
        <v>5</v>
      </c>
      <c r="K21">
        <v>10</v>
      </c>
      <c r="L21" t="s">
        <v>40</v>
      </c>
      <c r="M21" t="s">
        <v>83</v>
      </c>
      <c r="N21" t="s">
        <v>51</v>
      </c>
      <c r="O21">
        <v>2</v>
      </c>
      <c r="P21">
        <v>5</v>
      </c>
      <c r="Q21">
        <v>10</v>
      </c>
      <c r="R21" t="s">
        <v>662</v>
      </c>
      <c r="S21" t="s">
        <v>40</v>
      </c>
      <c r="T21" t="s">
        <v>32</v>
      </c>
      <c r="U21" t="s">
        <v>33</v>
      </c>
      <c r="V21" s="13">
        <v>46925</v>
      </c>
    </row>
    <row r="22" spans="1:22" x14ac:dyDescent="0.25">
      <c r="A22" t="s">
        <v>287</v>
      </c>
      <c r="B22" s="13">
        <v>46091</v>
      </c>
      <c r="C22" t="s">
        <v>64</v>
      </c>
      <c r="D22" t="s">
        <v>108</v>
      </c>
      <c r="E22" t="s">
        <v>91</v>
      </c>
      <c r="F22" t="s">
        <v>92</v>
      </c>
      <c r="G22" t="s">
        <v>35</v>
      </c>
      <c r="H22" t="s">
        <v>137</v>
      </c>
      <c r="I22">
        <v>2</v>
      </c>
      <c r="J22">
        <v>5</v>
      </c>
      <c r="K22">
        <v>10</v>
      </c>
      <c r="L22" t="s">
        <v>40</v>
      </c>
      <c r="M22" t="s">
        <v>69</v>
      </c>
      <c r="N22" t="s">
        <v>60</v>
      </c>
      <c r="O22">
        <v>2</v>
      </c>
      <c r="P22">
        <v>5</v>
      </c>
      <c r="Q22">
        <v>10</v>
      </c>
      <c r="R22" t="s">
        <v>662</v>
      </c>
      <c r="S22" t="s">
        <v>40</v>
      </c>
      <c r="T22" t="s">
        <v>43</v>
      </c>
      <c r="U22" t="s">
        <v>71</v>
      </c>
      <c r="V22" s="13">
        <v>46456</v>
      </c>
    </row>
    <row r="23" spans="1:22" x14ac:dyDescent="0.25">
      <c r="A23" t="s">
        <v>253</v>
      </c>
      <c r="B23" s="13">
        <v>46128</v>
      </c>
      <c r="C23" t="s">
        <v>108</v>
      </c>
      <c r="D23" t="s">
        <v>65</v>
      </c>
      <c r="E23" t="s">
        <v>162</v>
      </c>
      <c r="F23" t="s">
        <v>163</v>
      </c>
      <c r="G23" t="s">
        <v>164</v>
      </c>
      <c r="H23" t="s">
        <v>68</v>
      </c>
      <c r="I23">
        <v>5</v>
      </c>
      <c r="J23">
        <v>5</v>
      </c>
      <c r="K23">
        <v>25</v>
      </c>
      <c r="L23" t="s">
        <v>94</v>
      </c>
      <c r="M23" t="s">
        <v>29</v>
      </c>
      <c r="N23" t="s">
        <v>60</v>
      </c>
      <c r="O23">
        <v>5</v>
      </c>
      <c r="P23">
        <v>5</v>
      </c>
      <c r="Q23">
        <v>25</v>
      </c>
      <c r="R23" t="s">
        <v>662</v>
      </c>
      <c r="S23" t="s">
        <v>94</v>
      </c>
      <c r="T23" t="s">
        <v>61</v>
      </c>
      <c r="U23" t="s">
        <v>33</v>
      </c>
      <c r="V23" s="13">
        <v>46858</v>
      </c>
    </row>
    <row r="24" spans="1:22" x14ac:dyDescent="0.25">
      <c r="A24" t="s">
        <v>221</v>
      </c>
      <c r="B24" s="13">
        <v>46139</v>
      </c>
      <c r="C24" t="s">
        <v>64</v>
      </c>
      <c r="D24" t="s">
        <v>80</v>
      </c>
      <c r="E24" t="s">
        <v>91</v>
      </c>
      <c r="F24" t="s">
        <v>92</v>
      </c>
      <c r="G24" t="s">
        <v>35</v>
      </c>
      <c r="H24" t="s">
        <v>137</v>
      </c>
      <c r="I24">
        <v>5</v>
      </c>
      <c r="J24">
        <v>4</v>
      </c>
      <c r="K24">
        <v>20</v>
      </c>
      <c r="L24" t="s">
        <v>94</v>
      </c>
      <c r="M24" t="s">
        <v>29</v>
      </c>
      <c r="N24" t="s">
        <v>51</v>
      </c>
      <c r="O24">
        <v>5</v>
      </c>
      <c r="P24">
        <v>4</v>
      </c>
      <c r="Q24">
        <v>20</v>
      </c>
      <c r="R24" t="s">
        <v>662</v>
      </c>
      <c r="S24" t="s">
        <v>94</v>
      </c>
      <c r="T24" t="s">
        <v>61</v>
      </c>
      <c r="U24" t="s">
        <v>71</v>
      </c>
      <c r="V24" s="13">
        <v>46869</v>
      </c>
    </row>
    <row r="25" spans="1:22" x14ac:dyDescent="0.25">
      <c r="A25" t="s">
        <v>131</v>
      </c>
      <c r="B25" s="13">
        <v>45753</v>
      </c>
      <c r="C25" t="s">
        <v>22</v>
      </c>
      <c r="D25" t="s">
        <v>80</v>
      </c>
      <c r="E25" t="s">
        <v>24</v>
      </c>
      <c r="F25" t="s">
        <v>25</v>
      </c>
      <c r="G25" t="s">
        <v>26</v>
      </c>
      <c r="H25" t="s">
        <v>27</v>
      </c>
      <c r="I25">
        <v>2</v>
      </c>
      <c r="J25">
        <v>5</v>
      </c>
      <c r="K25">
        <v>10</v>
      </c>
      <c r="L25" t="s">
        <v>40</v>
      </c>
      <c r="M25" t="s">
        <v>69</v>
      </c>
      <c r="N25" t="s">
        <v>89</v>
      </c>
      <c r="O25">
        <v>2</v>
      </c>
      <c r="P25">
        <v>5</v>
      </c>
      <c r="Q25">
        <v>10</v>
      </c>
      <c r="R25" t="s">
        <v>662</v>
      </c>
      <c r="S25" t="s">
        <v>40</v>
      </c>
      <c r="T25" t="s">
        <v>32</v>
      </c>
      <c r="U25" t="s">
        <v>52</v>
      </c>
      <c r="V25" s="13">
        <v>46483</v>
      </c>
    </row>
    <row r="26" spans="1:22" x14ac:dyDescent="0.25">
      <c r="A26" t="s">
        <v>191</v>
      </c>
      <c r="B26" s="13">
        <v>45719</v>
      </c>
      <c r="C26" t="s">
        <v>35</v>
      </c>
      <c r="D26" t="s">
        <v>23</v>
      </c>
      <c r="E26" t="s">
        <v>36</v>
      </c>
      <c r="F26" t="s">
        <v>37</v>
      </c>
      <c r="G26" t="s">
        <v>38</v>
      </c>
      <c r="H26" t="s">
        <v>113</v>
      </c>
      <c r="I26">
        <v>2</v>
      </c>
      <c r="J26">
        <v>2</v>
      </c>
      <c r="K26">
        <v>4</v>
      </c>
      <c r="L26" t="s">
        <v>31</v>
      </c>
      <c r="M26" t="s">
        <v>101</v>
      </c>
      <c r="N26" t="s">
        <v>51</v>
      </c>
      <c r="O26">
        <v>2</v>
      </c>
      <c r="P26">
        <v>2</v>
      </c>
      <c r="Q26">
        <v>4</v>
      </c>
      <c r="R26" t="s">
        <v>662</v>
      </c>
      <c r="S26" t="s">
        <v>31</v>
      </c>
      <c r="T26" t="s">
        <v>61</v>
      </c>
      <c r="U26" t="s">
        <v>96</v>
      </c>
      <c r="V26" s="13">
        <v>46449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70C0"/>
  </sheetPr>
  <dimension ref="A7:E17"/>
  <sheetViews>
    <sheetView workbookViewId="0">
      <selection activeCell="T14" sqref="T14"/>
    </sheetView>
  </sheetViews>
  <sheetFormatPr defaultRowHeight="15" x14ac:dyDescent="0.25"/>
  <cols>
    <col min="1" max="1" width="16.28515625" customWidth="1"/>
    <col min="2" max="2" width="21.5703125" customWidth="1"/>
    <col min="3" max="3" width="5" customWidth="1"/>
    <col min="4" max="4" width="4.5703125" customWidth="1"/>
    <col min="5" max="6" width="8.5703125" customWidth="1"/>
    <col min="7" max="7" width="7.42578125" customWidth="1"/>
    <col min="8" max="8" width="8.140625" customWidth="1"/>
    <col min="9" max="10" width="11.28515625" bestFit="1" customWidth="1"/>
  </cols>
  <sheetData>
    <row r="7" spans="1:5" x14ac:dyDescent="0.25">
      <c r="A7" s="10" t="s">
        <v>666</v>
      </c>
      <c r="B7" s="17" t="s">
        <v>17</v>
      </c>
      <c r="C7" s="12"/>
      <c r="D7" s="12"/>
      <c r="E7" s="12"/>
    </row>
    <row r="8" spans="1:5" x14ac:dyDescent="0.25">
      <c r="A8" s="10" t="s">
        <v>2</v>
      </c>
      <c r="B8" s="16" t="s">
        <v>94</v>
      </c>
      <c r="C8" s="16" t="s">
        <v>40</v>
      </c>
      <c r="D8" s="16" t="s">
        <v>31</v>
      </c>
      <c r="E8" s="16" t="s">
        <v>28</v>
      </c>
    </row>
    <row r="9" spans="1:5" x14ac:dyDescent="0.25">
      <c r="A9" s="16" t="s">
        <v>54</v>
      </c>
      <c r="B9" s="5">
        <v>2</v>
      </c>
      <c r="C9" s="5">
        <v>6</v>
      </c>
      <c r="D9" s="5">
        <v>8</v>
      </c>
      <c r="E9" s="5">
        <v>9</v>
      </c>
    </row>
    <row r="10" spans="1:5" x14ac:dyDescent="0.25">
      <c r="A10" s="16" t="s">
        <v>73</v>
      </c>
      <c r="B10" s="5">
        <v>3</v>
      </c>
      <c r="C10" s="5">
        <v>14</v>
      </c>
      <c r="D10" s="5">
        <v>21</v>
      </c>
      <c r="E10" s="5">
        <v>14</v>
      </c>
    </row>
    <row r="11" spans="1:5" x14ac:dyDescent="0.25">
      <c r="A11" s="16" t="s">
        <v>64</v>
      </c>
      <c r="B11" s="5">
        <v>4</v>
      </c>
      <c r="C11" s="5">
        <v>29</v>
      </c>
      <c r="D11" s="5">
        <v>24</v>
      </c>
      <c r="E11" s="5">
        <v>26</v>
      </c>
    </row>
    <row r="12" spans="1:5" x14ac:dyDescent="0.25">
      <c r="A12" s="16" t="s">
        <v>35</v>
      </c>
      <c r="B12" s="5">
        <v>1</v>
      </c>
      <c r="C12" s="5">
        <v>23</v>
      </c>
      <c r="D12" s="5">
        <v>17</v>
      </c>
      <c r="E12" s="5">
        <v>20</v>
      </c>
    </row>
    <row r="13" spans="1:5" x14ac:dyDescent="0.25">
      <c r="A13" s="16" t="s">
        <v>22</v>
      </c>
      <c r="B13" s="5">
        <v>7</v>
      </c>
      <c r="C13" s="5">
        <v>23</v>
      </c>
      <c r="D13" s="5">
        <v>49</v>
      </c>
      <c r="E13" s="5">
        <v>47</v>
      </c>
    </row>
    <row r="14" spans="1:5" x14ac:dyDescent="0.25">
      <c r="A14" s="16" t="s">
        <v>45</v>
      </c>
      <c r="B14" s="5">
        <v>1</v>
      </c>
      <c r="C14" s="5">
        <v>6</v>
      </c>
      <c r="D14" s="5">
        <v>9</v>
      </c>
      <c r="E14" s="5">
        <v>9</v>
      </c>
    </row>
    <row r="15" spans="1:5" x14ac:dyDescent="0.25">
      <c r="A15" s="16" t="s">
        <v>85</v>
      </c>
      <c r="B15" s="5">
        <v>3</v>
      </c>
      <c r="C15" s="5">
        <v>16</v>
      </c>
      <c r="D15" s="5">
        <v>32</v>
      </c>
      <c r="E15" s="5">
        <v>27</v>
      </c>
    </row>
    <row r="16" spans="1:5" x14ac:dyDescent="0.25">
      <c r="A16" s="16" t="s">
        <v>108</v>
      </c>
      <c r="B16" s="5">
        <v>6</v>
      </c>
      <c r="C16" s="5">
        <v>8</v>
      </c>
      <c r="D16" s="5">
        <v>18</v>
      </c>
      <c r="E16" s="5">
        <v>18</v>
      </c>
    </row>
    <row r="17" spans="1:5" x14ac:dyDescent="0.25">
      <c r="A17" s="16" t="s">
        <v>655</v>
      </c>
      <c r="B17" s="5">
        <v>27</v>
      </c>
      <c r="C17" s="5">
        <v>125</v>
      </c>
      <c r="D17" s="5">
        <v>178</v>
      </c>
      <c r="E17" s="5">
        <v>170</v>
      </c>
    </row>
  </sheetData>
  <conditionalFormatting pivot="1" sqref="B9:E16">
    <cfRule type="colorScale" priority="6">
      <colorScale>
        <cfvo type="min"/>
        <cfvo type="percentile" val="50"/>
        <cfvo type="max"/>
        <color rgb="FF63BE7B"/>
        <color rgb="FFFFEB84"/>
        <color rgb="FFF8696B"/>
      </colorScale>
    </cfRule>
  </conditionalFormatting>
  <conditionalFormatting pivot="1" sqref="B9:B16">
    <cfRule type="colorScale" priority="5">
      <colorScale>
        <cfvo type="min"/>
        <cfvo type="percentile" val="50"/>
        <cfvo type="max"/>
        <color rgb="FF63BE7B"/>
        <color rgb="FFFFEB84"/>
        <color rgb="FFF8696B"/>
      </colorScale>
    </cfRule>
  </conditionalFormatting>
  <conditionalFormatting pivot="1" sqref="C9:C16">
    <cfRule type="colorScale" priority="4">
      <colorScale>
        <cfvo type="min"/>
        <cfvo type="percentile" val="50"/>
        <cfvo type="max"/>
        <color rgb="FF63BE7B"/>
        <color rgb="FFFFEB84"/>
        <color rgb="FFF8696B"/>
      </colorScale>
    </cfRule>
  </conditionalFormatting>
  <conditionalFormatting pivot="1" sqref="D9:D16">
    <cfRule type="colorScale" priority="3">
      <colorScale>
        <cfvo type="min"/>
        <cfvo type="percentile" val="50"/>
        <cfvo type="max"/>
        <color rgb="FF63BE7B"/>
        <color rgb="FFFFEB84"/>
        <color rgb="FFF8696B"/>
      </colorScale>
    </cfRule>
  </conditionalFormatting>
  <conditionalFormatting pivot="1" sqref="E9:E16">
    <cfRule type="colorScale" priority="2">
      <colorScale>
        <cfvo type="min"/>
        <cfvo type="percentile" val="50"/>
        <cfvo type="max"/>
        <color rgb="FF63BE7B"/>
        <color rgb="FFFFEB84"/>
        <color rgb="FFF8696B"/>
      </colorScale>
    </cfRule>
  </conditionalFormatting>
  <conditionalFormatting pivot="1" sqref="B17:E17">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7030A0"/>
  </sheetPr>
  <dimension ref="A4:B13"/>
  <sheetViews>
    <sheetView workbookViewId="0">
      <selection activeCell="D9" sqref="D9"/>
    </sheetView>
  </sheetViews>
  <sheetFormatPr defaultRowHeight="15" x14ac:dyDescent="0.25"/>
  <cols>
    <col min="1" max="1" width="21.85546875" customWidth="1"/>
    <col min="2" max="2" width="13.5703125" customWidth="1"/>
    <col min="3" max="3" width="9" customWidth="1"/>
    <col min="4" max="4" width="12.7109375" customWidth="1"/>
    <col min="5" max="5" width="11.140625" customWidth="1"/>
    <col min="6" max="6" width="10.7109375" customWidth="1"/>
    <col min="7" max="7" width="7.42578125" customWidth="1"/>
    <col min="8" max="8" width="8.140625" customWidth="1"/>
    <col min="9" max="10" width="11.28515625" customWidth="1"/>
    <col min="11" max="11" width="14" bestFit="1" customWidth="1"/>
    <col min="12" max="12" width="17.5703125" bestFit="1" customWidth="1"/>
    <col min="13" max="13" width="16.42578125" bestFit="1" customWidth="1"/>
    <col min="14" max="14" width="23.7109375" bestFit="1" customWidth="1"/>
    <col min="15" max="15" width="11.7109375" bestFit="1" customWidth="1"/>
    <col min="16" max="16" width="17.42578125" bestFit="1" customWidth="1"/>
    <col min="17" max="17" width="18.5703125" bestFit="1" customWidth="1"/>
    <col min="18" max="18" width="21.42578125" bestFit="1" customWidth="1"/>
    <col min="19" max="19" width="19.42578125" bestFit="1" customWidth="1"/>
    <col min="20" max="20" width="14.42578125" bestFit="1" customWidth="1"/>
    <col min="21" max="21" width="11.28515625" bestFit="1" customWidth="1"/>
  </cols>
  <sheetData>
    <row r="4" spans="1:2" x14ac:dyDescent="0.25">
      <c r="A4" s="3" t="s">
        <v>667</v>
      </c>
      <c r="B4" t="s">
        <v>660</v>
      </c>
    </row>
    <row r="5" spans="1:2" x14ac:dyDescent="0.25">
      <c r="A5" s="4" t="s">
        <v>22</v>
      </c>
      <c r="B5" s="5">
        <v>126</v>
      </c>
    </row>
    <row r="6" spans="1:2" x14ac:dyDescent="0.25">
      <c r="A6" s="4" t="s">
        <v>64</v>
      </c>
      <c r="B6" s="5">
        <v>83</v>
      </c>
    </row>
    <row r="7" spans="1:2" x14ac:dyDescent="0.25">
      <c r="A7" s="4" t="s">
        <v>85</v>
      </c>
      <c r="B7" s="5">
        <v>78</v>
      </c>
    </row>
    <row r="8" spans="1:2" x14ac:dyDescent="0.25">
      <c r="A8" s="4" t="s">
        <v>35</v>
      </c>
      <c r="B8" s="5">
        <v>61</v>
      </c>
    </row>
    <row r="9" spans="1:2" x14ac:dyDescent="0.25">
      <c r="A9" s="4" t="s">
        <v>73</v>
      </c>
      <c r="B9" s="5">
        <v>52</v>
      </c>
    </row>
    <row r="10" spans="1:2" x14ac:dyDescent="0.25">
      <c r="A10" s="4" t="s">
        <v>108</v>
      </c>
      <c r="B10" s="5">
        <v>50</v>
      </c>
    </row>
    <row r="11" spans="1:2" x14ac:dyDescent="0.25">
      <c r="A11" s="4" t="s">
        <v>54</v>
      </c>
      <c r="B11" s="5">
        <v>25</v>
      </c>
    </row>
    <row r="12" spans="1:2" x14ac:dyDescent="0.25">
      <c r="A12" s="4" t="s">
        <v>45</v>
      </c>
      <c r="B12" s="5">
        <v>25</v>
      </c>
    </row>
    <row r="13" spans="1:2" x14ac:dyDescent="0.25">
      <c r="A13" s="4" t="s">
        <v>655</v>
      </c>
      <c r="B13" s="5">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G33"/>
  <sheetViews>
    <sheetView tabSelected="1" zoomScale="90" zoomScaleNormal="90" workbookViewId="0">
      <selection activeCell="I13" sqref="I13"/>
    </sheetView>
  </sheetViews>
  <sheetFormatPr defaultRowHeight="15" x14ac:dyDescent="0.25"/>
  <cols>
    <col min="1" max="1" width="37.140625" style="20" customWidth="1"/>
    <col min="2" max="2" width="15.5703125" style="20" customWidth="1"/>
    <col min="3" max="3" width="11.5703125" style="20" customWidth="1"/>
    <col min="4" max="4" width="37.140625" style="20" customWidth="1"/>
    <col min="5" max="5" width="15.5703125" style="20" customWidth="1"/>
    <col min="6" max="6" width="11.140625" style="20" customWidth="1"/>
    <col min="7" max="7" width="20.140625" style="20" customWidth="1"/>
    <col min="8" max="8" width="15.5703125" style="20" customWidth="1"/>
    <col min="9" max="9" width="23.5703125" style="20" bestFit="1" customWidth="1"/>
    <col min="10" max="10" width="36" style="20" bestFit="1" customWidth="1"/>
    <col min="11" max="11" width="11.28515625" style="20" bestFit="1" customWidth="1"/>
    <col min="12" max="16384" width="9.140625" style="20"/>
  </cols>
  <sheetData>
    <row r="1" spans="1:7" ht="18.75" x14ac:dyDescent="0.3">
      <c r="G1" s="21" t="s">
        <v>669</v>
      </c>
    </row>
    <row r="2" spans="1:7" ht="36" x14ac:dyDescent="0.55000000000000004">
      <c r="G2" s="22">
        <v>178</v>
      </c>
    </row>
    <row r="3" spans="1:7" x14ac:dyDescent="0.25">
      <c r="A3" s="23" t="s">
        <v>670</v>
      </c>
      <c r="B3" s="23" t="s">
        <v>669</v>
      </c>
      <c r="D3" s="23" t="s">
        <v>13</v>
      </c>
      <c r="E3" s="23" t="s">
        <v>669</v>
      </c>
    </row>
    <row r="4" spans="1:7" x14ac:dyDescent="0.25">
      <c r="A4" s="24" t="s">
        <v>92</v>
      </c>
      <c r="B4" s="26">
        <v>7.3033707865168537E-2</v>
      </c>
      <c r="D4" s="24" t="s">
        <v>92</v>
      </c>
      <c r="E4" s="25">
        <v>13</v>
      </c>
      <c r="F4" s="19"/>
    </row>
    <row r="5" spans="1:7" x14ac:dyDescent="0.25">
      <c r="A5" s="24" t="s">
        <v>37</v>
      </c>
      <c r="B5" s="26">
        <v>7.3033707865168537E-2</v>
      </c>
      <c r="D5" s="24" t="s">
        <v>37</v>
      </c>
      <c r="E5" s="25">
        <v>13</v>
      </c>
      <c r="F5" s="19"/>
    </row>
    <row r="6" spans="1:7" x14ac:dyDescent="0.25">
      <c r="A6" s="24" t="s">
        <v>67</v>
      </c>
      <c r="B6" s="26">
        <v>7.3033707865168537E-2</v>
      </c>
      <c r="D6" s="24" t="s">
        <v>67</v>
      </c>
      <c r="E6" s="25">
        <v>13</v>
      </c>
      <c r="F6" s="19"/>
    </row>
    <row r="7" spans="1:7" x14ac:dyDescent="0.25">
      <c r="A7" s="24" t="s">
        <v>136</v>
      </c>
      <c r="B7" s="26">
        <v>6.741573033707865E-2</v>
      </c>
      <c r="D7" s="24" t="s">
        <v>136</v>
      </c>
      <c r="E7" s="25">
        <v>12</v>
      </c>
      <c r="F7" s="19"/>
    </row>
    <row r="8" spans="1:7" x14ac:dyDescent="0.25">
      <c r="A8" s="24" t="s">
        <v>82</v>
      </c>
      <c r="B8" s="26">
        <v>6.741573033707865E-2</v>
      </c>
      <c r="D8" s="24" t="s">
        <v>82</v>
      </c>
      <c r="E8" s="25">
        <v>12</v>
      </c>
      <c r="F8" s="19"/>
    </row>
    <row r="9" spans="1:7" x14ac:dyDescent="0.25">
      <c r="A9" s="24" t="s">
        <v>150</v>
      </c>
      <c r="B9" s="26">
        <v>6.1797752808988762E-2</v>
      </c>
      <c r="D9" s="24" t="s">
        <v>150</v>
      </c>
      <c r="E9" s="25">
        <v>11</v>
      </c>
      <c r="F9" s="19"/>
    </row>
    <row r="10" spans="1:7" x14ac:dyDescent="0.25">
      <c r="A10" s="24" t="s">
        <v>76</v>
      </c>
      <c r="B10" s="26">
        <v>6.1797752808988762E-2</v>
      </c>
      <c r="D10" s="24" t="s">
        <v>76</v>
      </c>
      <c r="E10" s="25">
        <v>11</v>
      </c>
      <c r="F10" s="19"/>
    </row>
    <row r="11" spans="1:7" x14ac:dyDescent="0.25">
      <c r="A11" s="24" t="s">
        <v>87</v>
      </c>
      <c r="B11" s="26">
        <v>5.6179775280898875E-2</v>
      </c>
      <c r="D11" s="24" t="s">
        <v>87</v>
      </c>
      <c r="E11" s="25">
        <v>10</v>
      </c>
      <c r="F11" s="19"/>
    </row>
    <row r="12" spans="1:7" x14ac:dyDescent="0.25">
      <c r="A12" s="24" t="s">
        <v>57</v>
      </c>
      <c r="B12" s="26">
        <v>5.6179775280898875E-2</v>
      </c>
      <c r="D12" s="24" t="s">
        <v>57</v>
      </c>
      <c r="E12" s="25">
        <v>10</v>
      </c>
      <c r="F12" s="19"/>
    </row>
    <row r="13" spans="1:7" x14ac:dyDescent="0.25">
      <c r="A13" s="24" t="s">
        <v>163</v>
      </c>
      <c r="B13" s="26">
        <v>5.6179775280898875E-2</v>
      </c>
      <c r="D13" s="24" t="s">
        <v>163</v>
      </c>
      <c r="E13" s="25">
        <v>10</v>
      </c>
      <c r="F13" s="19"/>
    </row>
    <row r="14" spans="1:7" x14ac:dyDescent="0.25">
      <c r="A14" s="24" t="s">
        <v>47</v>
      </c>
      <c r="B14" s="26">
        <v>5.0561797752808987E-2</v>
      </c>
      <c r="D14" s="24" t="s">
        <v>47</v>
      </c>
      <c r="E14" s="25">
        <v>9</v>
      </c>
      <c r="F14" s="19"/>
    </row>
    <row r="15" spans="1:7" x14ac:dyDescent="0.25">
      <c r="A15" s="24" t="s">
        <v>100</v>
      </c>
      <c r="B15" s="26">
        <v>4.49438202247191E-2</v>
      </c>
      <c r="D15" s="24" t="s">
        <v>100</v>
      </c>
      <c r="E15" s="25">
        <v>8</v>
      </c>
      <c r="F15" s="19"/>
    </row>
    <row r="16" spans="1:7" x14ac:dyDescent="0.25">
      <c r="A16" s="24" t="s">
        <v>110</v>
      </c>
      <c r="B16" s="26">
        <v>4.49438202247191E-2</v>
      </c>
      <c r="D16" s="24" t="s">
        <v>110</v>
      </c>
      <c r="E16" s="25">
        <v>8</v>
      </c>
      <c r="F16" s="19"/>
    </row>
    <row r="17" spans="1:6" x14ac:dyDescent="0.25">
      <c r="A17" s="24" t="s">
        <v>105</v>
      </c>
      <c r="B17" s="26">
        <v>3.9325842696629212E-2</v>
      </c>
      <c r="D17" s="24" t="s">
        <v>105</v>
      </c>
      <c r="E17" s="25">
        <v>7</v>
      </c>
      <c r="F17" s="19"/>
    </row>
    <row r="18" spans="1:6" x14ac:dyDescent="0.25">
      <c r="A18" s="24" t="s">
        <v>141</v>
      </c>
      <c r="B18" s="26">
        <v>3.9325842696629212E-2</v>
      </c>
      <c r="D18" s="24" t="s">
        <v>141</v>
      </c>
      <c r="E18" s="25">
        <v>7</v>
      </c>
      <c r="F18" s="19"/>
    </row>
    <row r="19" spans="1:6" x14ac:dyDescent="0.25">
      <c r="A19" s="24" t="s">
        <v>121</v>
      </c>
      <c r="B19" s="26">
        <v>3.9325842696629212E-2</v>
      </c>
      <c r="D19" s="24" t="s">
        <v>121</v>
      </c>
      <c r="E19" s="25">
        <v>7</v>
      </c>
      <c r="F19" s="19"/>
    </row>
    <row r="20" spans="1:6" x14ac:dyDescent="0.25">
      <c r="A20" s="24" t="s">
        <v>231</v>
      </c>
      <c r="B20" s="26">
        <v>3.9325842696629212E-2</v>
      </c>
      <c r="D20" s="24" t="s">
        <v>231</v>
      </c>
      <c r="E20" s="25">
        <v>7</v>
      </c>
      <c r="F20" s="19"/>
    </row>
    <row r="21" spans="1:6" x14ac:dyDescent="0.25">
      <c r="A21" s="24" t="s">
        <v>175</v>
      </c>
      <c r="B21" s="26">
        <v>2.8089887640449437E-2</v>
      </c>
      <c r="D21" s="24" t="s">
        <v>175</v>
      </c>
      <c r="E21" s="25">
        <v>5</v>
      </c>
      <c r="F21" s="19"/>
    </row>
    <row r="22" spans="1:6" x14ac:dyDescent="0.25">
      <c r="A22" s="24" t="s">
        <v>25</v>
      </c>
      <c r="B22" s="26">
        <v>2.8089887640449437E-2</v>
      </c>
      <c r="D22" s="24" t="s">
        <v>25</v>
      </c>
      <c r="E22" s="25">
        <v>5</v>
      </c>
      <c r="F22" s="19"/>
    </row>
    <row r="23" spans="1:6" x14ac:dyDescent="0.25">
      <c r="A23" s="24" t="s">
        <v>655</v>
      </c>
      <c r="B23" s="26">
        <v>1</v>
      </c>
      <c r="D23" s="24" t="s">
        <v>655</v>
      </c>
      <c r="E23" s="25">
        <v>178</v>
      </c>
      <c r="F23" s="19"/>
    </row>
    <row r="24" spans="1:6" x14ac:dyDescent="0.25">
      <c r="A24"/>
      <c r="B24"/>
      <c r="D24"/>
      <c r="E24"/>
    </row>
    <row r="25" spans="1:6" x14ac:dyDescent="0.25">
      <c r="A25"/>
      <c r="B25"/>
      <c r="D25"/>
      <c r="E25"/>
    </row>
    <row r="26" spans="1:6" x14ac:dyDescent="0.25">
      <c r="A26"/>
      <c r="B26"/>
      <c r="D26"/>
      <c r="E26"/>
    </row>
    <row r="27" spans="1:6" x14ac:dyDescent="0.25">
      <c r="A27"/>
      <c r="B27"/>
      <c r="D27"/>
      <c r="E27"/>
    </row>
    <row r="28" spans="1:6" x14ac:dyDescent="0.25">
      <c r="A28"/>
      <c r="B28"/>
      <c r="D28"/>
      <c r="E28"/>
    </row>
    <row r="29" spans="1:6" x14ac:dyDescent="0.25">
      <c r="A29"/>
      <c r="B29"/>
      <c r="D29"/>
      <c r="E29"/>
    </row>
    <row r="30" spans="1:6" x14ac:dyDescent="0.25">
      <c r="A30"/>
      <c r="B30"/>
      <c r="D30"/>
      <c r="E30"/>
    </row>
    <row r="31" spans="1:6" x14ac:dyDescent="0.25">
      <c r="D31"/>
      <c r="E31"/>
    </row>
    <row r="32" spans="1:6" x14ac:dyDescent="0.25">
      <c r="D32"/>
      <c r="E32"/>
    </row>
    <row r="33" spans="4:5" x14ac:dyDescent="0.25">
      <c r="D33"/>
      <c r="E33"/>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D26"/>
  <sheetViews>
    <sheetView workbookViewId="0">
      <pane ySplit="1" topLeftCell="A2" activePane="bottomLeft" state="frozen"/>
      <selection pane="bottomLeft" activeCell="E12" sqref="E12"/>
    </sheetView>
  </sheetViews>
  <sheetFormatPr defaultRowHeight="15" x14ac:dyDescent="0.25"/>
  <cols>
    <col min="1" max="1" width="12" customWidth="1"/>
    <col min="2" max="2" width="13" customWidth="1"/>
    <col min="3" max="4" width="12" customWidth="1"/>
  </cols>
  <sheetData>
    <row r="1" spans="1:4" x14ac:dyDescent="0.25">
      <c r="A1" s="1" t="s">
        <v>636</v>
      </c>
      <c r="B1" s="1" t="s">
        <v>637</v>
      </c>
      <c r="C1" s="1" t="s">
        <v>638</v>
      </c>
      <c r="D1" s="1" t="s">
        <v>639</v>
      </c>
    </row>
    <row r="2" spans="1:4" x14ac:dyDescent="0.25">
      <c r="A2">
        <v>1</v>
      </c>
      <c r="B2">
        <v>1</v>
      </c>
      <c r="C2">
        <v>1</v>
      </c>
      <c r="D2" t="s">
        <v>31</v>
      </c>
    </row>
    <row r="3" spans="1:4" x14ac:dyDescent="0.25">
      <c r="A3">
        <v>1</v>
      </c>
      <c r="B3">
        <v>2</v>
      </c>
      <c r="C3">
        <v>2</v>
      </c>
      <c r="D3" t="s">
        <v>31</v>
      </c>
    </row>
    <row r="4" spans="1:4" x14ac:dyDescent="0.25">
      <c r="A4">
        <v>1</v>
      </c>
      <c r="B4">
        <v>3</v>
      </c>
      <c r="C4">
        <v>3</v>
      </c>
      <c r="D4" t="s">
        <v>31</v>
      </c>
    </row>
    <row r="5" spans="1:4" x14ac:dyDescent="0.25">
      <c r="A5">
        <v>1</v>
      </c>
      <c r="B5">
        <v>4</v>
      </c>
      <c r="C5">
        <v>4</v>
      </c>
      <c r="D5" t="s">
        <v>31</v>
      </c>
    </row>
    <row r="6" spans="1:4" x14ac:dyDescent="0.25">
      <c r="A6">
        <v>1</v>
      </c>
      <c r="B6">
        <v>5</v>
      </c>
      <c r="C6">
        <v>5</v>
      </c>
      <c r="D6" t="s">
        <v>28</v>
      </c>
    </row>
    <row r="7" spans="1:4" x14ac:dyDescent="0.25">
      <c r="A7">
        <v>2</v>
      </c>
      <c r="B7">
        <v>1</v>
      </c>
      <c r="C7">
        <v>2</v>
      </c>
      <c r="D7" t="s">
        <v>31</v>
      </c>
    </row>
    <row r="8" spans="1:4" x14ac:dyDescent="0.25">
      <c r="A8">
        <v>2</v>
      </c>
      <c r="B8">
        <v>2</v>
      </c>
      <c r="C8">
        <v>4</v>
      </c>
      <c r="D8" t="s">
        <v>31</v>
      </c>
    </row>
    <row r="9" spans="1:4" x14ac:dyDescent="0.25">
      <c r="A9">
        <v>2</v>
      </c>
      <c r="B9">
        <v>3</v>
      </c>
      <c r="C9">
        <v>6</v>
      </c>
      <c r="D9" t="s">
        <v>28</v>
      </c>
    </row>
    <row r="10" spans="1:4" x14ac:dyDescent="0.25">
      <c r="A10">
        <v>2</v>
      </c>
      <c r="B10">
        <v>4</v>
      </c>
      <c r="C10">
        <v>8</v>
      </c>
      <c r="D10" t="s">
        <v>28</v>
      </c>
    </row>
    <row r="11" spans="1:4" x14ac:dyDescent="0.25">
      <c r="A11">
        <v>2</v>
      </c>
      <c r="B11">
        <v>5</v>
      </c>
      <c r="C11">
        <v>10</v>
      </c>
      <c r="D11" t="s">
        <v>40</v>
      </c>
    </row>
    <row r="12" spans="1:4" x14ac:dyDescent="0.25">
      <c r="A12">
        <v>3</v>
      </c>
      <c r="B12">
        <v>1</v>
      </c>
      <c r="C12">
        <v>3</v>
      </c>
      <c r="D12" t="s">
        <v>31</v>
      </c>
    </row>
    <row r="13" spans="1:4" x14ac:dyDescent="0.25">
      <c r="A13">
        <v>3</v>
      </c>
      <c r="B13">
        <v>2</v>
      </c>
      <c r="C13">
        <v>6</v>
      </c>
      <c r="D13" t="s">
        <v>28</v>
      </c>
    </row>
    <row r="14" spans="1:4" x14ac:dyDescent="0.25">
      <c r="A14">
        <v>3</v>
      </c>
      <c r="B14">
        <v>3</v>
      </c>
      <c r="C14">
        <v>9</v>
      </c>
      <c r="D14" t="s">
        <v>28</v>
      </c>
    </row>
    <row r="15" spans="1:4" x14ac:dyDescent="0.25">
      <c r="A15">
        <v>3</v>
      </c>
      <c r="B15">
        <v>4</v>
      </c>
      <c r="C15">
        <v>12</v>
      </c>
      <c r="D15" t="s">
        <v>40</v>
      </c>
    </row>
    <row r="16" spans="1:4" x14ac:dyDescent="0.25">
      <c r="A16">
        <v>3</v>
      </c>
      <c r="B16">
        <v>5</v>
      </c>
      <c r="C16">
        <v>15</v>
      </c>
      <c r="D16" t="s">
        <v>40</v>
      </c>
    </row>
    <row r="17" spans="1:4" x14ac:dyDescent="0.25">
      <c r="A17">
        <v>4</v>
      </c>
      <c r="B17">
        <v>1</v>
      </c>
      <c r="C17">
        <v>4</v>
      </c>
      <c r="D17" t="s">
        <v>31</v>
      </c>
    </row>
    <row r="18" spans="1:4" x14ac:dyDescent="0.25">
      <c r="A18">
        <v>4</v>
      </c>
      <c r="B18">
        <v>2</v>
      </c>
      <c r="C18">
        <v>8</v>
      </c>
      <c r="D18" t="s">
        <v>28</v>
      </c>
    </row>
    <row r="19" spans="1:4" x14ac:dyDescent="0.25">
      <c r="A19">
        <v>4</v>
      </c>
      <c r="B19">
        <v>3</v>
      </c>
      <c r="C19">
        <v>12</v>
      </c>
      <c r="D19" t="s">
        <v>40</v>
      </c>
    </row>
    <row r="20" spans="1:4" x14ac:dyDescent="0.25">
      <c r="A20">
        <v>4</v>
      </c>
      <c r="B20">
        <v>4</v>
      </c>
      <c r="C20">
        <v>16</v>
      </c>
      <c r="D20" t="s">
        <v>40</v>
      </c>
    </row>
    <row r="21" spans="1:4" x14ac:dyDescent="0.25">
      <c r="A21">
        <v>4</v>
      </c>
      <c r="B21">
        <v>5</v>
      </c>
      <c r="C21">
        <v>20</v>
      </c>
      <c r="D21" t="s">
        <v>94</v>
      </c>
    </row>
    <row r="22" spans="1:4" x14ac:dyDescent="0.25">
      <c r="A22">
        <v>5</v>
      </c>
      <c r="B22">
        <v>1</v>
      </c>
      <c r="C22">
        <v>5</v>
      </c>
      <c r="D22" t="s">
        <v>28</v>
      </c>
    </row>
    <row r="23" spans="1:4" x14ac:dyDescent="0.25">
      <c r="A23">
        <v>5</v>
      </c>
      <c r="B23">
        <v>2</v>
      </c>
      <c r="C23">
        <v>10</v>
      </c>
      <c r="D23" t="s">
        <v>40</v>
      </c>
    </row>
    <row r="24" spans="1:4" x14ac:dyDescent="0.25">
      <c r="A24">
        <v>5</v>
      </c>
      <c r="B24">
        <v>3</v>
      </c>
      <c r="C24">
        <v>15</v>
      </c>
      <c r="D24" t="s">
        <v>40</v>
      </c>
    </row>
    <row r="25" spans="1:4" x14ac:dyDescent="0.25">
      <c r="A25">
        <v>5</v>
      </c>
      <c r="B25">
        <v>4</v>
      </c>
      <c r="C25">
        <v>20</v>
      </c>
      <c r="D25" t="s">
        <v>94</v>
      </c>
    </row>
    <row r="26" spans="1:4" x14ac:dyDescent="0.25">
      <c r="A26">
        <v>5</v>
      </c>
      <c r="B26">
        <v>5</v>
      </c>
      <c r="C26">
        <v>25</v>
      </c>
      <c r="D26" t="s">
        <v>94</v>
      </c>
    </row>
  </sheetData>
  <autoFilter ref="A1:D26"/>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6"/>
  <sheetViews>
    <sheetView workbookViewId="0">
      <pane ySplit="1" topLeftCell="A2" activePane="bottomLeft" state="frozen"/>
      <selection pane="bottomLeft" activeCell="D23" sqref="D23"/>
    </sheetView>
  </sheetViews>
  <sheetFormatPr defaultRowHeight="15" x14ac:dyDescent="0.25"/>
  <cols>
    <col min="1" max="1" width="19" customWidth="1"/>
    <col min="2" max="2" width="15" customWidth="1"/>
  </cols>
  <sheetData>
    <row r="1" spans="1:2" x14ac:dyDescent="0.25">
      <c r="A1" s="1" t="s">
        <v>647</v>
      </c>
      <c r="B1" s="1" t="s">
        <v>641</v>
      </c>
    </row>
    <row r="2" spans="1:2" x14ac:dyDescent="0.25">
      <c r="A2">
        <v>1</v>
      </c>
      <c r="B2" t="s">
        <v>648</v>
      </c>
    </row>
    <row r="3" spans="1:2" x14ac:dyDescent="0.25">
      <c r="A3">
        <v>2</v>
      </c>
      <c r="B3" t="s">
        <v>649</v>
      </c>
    </row>
    <row r="4" spans="1:2" x14ac:dyDescent="0.25">
      <c r="A4">
        <v>3</v>
      </c>
      <c r="B4" t="s">
        <v>650</v>
      </c>
    </row>
    <row r="5" spans="1:2" x14ac:dyDescent="0.25">
      <c r="A5">
        <v>4</v>
      </c>
      <c r="B5" t="s">
        <v>651</v>
      </c>
    </row>
    <row r="6" spans="1:2" x14ac:dyDescent="0.25">
      <c r="A6">
        <v>5</v>
      </c>
      <c r="B6" t="s">
        <v>652</v>
      </c>
    </row>
  </sheetData>
  <autoFilter ref="A1:B6"/>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6"/>
  <sheetViews>
    <sheetView workbookViewId="0">
      <pane ySplit="1" topLeftCell="A2" activePane="bottomLeft" state="frozen"/>
      <selection pane="bottomLeft"/>
    </sheetView>
  </sheetViews>
  <sheetFormatPr defaultRowHeight="15" x14ac:dyDescent="0.25"/>
  <cols>
    <col min="1" max="1" width="18" customWidth="1"/>
    <col min="2" max="2" width="16" customWidth="1"/>
  </cols>
  <sheetData>
    <row r="1" spans="1:2" x14ac:dyDescent="0.25">
      <c r="A1" s="1" t="s">
        <v>640</v>
      </c>
      <c r="B1" s="1" t="s">
        <v>641</v>
      </c>
    </row>
    <row r="2" spans="1:2" x14ac:dyDescent="0.25">
      <c r="A2">
        <v>1</v>
      </c>
      <c r="B2" t="s">
        <v>642</v>
      </c>
    </row>
    <row r="3" spans="1:2" x14ac:dyDescent="0.25">
      <c r="A3">
        <v>2</v>
      </c>
      <c r="B3" t="s">
        <v>643</v>
      </c>
    </row>
    <row r="4" spans="1:2" x14ac:dyDescent="0.25">
      <c r="A4">
        <v>3</v>
      </c>
      <c r="B4" t="s">
        <v>644</v>
      </c>
    </row>
    <row r="5" spans="1:2" x14ac:dyDescent="0.25">
      <c r="A5">
        <v>4</v>
      </c>
      <c r="B5" t="s">
        <v>645</v>
      </c>
    </row>
    <row r="6" spans="1:2" x14ac:dyDescent="0.25">
      <c r="A6">
        <v>5</v>
      </c>
      <c r="B6" t="s">
        <v>646</v>
      </c>
    </row>
  </sheetData>
  <autoFilter ref="A1:B6"/>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D20"/>
  <sheetViews>
    <sheetView workbookViewId="0">
      <pane ySplit="1" topLeftCell="A2" activePane="bottomLeft" state="frozen"/>
      <selection pane="bottomLeft"/>
    </sheetView>
  </sheetViews>
  <sheetFormatPr defaultRowHeight="15" x14ac:dyDescent="0.25"/>
  <cols>
    <col min="1" max="1" width="38" customWidth="1"/>
    <col min="2" max="2" width="20" customWidth="1"/>
    <col min="3" max="3" width="45" customWidth="1"/>
    <col min="4" max="4" width="38" customWidth="1"/>
  </cols>
  <sheetData>
    <row r="1" spans="1:4" x14ac:dyDescent="0.25">
      <c r="A1" s="1" t="s">
        <v>5</v>
      </c>
      <c r="B1" s="1" t="s">
        <v>6</v>
      </c>
      <c r="C1" s="1" t="s">
        <v>653</v>
      </c>
      <c r="D1" s="1" t="s">
        <v>654</v>
      </c>
    </row>
    <row r="2" spans="1:4" x14ac:dyDescent="0.25">
      <c r="A2" t="s">
        <v>100</v>
      </c>
      <c r="B2" t="s">
        <v>35</v>
      </c>
      <c r="C2" t="s">
        <v>41</v>
      </c>
      <c r="D2" t="s">
        <v>51</v>
      </c>
    </row>
    <row r="3" spans="1:4" x14ac:dyDescent="0.25">
      <c r="A3" t="s">
        <v>25</v>
      </c>
      <c r="B3" t="s">
        <v>26</v>
      </c>
      <c r="C3" t="s">
        <v>41</v>
      </c>
      <c r="D3" t="s">
        <v>42</v>
      </c>
    </row>
    <row r="4" spans="1:4" x14ac:dyDescent="0.25">
      <c r="A4" t="s">
        <v>136</v>
      </c>
      <c r="B4" t="s">
        <v>35</v>
      </c>
      <c r="C4" t="s">
        <v>41</v>
      </c>
      <c r="D4" t="s">
        <v>42</v>
      </c>
    </row>
    <row r="5" spans="1:4" x14ac:dyDescent="0.25">
      <c r="A5" t="s">
        <v>67</v>
      </c>
      <c r="B5" t="s">
        <v>35</v>
      </c>
      <c r="C5" t="s">
        <v>50</v>
      </c>
      <c r="D5" t="s">
        <v>70</v>
      </c>
    </row>
    <row r="6" spans="1:4" x14ac:dyDescent="0.25">
      <c r="A6" t="s">
        <v>92</v>
      </c>
      <c r="B6" t="s">
        <v>35</v>
      </c>
      <c r="C6" t="s">
        <v>101</v>
      </c>
      <c r="D6" t="s">
        <v>89</v>
      </c>
    </row>
    <row r="7" spans="1:4" x14ac:dyDescent="0.25">
      <c r="A7" t="s">
        <v>76</v>
      </c>
      <c r="B7" t="s">
        <v>73</v>
      </c>
      <c r="C7" t="s">
        <v>41</v>
      </c>
      <c r="D7" t="s">
        <v>30</v>
      </c>
    </row>
    <row r="8" spans="1:4" x14ac:dyDescent="0.25">
      <c r="A8" t="s">
        <v>105</v>
      </c>
      <c r="B8" t="s">
        <v>73</v>
      </c>
      <c r="C8" t="s">
        <v>29</v>
      </c>
      <c r="D8" t="s">
        <v>124</v>
      </c>
    </row>
    <row r="9" spans="1:4" x14ac:dyDescent="0.25">
      <c r="A9" t="s">
        <v>121</v>
      </c>
      <c r="B9" t="s">
        <v>35</v>
      </c>
      <c r="C9" t="s">
        <v>29</v>
      </c>
      <c r="D9" t="s">
        <v>106</v>
      </c>
    </row>
    <row r="10" spans="1:4" x14ac:dyDescent="0.25">
      <c r="A10" t="s">
        <v>37</v>
      </c>
      <c r="B10" t="s">
        <v>38</v>
      </c>
      <c r="C10" t="s">
        <v>78</v>
      </c>
      <c r="D10" t="s">
        <v>51</v>
      </c>
    </row>
    <row r="11" spans="1:4" x14ac:dyDescent="0.25">
      <c r="A11" t="s">
        <v>150</v>
      </c>
      <c r="B11" t="s">
        <v>151</v>
      </c>
      <c r="C11" t="s">
        <v>78</v>
      </c>
      <c r="D11" t="s">
        <v>70</v>
      </c>
    </row>
    <row r="12" spans="1:4" x14ac:dyDescent="0.25">
      <c r="A12" t="s">
        <v>163</v>
      </c>
      <c r="B12" t="s">
        <v>164</v>
      </c>
      <c r="C12" t="s">
        <v>95</v>
      </c>
      <c r="D12" t="s">
        <v>128</v>
      </c>
    </row>
    <row r="13" spans="1:4" x14ac:dyDescent="0.25">
      <c r="A13" t="s">
        <v>141</v>
      </c>
      <c r="B13" t="s">
        <v>142</v>
      </c>
      <c r="C13" t="s">
        <v>101</v>
      </c>
      <c r="D13" t="s">
        <v>60</v>
      </c>
    </row>
    <row r="14" spans="1:4" x14ac:dyDescent="0.25">
      <c r="A14" t="s">
        <v>231</v>
      </c>
      <c r="B14" t="s">
        <v>232</v>
      </c>
      <c r="C14" t="s">
        <v>95</v>
      </c>
      <c r="D14" t="s">
        <v>51</v>
      </c>
    </row>
    <row r="15" spans="1:4" x14ac:dyDescent="0.25">
      <c r="A15" t="s">
        <v>87</v>
      </c>
      <c r="B15" t="s">
        <v>48</v>
      </c>
      <c r="C15" t="s">
        <v>41</v>
      </c>
      <c r="D15" t="s">
        <v>124</v>
      </c>
    </row>
    <row r="16" spans="1:4" x14ac:dyDescent="0.25">
      <c r="A16" t="s">
        <v>82</v>
      </c>
      <c r="B16" t="s">
        <v>81</v>
      </c>
      <c r="C16" t="s">
        <v>41</v>
      </c>
      <c r="D16" t="s">
        <v>89</v>
      </c>
    </row>
    <row r="17" spans="1:4" x14ac:dyDescent="0.25">
      <c r="A17" t="s">
        <v>175</v>
      </c>
      <c r="B17" t="s">
        <v>176</v>
      </c>
      <c r="C17" t="s">
        <v>101</v>
      </c>
      <c r="D17" t="s">
        <v>102</v>
      </c>
    </row>
    <row r="18" spans="1:4" x14ac:dyDescent="0.25">
      <c r="A18" t="s">
        <v>110</v>
      </c>
      <c r="B18" t="s">
        <v>111</v>
      </c>
      <c r="C18" t="s">
        <v>78</v>
      </c>
      <c r="D18" t="s">
        <v>30</v>
      </c>
    </row>
    <row r="19" spans="1:4" x14ac:dyDescent="0.25">
      <c r="A19" t="s">
        <v>47</v>
      </c>
      <c r="B19" t="s">
        <v>48</v>
      </c>
      <c r="C19" t="s">
        <v>78</v>
      </c>
      <c r="D19" t="s">
        <v>106</v>
      </c>
    </row>
    <row r="20" spans="1:4" x14ac:dyDescent="0.25">
      <c r="A20" t="s">
        <v>57</v>
      </c>
      <c r="B20" t="s">
        <v>58</v>
      </c>
      <c r="C20" t="s">
        <v>29</v>
      </c>
      <c r="D20" t="s">
        <v>106</v>
      </c>
    </row>
  </sheetData>
  <autoFilter ref="A1:D2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Risk Assessments</vt:lpstr>
      <vt:lpstr>Risk_Analysis</vt:lpstr>
      <vt:lpstr>Initial&amp;Residual</vt:lpstr>
      <vt:lpstr>Reduced Risks</vt:lpstr>
      <vt:lpstr>Not Reduced Risks</vt:lpstr>
      <vt:lpstr>Resid. Risks Analysis</vt:lpstr>
      <vt:lpstr>Resid. Risks Dept.</vt:lpstr>
      <vt:lpstr>Controls Implementation</vt:lpstr>
      <vt:lpstr>Risk Matrix</vt:lpstr>
      <vt:lpstr>Consequence Scale</vt:lpstr>
      <vt:lpstr>Likelihood Scale</vt:lpstr>
      <vt:lpstr>Hazard 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cp:lastModifiedBy>
  <dcterms:created xsi:type="dcterms:W3CDTF">2026-09-12T11:11:24Z</dcterms:created>
  <dcterms:modified xsi:type="dcterms:W3CDTF">2026-09-25T10:40:44Z</dcterms:modified>
</cp:coreProperties>
</file>